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20" documentId="11_0B00DC4E86F0154CA3636C111C53083BE1BC93FE" xr6:coauthVersionLast="47" xr6:coauthVersionMax="47" xr10:uidLastSave="{5C9377EA-7513-4D4D-8F08-23704EE9F1C1}"/>
  <bookViews>
    <workbookView xWindow="3090" yWindow="585" windowWidth="17385" windowHeight="10260" xr2:uid="{00000000-000D-0000-FFFF-FFFF00000000}"/>
  </bookViews>
  <sheets>
    <sheet name="Examen diagnóstico (2)" sheetId="3" r:id="rId1"/>
    <sheet name="Gráficas" sheetId="4" r:id="rId2"/>
    <sheet name="Examen diagnóstico" sheetId="1" r:id="rId3"/>
  </sheets>
  <definedNames>
    <definedName name="_xlnm._FilterDatabase" localSheetId="2" hidden="1">'Examen diagnóstico'!$A$1:$R$2107</definedName>
    <definedName name="_xlnm._FilterDatabase" localSheetId="0" hidden="1">'Examen diagnóstico (2)'!$A$1:$AG$2109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3" l="1"/>
  <c r="S5" i="3"/>
  <c r="H21" i="4"/>
  <c r="B21" i="4"/>
  <c r="A3" i="4"/>
  <c r="AF809" i="3"/>
  <c r="AF657" i="3"/>
  <c r="AF658" i="3"/>
  <c r="AD1573" i="3"/>
  <c r="AG2107" i="3"/>
  <c r="AF2107" i="3"/>
  <c r="AE2107" i="3"/>
  <c r="AD2107" i="3"/>
  <c r="AC2107" i="3"/>
  <c r="AB2107" i="3"/>
  <c r="AA2107" i="3"/>
  <c r="Z2107" i="3"/>
  <c r="AG2106" i="3"/>
  <c r="AF2106" i="3"/>
  <c r="AE2106" i="3"/>
  <c r="AD2106" i="3"/>
  <c r="AC2106" i="3"/>
  <c r="AB2106" i="3"/>
  <c r="AA2106" i="3"/>
  <c r="Z2106" i="3"/>
  <c r="AG2105" i="3"/>
  <c r="AF2105" i="3"/>
  <c r="AE2105" i="3"/>
  <c r="AD2105" i="3"/>
  <c r="AC2105" i="3"/>
  <c r="AB2105" i="3"/>
  <c r="AA2105" i="3"/>
  <c r="Z2105" i="3"/>
  <c r="AG2104" i="3"/>
  <c r="AF2104" i="3"/>
  <c r="AE2104" i="3"/>
  <c r="AD2104" i="3"/>
  <c r="AC2104" i="3"/>
  <c r="AB2104" i="3"/>
  <c r="AA2104" i="3"/>
  <c r="Z2104" i="3"/>
  <c r="AG2103" i="3"/>
  <c r="AF2103" i="3"/>
  <c r="AE2103" i="3"/>
  <c r="AD2103" i="3"/>
  <c r="AC2103" i="3"/>
  <c r="AB2103" i="3"/>
  <c r="AA2103" i="3"/>
  <c r="Z2103" i="3"/>
  <c r="AG2102" i="3"/>
  <c r="AF2102" i="3"/>
  <c r="AE2102" i="3"/>
  <c r="AD2102" i="3"/>
  <c r="AC2102" i="3"/>
  <c r="AB2102" i="3"/>
  <c r="AA2102" i="3"/>
  <c r="Z2102" i="3"/>
  <c r="AG2101" i="3"/>
  <c r="AF2101" i="3"/>
  <c r="AE2101" i="3"/>
  <c r="AD2101" i="3"/>
  <c r="AC2101" i="3"/>
  <c r="AB2101" i="3"/>
  <c r="AA2101" i="3"/>
  <c r="Z2101" i="3"/>
  <c r="AG2100" i="3"/>
  <c r="AF2100" i="3"/>
  <c r="AE2100" i="3"/>
  <c r="AD2100" i="3"/>
  <c r="AC2100" i="3"/>
  <c r="AB2100" i="3"/>
  <c r="AA2100" i="3"/>
  <c r="Z2100" i="3"/>
  <c r="AG2099" i="3"/>
  <c r="AF2099" i="3"/>
  <c r="AE2099" i="3"/>
  <c r="AD2099" i="3"/>
  <c r="AC2099" i="3"/>
  <c r="AB2099" i="3"/>
  <c r="AA2099" i="3"/>
  <c r="Z2099" i="3"/>
  <c r="AG2098" i="3"/>
  <c r="AF2098" i="3"/>
  <c r="AE2098" i="3"/>
  <c r="AD2098" i="3"/>
  <c r="AC2098" i="3"/>
  <c r="AB2098" i="3"/>
  <c r="AA2098" i="3"/>
  <c r="Z2098" i="3"/>
  <c r="AG2097" i="3"/>
  <c r="AF2097" i="3"/>
  <c r="AE2097" i="3"/>
  <c r="AD2097" i="3"/>
  <c r="AC2097" i="3"/>
  <c r="AB2097" i="3"/>
  <c r="AA2097" i="3"/>
  <c r="Z2097" i="3"/>
  <c r="AG2096" i="3"/>
  <c r="AF2096" i="3"/>
  <c r="AE2096" i="3"/>
  <c r="AD2096" i="3"/>
  <c r="AC2096" i="3"/>
  <c r="AB2096" i="3"/>
  <c r="AA2096" i="3"/>
  <c r="Z2096" i="3"/>
  <c r="AG2095" i="3"/>
  <c r="AF2095" i="3"/>
  <c r="AE2095" i="3"/>
  <c r="AD2095" i="3"/>
  <c r="AC2095" i="3"/>
  <c r="AB2095" i="3"/>
  <c r="AA2095" i="3"/>
  <c r="Z2095" i="3"/>
  <c r="AG2094" i="3"/>
  <c r="AF2094" i="3"/>
  <c r="AE2094" i="3"/>
  <c r="AD2094" i="3"/>
  <c r="AC2094" i="3"/>
  <c r="AB2094" i="3"/>
  <c r="AA2094" i="3"/>
  <c r="Z2094" i="3"/>
  <c r="AG2093" i="3"/>
  <c r="AF2093" i="3"/>
  <c r="AE2093" i="3"/>
  <c r="AD2093" i="3"/>
  <c r="AC2093" i="3"/>
  <c r="AB2093" i="3"/>
  <c r="AA2093" i="3"/>
  <c r="Z2093" i="3"/>
  <c r="AG2092" i="3"/>
  <c r="AF2092" i="3"/>
  <c r="AE2092" i="3"/>
  <c r="AD2092" i="3"/>
  <c r="AC2092" i="3"/>
  <c r="AB2092" i="3"/>
  <c r="AA2092" i="3"/>
  <c r="Z2092" i="3"/>
  <c r="AG2091" i="3"/>
  <c r="AF2091" i="3"/>
  <c r="AE2091" i="3"/>
  <c r="AD2091" i="3"/>
  <c r="AC2091" i="3"/>
  <c r="AB2091" i="3"/>
  <c r="AA2091" i="3"/>
  <c r="Z2091" i="3"/>
  <c r="AG2090" i="3"/>
  <c r="AF2090" i="3"/>
  <c r="AE2090" i="3"/>
  <c r="AD2090" i="3"/>
  <c r="AC2090" i="3"/>
  <c r="AB2090" i="3"/>
  <c r="AA2090" i="3"/>
  <c r="Z2090" i="3"/>
  <c r="AG2089" i="3"/>
  <c r="AF2089" i="3"/>
  <c r="AE2089" i="3"/>
  <c r="AD2089" i="3"/>
  <c r="AC2089" i="3"/>
  <c r="AB2089" i="3"/>
  <c r="AA2089" i="3"/>
  <c r="Z2089" i="3"/>
  <c r="AG2088" i="3"/>
  <c r="AF2088" i="3"/>
  <c r="AE2088" i="3"/>
  <c r="AD2088" i="3"/>
  <c r="AC2088" i="3"/>
  <c r="AB2088" i="3"/>
  <c r="AA2088" i="3"/>
  <c r="Z2088" i="3"/>
  <c r="AG2087" i="3"/>
  <c r="AF2087" i="3"/>
  <c r="AE2087" i="3"/>
  <c r="AD2087" i="3"/>
  <c r="AC2087" i="3"/>
  <c r="AB2087" i="3"/>
  <c r="AA2087" i="3"/>
  <c r="Z2087" i="3"/>
  <c r="AG2086" i="3"/>
  <c r="AF2086" i="3"/>
  <c r="AE2086" i="3"/>
  <c r="AD2086" i="3"/>
  <c r="AC2086" i="3"/>
  <c r="AB2086" i="3"/>
  <c r="AA2086" i="3"/>
  <c r="Z2086" i="3"/>
  <c r="AG2085" i="3"/>
  <c r="AF2085" i="3"/>
  <c r="AE2085" i="3"/>
  <c r="AD2085" i="3"/>
  <c r="AC2085" i="3"/>
  <c r="AB2085" i="3"/>
  <c r="AA2085" i="3"/>
  <c r="Z2085" i="3"/>
  <c r="AG2084" i="3"/>
  <c r="AF2084" i="3"/>
  <c r="AE2084" i="3"/>
  <c r="AD2084" i="3"/>
  <c r="AC2084" i="3"/>
  <c r="AB2084" i="3"/>
  <c r="AA2084" i="3"/>
  <c r="Z2084" i="3"/>
  <c r="AG2083" i="3"/>
  <c r="AF2083" i="3"/>
  <c r="AE2083" i="3"/>
  <c r="AD2083" i="3"/>
  <c r="AC2083" i="3"/>
  <c r="AB2083" i="3"/>
  <c r="AA2083" i="3"/>
  <c r="Z2083" i="3"/>
  <c r="AG2082" i="3"/>
  <c r="AF2082" i="3"/>
  <c r="AE2082" i="3"/>
  <c r="AD2082" i="3"/>
  <c r="AC2082" i="3"/>
  <c r="AB2082" i="3"/>
  <c r="AA2082" i="3"/>
  <c r="Z2082" i="3"/>
  <c r="AG2081" i="3"/>
  <c r="AF2081" i="3"/>
  <c r="AE2081" i="3"/>
  <c r="AD2081" i="3"/>
  <c r="AC2081" i="3"/>
  <c r="AB2081" i="3"/>
  <c r="AA2081" i="3"/>
  <c r="Z2081" i="3"/>
  <c r="AG2080" i="3"/>
  <c r="AF2080" i="3"/>
  <c r="AE2080" i="3"/>
  <c r="AD2080" i="3"/>
  <c r="AC2080" i="3"/>
  <c r="AB2080" i="3"/>
  <c r="AA2080" i="3"/>
  <c r="Z2080" i="3"/>
  <c r="AG2079" i="3"/>
  <c r="AF2079" i="3"/>
  <c r="AE2079" i="3"/>
  <c r="AD2079" i="3"/>
  <c r="AC2079" i="3"/>
  <c r="AB2079" i="3"/>
  <c r="AA2079" i="3"/>
  <c r="Z2079" i="3"/>
  <c r="AG2078" i="3"/>
  <c r="AF2078" i="3"/>
  <c r="AE2078" i="3"/>
  <c r="AD2078" i="3"/>
  <c r="AC2078" i="3"/>
  <c r="AB2078" i="3"/>
  <c r="AA2078" i="3"/>
  <c r="Z2078" i="3"/>
  <c r="AG2077" i="3"/>
  <c r="AF2077" i="3"/>
  <c r="AE2077" i="3"/>
  <c r="AD2077" i="3"/>
  <c r="AC2077" i="3"/>
  <c r="AB2077" i="3"/>
  <c r="AA2077" i="3"/>
  <c r="Z2077" i="3"/>
  <c r="AG2076" i="3"/>
  <c r="AF2076" i="3"/>
  <c r="AE2076" i="3"/>
  <c r="AD2076" i="3"/>
  <c r="AC2076" i="3"/>
  <c r="AB2076" i="3"/>
  <c r="AA2076" i="3"/>
  <c r="Z2076" i="3"/>
  <c r="AG2075" i="3"/>
  <c r="AF2075" i="3"/>
  <c r="AE2075" i="3"/>
  <c r="AD2075" i="3"/>
  <c r="AC2075" i="3"/>
  <c r="AB2075" i="3"/>
  <c r="AA2075" i="3"/>
  <c r="Z2075" i="3"/>
  <c r="AG2074" i="3"/>
  <c r="AF2074" i="3"/>
  <c r="AE2074" i="3"/>
  <c r="AD2074" i="3"/>
  <c r="AC2074" i="3"/>
  <c r="AB2074" i="3"/>
  <c r="AA2074" i="3"/>
  <c r="Z2074" i="3"/>
  <c r="AG2073" i="3"/>
  <c r="AF2073" i="3"/>
  <c r="AE2073" i="3"/>
  <c r="AD2073" i="3"/>
  <c r="AC2073" i="3"/>
  <c r="AB2073" i="3"/>
  <c r="AA2073" i="3"/>
  <c r="Z2073" i="3"/>
  <c r="AG2072" i="3"/>
  <c r="AF2072" i="3"/>
  <c r="AE2072" i="3"/>
  <c r="AD2072" i="3"/>
  <c r="AC2072" i="3"/>
  <c r="AB2072" i="3"/>
  <c r="AA2072" i="3"/>
  <c r="Z2072" i="3"/>
  <c r="AG2071" i="3"/>
  <c r="AF2071" i="3"/>
  <c r="AE2071" i="3"/>
  <c r="AD2071" i="3"/>
  <c r="AC2071" i="3"/>
  <c r="AB2071" i="3"/>
  <c r="AA2071" i="3"/>
  <c r="Z2071" i="3"/>
  <c r="AG2070" i="3"/>
  <c r="AF2070" i="3"/>
  <c r="AE2070" i="3"/>
  <c r="AD2070" i="3"/>
  <c r="AC2070" i="3"/>
  <c r="AB2070" i="3"/>
  <c r="AA2070" i="3"/>
  <c r="Z2070" i="3"/>
  <c r="AG2069" i="3"/>
  <c r="AF2069" i="3"/>
  <c r="AE2069" i="3"/>
  <c r="AD2069" i="3"/>
  <c r="AC2069" i="3"/>
  <c r="AB2069" i="3"/>
  <c r="AA2069" i="3"/>
  <c r="Z2069" i="3"/>
  <c r="AG2068" i="3"/>
  <c r="AF2068" i="3"/>
  <c r="AE2068" i="3"/>
  <c r="AD2068" i="3"/>
  <c r="AC2068" i="3"/>
  <c r="AB2068" i="3"/>
  <c r="AA2068" i="3"/>
  <c r="Z2068" i="3"/>
  <c r="AG2067" i="3"/>
  <c r="AF2067" i="3"/>
  <c r="AE2067" i="3"/>
  <c r="AD2067" i="3"/>
  <c r="AC2067" i="3"/>
  <c r="AB2067" i="3"/>
  <c r="AA2067" i="3"/>
  <c r="Z2067" i="3"/>
  <c r="AG2066" i="3"/>
  <c r="AF2066" i="3"/>
  <c r="AE2066" i="3"/>
  <c r="AD2066" i="3"/>
  <c r="AC2066" i="3"/>
  <c r="AB2066" i="3"/>
  <c r="AA2066" i="3"/>
  <c r="Z2066" i="3"/>
  <c r="AG2065" i="3"/>
  <c r="AF2065" i="3"/>
  <c r="AE2065" i="3"/>
  <c r="AD2065" i="3"/>
  <c r="AC2065" i="3"/>
  <c r="AB2065" i="3"/>
  <c r="AA2065" i="3"/>
  <c r="Z2065" i="3"/>
  <c r="AG2064" i="3"/>
  <c r="AF2064" i="3"/>
  <c r="AE2064" i="3"/>
  <c r="AD2064" i="3"/>
  <c r="AC2064" i="3"/>
  <c r="AB2064" i="3"/>
  <c r="AA2064" i="3"/>
  <c r="Z2064" i="3"/>
  <c r="AG2063" i="3"/>
  <c r="AF2063" i="3"/>
  <c r="AE2063" i="3"/>
  <c r="AD2063" i="3"/>
  <c r="AC2063" i="3"/>
  <c r="AB2063" i="3"/>
  <c r="AA2063" i="3"/>
  <c r="Z2063" i="3"/>
  <c r="AG2062" i="3"/>
  <c r="AF2062" i="3"/>
  <c r="AE2062" i="3"/>
  <c r="AD2062" i="3"/>
  <c r="AC2062" i="3"/>
  <c r="AB2062" i="3"/>
  <c r="AA2062" i="3"/>
  <c r="Z2062" i="3"/>
  <c r="AG2061" i="3"/>
  <c r="AF2061" i="3"/>
  <c r="AE2061" i="3"/>
  <c r="AD2061" i="3"/>
  <c r="AC2061" i="3"/>
  <c r="AB2061" i="3"/>
  <c r="AA2061" i="3"/>
  <c r="Z2061" i="3"/>
  <c r="AG2060" i="3"/>
  <c r="AF2060" i="3"/>
  <c r="AE2060" i="3"/>
  <c r="AD2060" i="3"/>
  <c r="AC2060" i="3"/>
  <c r="AB2060" i="3"/>
  <c r="AA2060" i="3"/>
  <c r="Z2060" i="3"/>
  <c r="AG2059" i="3"/>
  <c r="AF2059" i="3"/>
  <c r="AE2059" i="3"/>
  <c r="AD2059" i="3"/>
  <c r="AC2059" i="3"/>
  <c r="AB2059" i="3"/>
  <c r="AA2059" i="3"/>
  <c r="Z2059" i="3"/>
  <c r="AG2058" i="3"/>
  <c r="AF2058" i="3"/>
  <c r="AE2058" i="3"/>
  <c r="AD2058" i="3"/>
  <c r="AC2058" i="3"/>
  <c r="AB2058" i="3"/>
  <c r="AA2058" i="3"/>
  <c r="Z2058" i="3"/>
  <c r="AG2057" i="3"/>
  <c r="AF2057" i="3"/>
  <c r="AE2057" i="3"/>
  <c r="AD2057" i="3"/>
  <c r="AC2057" i="3"/>
  <c r="AB2057" i="3"/>
  <c r="AA2057" i="3"/>
  <c r="Z2057" i="3"/>
  <c r="AG2056" i="3"/>
  <c r="AF2056" i="3"/>
  <c r="AE2056" i="3"/>
  <c r="AD2056" i="3"/>
  <c r="AC2056" i="3"/>
  <c r="AB2056" i="3"/>
  <c r="AA2056" i="3"/>
  <c r="Z2056" i="3"/>
  <c r="AG2055" i="3"/>
  <c r="AF2055" i="3"/>
  <c r="AE2055" i="3"/>
  <c r="AD2055" i="3"/>
  <c r="AC2055" i="3"/>
  <c r="AB2055" i="3"/>
  <c r="AA2055" i="3"/>
  <c r="Z2055" i="3"/>
  <c r="AG2054" i="3"/>
  <c r="AF2054" i="3"/>
  <c r="AE2054" i="3"/>
  <c r="AD2054" i="3"/>
  <c r="AC2054" i="3"/>
  <c r="AB2054" i="3"/>
  <c r="AA2054" i="3"/>
  <c r="Z2054" i="3"/>
  <c r="AG2053" i="3"/>
  <c r="AF2053" i="3"/>
  <c r="AE2053" i="3"/>
  <c r="AD2053" i="3"/>
  <c r="AC2053" i="3"/>
  <c r="AB2053" i="3"/>
  <c r="AA2053" i="3"/>
  <c r="Z2053" i="3"/>
  <c r="AG2052" i="3"/>
  <c r="AF2052" i="3"/>
  <c r="AE2052" i="3"/>
  <c r="AD2052" i="3"/>
  <c r="AC2052" i="3"/>
  <c r="AB2052" i="3"/>
  <c r="AA2052" i="3"/>
  <c r="Z2052" i="3"/>
  <c r="AG2051" i="3"/>
  <c r="AF2051" i="3"/>
  <c r="AE2051" i="3"/>
  <c r="AD2051" i="3"/>
  <c r="AC2051" i="3"/>
  <c r="AB2051" i="3"/>
  <c r="AA2051" i="3"/>
  <c r="Z2051" i="3"/>
  <c r="AG2050" i="3"/>
  <c r="AF2050" i="3"/>
  <c r="AE2050" i="3"/>
  <c r="AD2050" i="3"/>
  <c r="AC2050" i="3"/>
  <c r="AB2050" i="3"/>
  <c r="AA2050" i="3"/>
  <c r="Z2050" i="3"/>
  <c r="AG2049" i="3"/>
  <c r="AF2049" i="3"/>
  <c r="AE2049" i="3"/>
  <c r="AD2049" i="3"/>
  <c r="AC2049" i="3"/>
  <c r="AB2049" i="3"/>
  <c r="AA2049" i="3"/>
  <c r="Z2049" i="3"/>
  <c r="AG2048" i="3"/>
  <c r="AF2048" i="3"/>
  <c r="AE2048" i="3"/>
  <c r="AD2048" i="3"/>
  <c r="AC2048" i="3"/>
  <c r="AB2048" i="3"/>
  <c r="AA2048" i="3"/>
  <c r="Z2048" i="3"/>
  <c r="AG2047" i="3"/>
  <c r="AF2047" i="3"/>
  <c r="AE2047" i="3"/>
  <c r="AD2047" i="3"/>
  <c r="AC2047" i="3"/>
  <c r="AB2047" i="3"/>
  <c r="AA2047" i="3"/>
  <c r="Z2047" i="3"/>
  <c r="AG2046" i="3"/>
  <c r="AF2046" i="3"/>
  <c r="AE2046" i="3"/>
  <c r="AD2046" i="3"/>
  <c r="AC2046" i="3"/>
  <c r="AB2046" i="3"/>
  <c r="AA2046" i="3"/>
  <c r="Z2046" i="3"/>
  <c r="AG2045" i="3"/>
  <c r="AF2045" i="3"/>
  <c r="AE2045" i="3"/>
  <c r="AD2045" i="3"/>
  <c r="AC2045" i="3"/>
  <c r="AB2045" i="3"/>
  <c r="AA2045" i="3"/>
  <c r="Z2045" i="3"/>
  <c r="AG2044" i="3"/>
  <c r="AF2044" i="3"/>
  <c r="AE2044" i="3"/>
  <c r="AD2044" i="3"/>
  <c r="AC2044" i="3"/>
  <c r="AB2044" i="3"/>
  <c r="AA2044" i="3"/>
  <c r="Z2044" i="3"/>
  <c r="AG2043" i="3"/>
  <c r="AF2043" i="3"/>
  <c r="AE2043" i="3"/>
  <c r="AD2043" i="3"/>
  <c r="AC2043" i="3"/>
  <c r="AB2043" i="3"/>
  <c r="AA2043" i="3"/>
  <c r="Z2043" i="3"/>
  <c r="AG2042" i="3"/>
  <c r="AF2042" i="3"/>
  <c r="AE2042" i="3"/>
  <c r="AD2042" i="3"/>
  <c r="AC2042" i="3"/>
  <c r="AB2042" i="3"/>
  <c r="AA2042" i="3"/>
  <c r="Z2042" i="3"/>
  <c r="AG2041" i="3"/>
  <c r="AF2041" i="3"/>
  <c r="AE2041" i="3"/>
  <c r="AD2041" i="3"/>
  <c r="AC2041" i="3"/>
  <c r="AB2041" i="3"/>
  <c r="AA2041" i="3"/>
  <c r="Z2041" i="3"/>
  <c r="AG2040" i="3"/>
  <c r="AF2040" i="3"/>
  <c r="AE2040" i="3"/>
  <c r="AD2040" i="3"/>
  <c r="AC2040" i="3"/>
  <c r="AB2040" i="3"/>
  <c r="AA2040" i="3"/>
  <c r="Z2040" i="3"/>
  <c r="AG2039" i="3"/>
  <c r="AF2039" i="3"/>
  <c r="AE2039" i="3"/>
  <c r="AD2039" i="3"/>
  <c r="AC2039" i="3"/>
  <c r="AB2039" i="3"/>
  <c r="AA2039" i="3"/>
  <c r="Z2039" i="3"/>
  <c r="AG2038" i="3"/>
  <c r="AF2038" i="3"/>
  <c r="AE2038" i="3"/>
  <c r="AD2038" i="3"/>
  <c r="AC2038" i="3"/>
  <c r="AB2038" i="3"/>
  <c r="AA2038" i="3"/>
  <c r="Z2038" i="3"/>
  <c r="AG2037" i="3"/>
  <c r="AF2037" i="3"/>
  <c r="AE2037" i="3"/>
  <c r="AD2037" i="3"/>
  <c r="AC2037" i="3"/>
  <c r="AB2037" i="3"/>
  <c r="AA2037" i="3"/>
  <c r="Z2037" i="3"/>
  <c r="AG2036" i="3"/>
  <c r="AF2036" i="3"/>
  <c r="AE2036" i="3"/>
  <c r="AD2036" i="3"/>
  <c r="AC2036" i="3"/>
  <c r="AB2036" i="3"/>
  <c r="AA2036" i="3"/>
  <c r="Z2036" i="3"/>
  <c r="AG2035" i="3"/>
  <c r="AF2035" i="3"/>
  <c r="AE2035" i="3"/>
  <c r="AD2035" i="3"/>
  <c r="AC2035" i="3"/>
  <c r="AB2035" i="3"/>
  <c r="AA2035" i="3"/>
  <c r="Z2035" i="3"/>
  <c r="AG2034" i="3"/>
  <c r="AF2034" i="3"/>
  <c r="AE2034" i="3"/>
  <c r="AD2034" i="3"/>
  <c r="AC2034" i="3"/>
  <c r="AB2034" i="3"/>
  <c r="AA2034" i="3"/>
  <c r="Z2034" i="3"/>
  <c r="AG2033" i="3"/>
  <c r="AF2033" i="3"/>
  <c r="AE2033" i="3"/>
  <c r="AD2033" i="3"/>
  <c r="AC2033" i="3"/>
  <c r="AB2033" i="3"/>
  <c r="AA2033" i="3"/>
  <c r="Z2033" i="3"/>
  <c r="AG2032" i="3"/>
  <c r="AF2032" i="3"/>
  <c r="AE2032" i="3"/>
  <c r="AD2032" i="3"/>
  <c r="AC2032" i="3"/>
  <c r="AB2032" i="3"/>
  <c r="AA2032" i="3"/>
  <c r="Z2032" i="3"/>
  <c r="AG2031" i="3"/>
  <c r="AF2031" i="3"/>
  <c r="AE2031" i="3"/>
  <c r="AD2031" i="3"/>
  <c r="AC2031" i="3"/>
  <c r="AB2031" i="3"/>
  <c r="AA2031" i="3"/>
  <c r="Z2031" i="3"/>
  <c r="AG2030" i="3"/>
  <c r="AF2030" i="3"/>
  <c r="AE2030" i="3"/>
  <c r="AD2030" i="3"/>
  <c r="AC2030" i="3"/>
  <c r="AB2030" i="3"/>
  <c r="AA2030" i="3"/>
  <c r="Z2030" i="3"/>
  <c r="AG2029" i="3"/>
  <c r="AF2029" i="3"/>
  <c r="AE2029" i="3"/>
  <c r="AD2029" i="3"/>
  <c r="AC2029" i="3"/>
  <c r="AB2029" i="3"/>
  <c r="AA2029" i="3"/>
  <c r="Z2029" i="3"/>
  <c r="AG2028" i="3"/>
  <c r="AF2028" i="3"/>
  <c r="AE2028" i="3"/>
  <c r="AD2028" i="3"/>
  <c r="AC2028" i="3"/>
  <c r="AB2028" i="3"/>
  <c r="AA2028" i="3"/>
  <c r="Z2028" i="3"/>
  <c r="AG2027" i="3"/>
  <c r="AF2027" i="3"/>
  <c r="AE2027" i="3"/>
  <c r="AD2027" i="3"/>
  <c r="AC2027" i="3"/>
  <c r="AB2027" i="3"/>
  <c r="AA2027" i="3"/>
  <c r="Z2027" i="3"/>
  <c r="AG2026" i="3"/>
  <c r="AF2026" i="3"/>
  <c r="AE2026" i="3"/>
  <c r="AD2026" i="3"/>
  <c r="AC2026" i="3"/>
  <c r="AB2026" i="3"/>
  <c r="AA2026" i="3"/>
  <c r="Z2026" i="3"/>
  <c r="AG2025" i="3"/>
  <c r="AF2025" i="3"/>
  <c r="AE2025" i="3"/>
  <c r="AD2025" i="3"/>
  <c r="AC2025" i="3"/>
  <c r="AB2025" i="3"/>
  <c r="AA2025" i="3"/>
  <c r="Z2025" i="3"/>
  <c r="AG2024" i="3"/>
  <c r="AF2024" i="3"/>
  <c r="AE2024" i="3"/>
  <c r="AD2024" i="3"/>
  <c r="AC2024" i="3"/>
  <c r="AB2024" i="3"/>
  <c r="AA2024" i="3"/>
  <c r="Z2024" i="3"/>
  <c r="AG2023" i="3"/>
  <c r="AF2023" i="3"/>
  <c r="AE2023" i="3"/>
  <c r="AD2023" i="3"/>
  <c r="AC2023" i="3"/>
  <c r="AB2023" i="3"/>
  <c r="AA2023" i="3"/>
  <c r="Z2023" i="3"/>
  <c r="AG2022" i="3"/>
  <c r="AF2022" i="3"/>
  <c r="AE2022" i="3"/>
  <c r="AD2022" i="3"/>
  <c r="AC2022" i="3"/>
  <c r="AB2022" i="3"/>
  <c r="AA2022" i="3"/>
  <c r="Z2022" i="3"/>
  <c r="AG2021" i="3"/>
  <c r="AF2021" i="3"/>
  <c r="AE2021" i="3"/>
  <c r="AD2021" i="3"/>
  <c r="AC2021" i="3"/>
  <c r="AB2021" i="3"/>
  <c r="AA2021" i="3"/>
  <c r="Z2021" i="3"/>
  <c r="AG2020" i="3"/>
  <c r="AF2020" i="3"/>
  <c r="AE2020" i="3"/>
  <c r="AD2020" i="3"/>
  <c r="AC2020" i="3"/>
  <c r="AB2020" i="3"/>
  <c r="AA2020" i="3"/>
  <c r="Z2020" i="3"/>
  <c r="AG2019" i="3"/>
  <c r="AF2019" i="3"/>
  <c r="AE2019" i="3"/>
  <c r="AD2019" i="3"/>
  <c r="AC2019" i="3"/>
  <c r="AB2019" i="3"/>
  <c r="AA2019" i="3"/>
  <c r="Z2019" i="3"/>
  <c r="AG2018" i="3"/>
  <c r="AF2018" i="3"/>
  <c r="AE2018" i="3"/>
  <c r="AD2018" i="3"/>
  <c r="AC2018" i="3"/>
  <c r="AB2018" i="3"/>
  <c r="AA2018" i="3"/>
  <c r="Z2018" i="3"/>
  <c r="AG2017" i="3"/>
  <c r="AF2017" i="3"/>
  <c r="AE2017" i="3"/>
  <c r="AD2017" i="3"/>
  <c r="AC2017" i="3"/>
  <c r="AB2017" i="3"/>
  <c r="AA2017" i="3"/>
  <c r="Z2017" i="3"/>
  <c r="AG2016" i="3"/>
  <c r="AF2016" i="3"/>
  <c r="AE2016" i="3"/>
  <c r="AD2016" i="3"/>
  <c r="AC2016" i="3"/>
  <c r="AB2016" i="3"/>
  <c r="AA2016" i="3"/>
  <c r="Z2016" i="3"/>
  <c r="AG2015" i="3"/>
  <c r="AF2015" i="3"/>
  <c r="AE2015" i="3"/>
  <c r="AD2015" i="3"/>
  <c r="AC2015" i="3"/>
  <c r="AB2015" i="3"/>
  <c r="AA2015" i="3"/>
  <c r="Z2015" i="3"/>
  <c r="AG2014" i="3"/>
  <c r="AF2014" i="3"/>
  <c r="AE2014" i="3"/>
  <c r="AD2014" i="3"/>
  <c r="AC2014" i="3"/>
  <c r="AB2014" i="3"/>
  <c r="AA2014" i="3"/>
  <c r="Z2014" i="3"/>
  <c r="AG2013" i="3"/>
  <c r="AF2013" i="3"/>
  <c r="AE2013" i="3"/>
  <c r="AD2013" i="3"/>
  <c r="AC2013" i="3"/>
  <c r="AB2013" i="3"/>
  <c r="AA2013" i="3"/>
  <c r="Z2013" i="3"/>
  <c r="AG2012" i="3"/>
  <c r="AF2012" i="3"/>
  <c r="AE2012" i="3"/>
  <c r="AD2012" i="3"/>
  <c r="AC2012" i="3"/>
  <c r="AB2012" i="3"/>
  <c r="AA2012" i="3"/>
  <c r="Z2012" i="3"/>
  <c r="AG2011" i="3"/>
  <c r="AF2011" i="3"/>
  <c r="AE2011" i="3"/>
  <c r="AD2011" i="3"/>
  <c r="AC2011" i="3"/>
  <c r="AB2011" i="3"/>
  <c r="AA2011" i="3"/>
  <c r="Z2011" i="3"/>
  <c r="AG2010" i="3"/>
  <c r="AF2010" i="3"/>
  <c r="AE2010" i="3"/>
  <c r="AD2010" i="3"/>
  <c r="AC2010" i="3"/>
  <c r="AB2010" i="3"/>
  <c r="AA2010" i="3"/>
  <c r="Z2010" i="3"/>
  <c r="AG2009" i="3"/>
  <c r="AF2009" i="3"/>
  <c r="AE2009" i="3"/>
  <c r="AD2009" i="3"/>
  <c r="AC2009" i="3"/>
  <c r="AB2009" i="3"/>
  <c r="AA2009" i="3"/>
  <c r="Z2009" i="3"/>
  <c r="AG2008" i="3"/>
  <c r="AF2008" i="3"/>
  <c r="AE2008" i="3"/>
  <c r="AD2008" i="3"/>
  <c r="AC2008" i="3"/>
  <c r="AB2008" i="3"/>
  <c r="AA2008" i="3"/>
  <c r="Z2008" i="3"/>
  <c r="AG2007" i="3"/>
  <c r="AF2007" i="3"/>
  <c r="AE2007" i="3"/>
  <c r="AD2007" i="3"/>
  <c r="AC2007" i="3"/>
  <c r="AB2007" i="3"/>
  <c r="AA2007" i="3"/>
  <c r="Z2007" i="3"/>
  <c r="AG2006" i="3"/>
  <c r="AF2006" i="3"/>
  <c r="AE2006" i="3"/>
  <c r="AD2006" i="3"/>
  <c r="AC2006" i="3"/>
  <c r="AB2006" i="3"/>
  <c r="AA2006" i="3"/>
  <c r="Z2006" i="3"/>
  <c r="AG2005" i="3"/>
  <c r="AF2005" i="3"/>
  <c r="AE2005" i="3"/>
  <c r="AD2005" i="3"/>
  <c r="AC2005" i="3"/>
  <c r="AB2005" i="3"/>
  <c r="AA2005" i="3"/>
  <c r="Z2005" i="3"/>
  <c r="AG2004" i="3"/>
  <c r="AF2004" i="3"/>
  <c r="AE2004" i="3"/>
  <c r="AD2004" i="3"/>
  <c r="AC2004" i="3"/>
  <c r="AB2004" i="3"/>
  <c r="AA2004" i="3"/>
  <c r="Z2004" i="3"/>
  <c r="AG2003" i="3"/>
  <c r="AF2003" i="3"/>
  <c r="AE2003" i="3"/>
  <c r="AD2003" i="3"/>
  <c r="AC2003" i="3"/>
  <c r="AB2003" i="3"/>
  <c r="AA2003" i="3"/>
  <c r="Z2003" i="3"/>
  <c r="AG2002" i="3"/>
  <c r="AF2002" i="3"/>
  <c r="AE2002" i="3"/>
  <c r="AD2002" i="3"/>
  <c r="AC2002" i="3"/>
  <c r="AB2002" i="3"/>
  <c r="AA2002" i="3"/>
  <c r="Z2002" i="3"/>
  <c r="AG2001" i="3"/>
  <c r="AF2001" i="3"/>
  <c r="AE2001" i="3"/>
  <c r="AD2001" i="3"/>
  <c r="AC2001" i="3"/>
  <c r="AB2001" i="3"/>
  <c r="AA2001" i="3"/>
  <c r="Z2001" i="3"/>
  <c r="AG2000" i="3"/>
  <c r="AF2000" i="3"/>
  <c r="AE2000" i="3"/>
  <c r="AD2000" i="3"/>
  <c r="AC2000" i="3"/>
  <c r="AB2000" i="3"/>
  <c r="AA2000" i="3"/>
  <c r="Z2000" i="3"/>
  <c r="AG1999" i="3"/>
  <c r="AF1999" i="3"/>
  <c r="AE1999" i="3"/>
  <c r="AD1999" i="3"/>
  <c r="AC1999" i="3"/>
  <c r="AB1999" i="3"/>
  <c r="AA1999" i="3"/>
  <c r="Z1999" i="3"/>
  <c r="AG1998" i="3"/>
  <c r="AF1998" i="3"/>
  <c r="AE1998" i="3"/>
  <c r="AD1998" i="3"/>
  <c r="AC1998" i="3"/>
  <c r="AB1998" i="3"/>
  <c r="AA1998" i="3"/>
  <c r="Z1998" i="3"/>
  <c r="AG1997" i="3"/>
  <c r="AF1997" i="3"/>
  <c r="AE1997" i="3"/>
  <c r="AD1997" i="3"/>
  <c r="AC1997" i="3"/>
  <c r="AB1997" i="3"/>
  <c r="AA1997" i="3"/>
  <c r="Z1997" i="3"/>
  <c r="AG1996" i="3"/>
  <c r="AF1996" i="3"/>
  <c r="AE1996" i="3"/>
  <c r="AD1996" i="3"/>
  <c r="AC1996" i="3"/>
  <c r="AB1996" i="3"/>
  <c r="AA1996" i="3"/>
  <c r="Z1996" i="3"/>
  <c r="AG1995" i="3"/>
  <c r="AF1995" i="3"/>
  <c r="AE1995" i="3"/>
  <c r="AD1995" i="3"/>
  <c r="AC1995" i="3"/>
  <c r="AB1995" i="3"/>
  <c r="AA1995" i="3"/>
  <c r="Z1995" i="3"/>
  <c r="AG1994" i="3"/>
  <c r="AF1994" i="3"/>
  <c r="AE1994" i="3"/>
  <c r="AD1994" i="3"/>
  <c r="AC1994" i="3"/>
  <c r="AB1994" i="3"/>
  <c r="AA1994" i="3"/>
  <c r="Z1994" i="3"/>
  <c r="AG1993" i="3"/>
  <c r="AF1993" i="3"/>
  <c r="AE1993" i="3"/>
  <c r="AD1993" i="3"/>
  <c r="AC1993" i="3"/>
  <c r="AB1993" i="3"/>
  <c r="AA1993" i="3"/>
  <c r="Z1993" i="3"/>
  <c r="AG1992" i="3"/>
  <c r="AF1992" i="3"/>
  <c r="AE1992" i="3"/>
  <c r="AD1992" i="3"/>
  <c r="AC1992" i="3"/>
  <c r="AB1992" i="3"/>
  <c r="AA1992" i="3"/>
  <c r="Z1992" i="3"/>
  <c r="AG1991" i="3"/>
  <c r="AF1991" i="3"/>
  <c r="AE1991" i="3"/>
  <c r="AD1991" i="3"/>
  <c r="AC1991" i="3"/>
  <c r="AB1991" i="3"/>
  <c r="AA1991" i="3"/>
  <c r="Z1991" i="3"/>
  <c r="AG1990" i="3"/>
  <c r="AF1990" i="3"/>
  <c r="AE1990" i="3"/>
  <c r="AD1990" i="3"/>
  <c r="AC1990" i="3"/>
  <c r="AB1990" i="3"/>
  <c r="AA1990" i="3"/>
  <c r="Z1990" i="3"/>
  <c r="AG1989" i="3"/>
  <c r="AF1989" i="3"/>
  <c r="AE1989" i="3"/>
  <c r="AD1989" i="3"/>
  <c r="AC1989" i="3"/>
  <c r="AB1989" i="3"/>
  <c r="AA1989" i="3"/>
  <c r="Z1989" i="3"/>
  <c r="AG1988" i="3"/>
  <c r="AF1988" i="3"/>
  <c r="AE1988" i="3"/>
  <c r="AD1988" i="3"/>
  <c r="AC1988" i="3"/>
  <c r="AB1988" i="3"/>
  <c r="AA1988" i="3"/>
  <c r="Z1988" i="3"/>
  <c r="AG1987" i="3"/>
  <c r="AF1987" i="3"/>
  <c r="AE1987" i="3"/>
  <c r="AD1987" i="3"/>
  <c r="AC1987" i="3"/>
  <c r="AB1987" i="3"/>
  <c r="AA1987" i="3"/>
  <c r="Z1987" i="3"/>
  <c r="AG1986" i="3"/>
  <c r="AF1986" i="3"/>
  <c r="AE1986" i="3"/>
  <c r="AD1986" i="3"/>
  <c r="AC1986" i="3"/>
  <c r="AB1986" i="3"/>
  <c r="AA1986" i="3"/>
  <c r="Z1986" i="3"/>
  <c r="AG1985" i="3"/>
  <c r="AF1985" i="3"/>
  <c r="AE1985" i="3"/>
  <c r="AD1985" i="3"/>
  <c r="AC1985" i="3"/>
  <c r="AB1985" i="3"/>
  <c r="AA1985" i="3"/>
  <c r="Z1985" i="3"/>
  <c r="AG1984" i="3"/>
  <c r="AF1984" i="3"/>
  <c r="AE1984" i="3"/>
  <c r="AD1984" i="3"/>
  <c r="AC1984" i="3"/>
  <c r="AB1984" i="3"/>
  <c r="AA1984" i="3"/>
  <c r="Z1984" i="3"/>
  <c r="AG1983" i="3"/>
  <c r="AF1983" i="3"/>
  <c r="AE1983" i="3"/>
  <c r="AD1983" i="3"/>
  <c r="AC1983" i="3"/>
  <c r="AB1983" i="3"/>
  <c r="AA1983" i="3"/>
  <c r="Z1983" i="3"/>
  <c r="AG1982" i="3"/>
  <c r="AF1982" i="3"/>
  <c r="AE1982" i="3"/>
  <c r="AD1982" i="3"/>
  <c r="AC1982" i="3"/>
  <c r="AB1982" i="3"/>
  <c r="AA1982" i="3"/>
  <c r="Z1982" i="3"/>
  <c r="AG1981" i="3"/>
  <c r="AF1981" i="3"/>
  <c r="AE1981" i="3"/>
  <c r="AD1981" i="3"/>
  <c r="AC1981" i="3"/>
  <c r="AB1981" i="3"/>
  <c r="AA1981" i="3"/>
  <c r="Z1981" i="3"/>
  <c r="AG1980" i="3"/>
  <c r="AF1980" i="3"/>
  <c r="AE1980" i="3"/>
  <c r="AD1980" i="3"/>
  <c r="AC1980" i="3"/>
  <c r="AB1980" i="3"/>
  <c r="AA1980" i="3"/>
  <c r="Z1980" i="3"/>
  <c r="AG1979" i="3"/>
  <c r="AF1979" i="3"/>
  <c r="AE1979" i="3"/>
  <c r="AD1979" i="3"/>
  <c r="AC1979" i="3"/>
  <c r="AB1979" i="3"/>
  <c r="AA1979" i="3"/>
  <c r="Z1979" i="3"/>
  <c r="AG1978" i="3"/>
  <c r="AF1978" i="3"/>
  <c r="AE1978" i="3"/>
  <c r="AD1978" i="3"/>
  <c r="AC1978" i="3"/>
  <c r="AB1978" i="3"/>
  <c r="AA1978" i="3"/>
  <c r="Z1978" i="3"/>
  <c r="AG1977" i="3"/>
  <c r="AF1977" i="3"/>
  <c r="AE1977" i="3"/>
  <c r="AD1977" i="3"/>
  <c r="AC1977" i="3"/>
  <c r="AB1977" i="3"/>
  <c r="AA1977" i="3"/>
  <c r="Z1977" i="3"/>
  <c r="AG1976" i="3"/>
  <c r="AF1976" i="3"/>
  <c r="AE1976" i="3"/>
  <c r="AD1976" i="3"/>
  <c r="AC1976" i="3"/>
  <c r="AB1976" i="3"/>
  <c r="AA1976" i="3"/>
  <c r="Z1976" i="3"/>
  <c r="AG1975" i="3"/>
  <c r="AF1975" i="3"/>
  <c r="AE1975" i="3"/>
  <c r="AD1975" i="3"/>
  <c r="AC1975" i="3"/>
  <c r="AB1975" i="3"/>
  <c r="AA1975" i="3"/>
  <c r="Z1975" i="3"/>
  <c r="AG1974" i="3"/>
  <c r="AF1974" i="3"/>
  <c r="AE1974" i="3"/>
  <c r="AD1974" i="3"/>
  <c r="AC1974" i="3"/>
  <c r="AB1974" i="3"/>
  <c r="AA1974" i="3"/>
  <c r="Z1974" i="3"/>
  <c r="AG1973" i="3"/>
  <c r="AF1973" i="3"/>
  <c r="AE1973" i="3"/>
  <c r="AD1973" i="3"/>
  <c r="AC1973" i="3"/>
  <c r="AB1973" i="3"/>
  <c r="AA1973" i="3"/>
  <c r="Z1973" i="3"/>
  <c r="AG1972" i="3"/>
  <c r="AF1972" i="3"/>
  <c r="AE1972" i="3"/>
  <c r="AD1972" i="3"/>
  <c r="AC1972" i="3"/>
  <c r="AB1972" i="3"/>
  <c r="AA1972" i="3"/>
  <c r="Z1972" i="3"/>
  <c r="AG1971" i="3"/>
  <c r="AF1971" i="3"/>
  <c r="AE1971" i="3"/>
  <c r="AD1971" i="3"/>
  <c r="AC1971" i="3"/>
  <c r="AB1971" i="3"/>
  <c r="AA1971" i="3"/>
  <c r="Z1971" i="3"/>
  <c r="AG1970" i="3"/>
  <c r="AF1970" i="3"/>
  <c r="AE1970" i="3"/>
  <c r="AD1970" i="3"/>
  <c r="AC1970" i="3"/>
  <c r="AB1970" i="3"/>
  <c r="AA1970" i="3"/>
  <c r="Z1970" i="3"/>
  <c r="AG1969" i="3"/>
  <c r="AF1969" i="3"/>
  <c r="AE1969" i="3"/>
  <c r="AD1969" i="3"/>
  <c r="AC1969" i="3"/>
  <c r="AB1969" i="3"/>
  <c r="AA1969" i="3"/>
  <c r="Z1969" i="3"/>
  <c r="AG1968" i="3"/>
  <c r="AF1968" i="3"/>
  <c r="AE1968" i="3"/>
  <c r="AD1968" i="3"/>
  <c r="AC1968" i="3"/>
  <c r="AB1968" i="3"/>
  <c r="AA1968" i="3"/>
  <c r="Z1968" i="3"/>
  <c r="AG1967" i="3"/>
  <c r="AF1967" i="3"/>
  <c r="AE1967" i="3"/>
  <c r="AD1967" i="3"/>
  <c r="AC1967" i="3"/>
  <c r="AB1967" i="3"/>
  <c r="AA1967" i="3"/>
  <c r="Z1967" i="3"/>
  <c r="AG1966" i="3"/>
  <c r="AF1966" i="3"/>
  <c r="AE1966" i="3"/>
  <c r="AD1966" i="3"/>
  <c r="AC1966" i="3"/>
  <c r="AB1966" i="3"/>
  <c r="AA1966" i="3"/>
  <c r="Z1966" i="3"/>
  <c r="AG1965" i="3"/>
  <c r="AF1965" i="3"/>
  <c r="AE1965" i="3"/>
  <c r="AD1965" i="3"/>
  <c r="AC1965" i="3"/>
  <c r="AB1965" i="3"/>
  <c r="AA1965" i="3"/>
  <c r="Z1965" i="3"/>
  <c r="AG1964" i="3"/>
  <c r="AF1964" i="3"/>
  <c r="AE1964" i="3"/>
  <c r="AD1964" i="3"/>
  <c r="AC1964" i="3"/>
  <c r="AB1964" i="3"/>
  <c r="AA1964" i="3"/>
  <c r="Z1964" i="3"/>
  <c r="AG1963" i="3"/>
  <c r="AF1963" i="3"/>
  <c r="AE1963" i="3"/>
  <c r="AD1963" i="3"/>
  <c r="AC1963" i="3"/>
  <c r="AB1963" i="3"/>
  <c r="AA1963" i="3"/>
  <c r="Z1963" i="3"/>
  <c r="AG1962" i="3"/>
  <c r="AF1962" i="3"/>
  <c r="AE1962" i="3"/>
  <c r="AD1962" i="3"/>
  <c r="AC1962" i="3"/>
  <c r="AB1962" i="3"/>
  <c r="AA1962" i="3"/>
  <c r="Z1962" i="3"/>
  <c r="AG1961" i="3"/>
  <c r="AF1961" i="3"/>
  <c r="AE1961" i="3"/>
  <c r="AD1961" i="3"/>
  <c r="AC1961" i="3"/>
  <c r="AB1961" i="3"/>
  <c r="AA1961" i="3"/>
  <c r="Z1961" i="3"/>
  <c r="AG1960" i="3"/>
  <c r="AF1960" i="3"/>
  <c r="AE1960" i="3"/>
  <c r="AD1960" i="3"/>
  <c r="AC1960" i="3"/>
  <c r="AB1960" i="3"/>
  <c r="AA1960" i="3"/>
  <c r="Z1960" i="3"/>
  <c r="AG1959" i="3"/>
  <c r="AF1959" i="3"/>
  <c r="AE1959" i="3"/>
  <c r="AD1959" i="3"/>
  <c r="AC1959" i="3"/>
  <c r="AB1959" i="3"/>
  <c r="AA1959" i="3"/>
  <c r="Z1959" i="3"/>
  <c r="AG1958" i="3"/>
  <c r="AF1958" i="3"/>
  <c r="AE1958" i="3"/>
  <c r="AD1958" i="3"/>
  <c r="AC1958" i="3"/>
  <c r="AB1958" i="3"/>
  <c r="AA1958" i="3"/>
  <c r="Z1958" i="3"/>
  <c r="AG1957" i="3"/>
  <c r="AF1957" i="3"/>
  <c r="AE1957" i="3"/>
  <c r="AD1957" i="3"/>
  <c r="AC1957" i="3"/>
  <c r="AB1957" i="3"/>
  <c r="AA1957" i="3"/>
  <c r="Z1957" i="3"/>
  <c r="AG1956" i="3"/>
  <c r="AF1956" i="3"/>
  <c r="AE1956" i="3"/>
  <c r="AD1956" i="3"/>
  <c r="AC1956" i="3"/>
  <c r="AB1956" i="3"/>
  <c r="AA1956" i="3"/>
  <c r="Z1956" i="3"/>
  <c r="AG1955" i="3"/>
  <c r="AF1955" i="3"/>
  <c r="AE1955" i="3"/>
  <c r="AD1955" i="3"/>
  <c r="AC1955" i="3"/>
  <c r="AB1955" i="3"/>
  <c r="AA1955" i="3"/>
  <c r="Z1955" i="3"/>
  <c r="AG1954" i="3"/>
  <c r="AF1954" i="3"/>
  <c r="AE1954" i="3"/>
  <c r="AD1954" i="3"/>
  <c r="AC1954" i="3"/>
  <c r="AB1954" i="3"/>
  <c r="AA1954" i="3"/>
  <c r="Z1954" i="3"/>
  <c r="AG1953" i="3"/>
  <c r="AF1953" i="3"/>
  <c r="AE1953" i="3"/>
  <c r="AD1953" i="3"/>
  <c r="AC1953" i="3"/>
  <c r="AB1953" i="3"/>
  <c r="AA1953" i="3"/>
  <c r="Z1953" i="3"/>
  <c r="AG1952" i="3"/>
  <c r="AF1952" i="3"/>
  <c r="AE1952" i="3"/>
  <c r="AD1952" i="3"/>
  <c r="AC1952" i="3"/>
  <c r="AB1952" i="3"/>
  <c r="AA1952" i="3"/>
  <c r="Z1952" i="3"/>
  <c r="AG1951" i="3"/>
  <c r="AF1951" i="3"/>
  <c r="AE1951" i="3"/>
  <c r="AD1951" i="3"/>
  <c r="AC1951" i="3"/>
  <c r="AB1951" i="3"/>
  <c r="AA1951" i="3"/>
  <c r="Z1951" i="3"/>
  <c r="AG1950" i="3"/>
  <c r="AF1950" i="3"/>
  <c r="AE1950" i="3"/>
  <c r="AD1950" i="3"/>
  <c r="AC1950" i="3"/>
  <c r="AB1950" i="3"/>
  <c r="AA1950" i="3"/>
  <c r="Z1950" i="3"/>
  <c r="AG1949" i="3"/>
  <c r="AF1949" i="3"/>
  <c r="AE1949" i="3"/>
  <c r="AD1949" i="3"/>
  <c r="AC1949" i="3"/>
  <c r="AB1949" i="3"/>
  <c r="AA1949" i="3"/>
  <c r="Z1949" i="3"/>
  <c r="AG1948" i="3"/>
  <c r="AF1948" i="3"/>
  <c r="AE1948" i="3"/>
  <c r="AD1948" i="3"/>
  <c r="AC1948" i="3"/>
  <c r="AB1948" i="3"/>
  <c r="AA1948" i="3"/>
  <c r="Z1948" i="3"/>
  <c r="AG1947" i="3"/>
  <c r="AF1947" i="3"/>
  <c r="AE1947" i="3"/>
  <c r="AD1947" i="3"/>
  <c r="AC1947" i="3"/>
  <c r="AB1947" i="3"/>
  <c r="AA1947" i="3"/>
  <c r="Z1947" i="3"/>
  <c r="AG1946" i="3"/>
  <c r="AF1946" i="3"/>
  <c r="AE1946" i="3"/>
  <c r="AD1946" i="3"/>
  <c r="AC1946" i="3"/>
  <c r="AB1946" i="3"/>
  <c r="AA1946" i="3"/>
  <c r="Z1946" i="3"/>
  <c r="AG1945" i="3"/>
  <c r="AF1945" i="3"/>
  <c r="AE1945" i="3"/>
  <c r="AD1945" i="3"/>
  <c r="AC1945" i="3"/>
  <c r="AB1945" i="3"/>
  <c r="AA1945" i="3"/>
  <c r="Z1945" i="3"/>
  <c r="AG1944" i="3"/>
  <c r="AF1944" i="3"/>
  <c r="AE1944" i="3"/>
  <c r="AD1944" i="3"/>
  <c r="AC1944" i="3"/>
  <c r="AB1944" i="3"/>
  <c r="AA1944" i="3"/>
  <c r="Z1944" i="3"/>
  <c r="AG1943" i="3"/>
  <c r="AF1943" i="3"/>
  <c r="AE1943" i="3"/>
  <c r="AD1943" i="3"/>
  <c r="AC1943" i="3"/>
  <c r="AB1943" i="3"/>
  <c r="AA1943" i="3"/>
  <c r="Z1943" i="3"/>
  <c r="AG1942" i="3"/>
  <c r="AF1942" i="3"/>
  <c r="AE1942" i="3"/>
  <c r="AD1942" i="3"/>
  <c r="AC1942" i="3"/>
  <c r="AB1942" i="3"/>
  <c r="AA1942" i="3"/>
  <c r="Z1942" i="3"/>
  <c r="AG1941" i="3"/>
  <c r="AF1941" i="3"/>
  <c r="AE1941" i="3"/>
  <c r="AD1941" i="3"/>
  <c r="AC1941" i="3"/>
  <c r="AB1941" i="3"/>
  <c r="AA1941" i="3"/>
  <c r="Z1941" i="3"/>
  <c r="AG1940" i="3"/>
  <c r="AF1940" i="3"/>
  <c r="AE1940" i="3"/>
  <c r="AD1940" i="3"/>
  <c r="AC1940" i="3"/>
  <c r="AB1940" i="3"/>
  <c r="AA1940" i="3"/>
  <c r="Z1940" i="3"/>
  <c r="AG1939" i="3"/>
  <c r="AF1939" i="3"/>
  <c r="AE1939" i="3"/>
  <c r="AD1939" i="3"/>
  <c r="AC1939" i="3"/>
  <c r="AB1939" i="3"/>
  <c r="AA1939" i="3"/>
  <c r="Z1939" i="3"/>
  <c r="AG1938" i="3"/>
  <c r="AF1938" i="3"/>
  <c r="AE1938" i="3"/>
  <c r="AD1938" i="3"/>
  <c r="AC1938" i="3"/>
  <c r="AB1938" i="3"/>
  <c r="AA1938" i="3"/>
  <c r="Z1938" i="3"/>
  <c r="AG1937" i="3"/>
  <c r="AF1937" i="3"/>
  <c r="AE1937" i="3"/>
  <c r="AD1937" i="3"/>
  <c r="AC1937" i="3"/>
  <c r="AB1937" i="3"/>
  <c r="AA1937" i="3"/>
  <c r="Z1937" i="3"/>
  <c r="AG1936" i="3"/>
  <c r="AF1936" i="3"/>
  <c r="AE1936" i="3"/>
  <c r="AD1936" i="3"/>
  <c r="AC1936" i="3"/>
  <c r="AB1936" i="3"/>
  <c r="AA1936" i="3"/>
  <c r="Z1936" i="3"/>
  <c r="AG1935" i="3"/>
  <c r="AF1935" i="3"/>
  <c r="AE1935" i="3"/>
  <c r="AD1935" i="3"/>
  <c r="AC1935" i="3"/>
  <c r="AB1935" i="3"/>
  <c r="AA1935" i="3"/>
  <c r="Z1935" i="3"/>
  <c r="AG1934" i="3"/>
  <c r="AF1934" i="3"/>
  <c r="AE1934" i="3"/>
  <c r="AD1934" i="3"/>
  <c r="AC1934" i="3"/>
  <c r="AB1934" i="3"/>
  <c r="AA1934" i="3"/>
  <c r="Z1934" i="3"/>
  <c r="AG1933" i="3"/>
  <c r="AF1933" i="3"/>
  <c r="AE1933" i="3"/>
  <c r="AD1933" i="3"/>
  <c r="AC1933" i="3"/>
  <c r="AB1933" i="3"/>
  <c r="AA1933" i="3"/>
  <c r="Z1933" i="3"/>
  <c r="AG1932" i="3"/>
  <c r="AF1932" i="3"/>
  <c r="AE1932" i="3"/>
  <c r="AD1932" i="3"/>
  <c r="AC1932" i="3"/>
  <c r="AB1932" i="3"/>
  <c r="AA1932" i="3"/>
  <c r="Z1932" i="3"/>
  <c r="AG1931" i="3"/>
  <c r="AF1931" i="3"/>
  <c r="AE1931" i="3"/>
  <c r="AD1931" i="3"/>
  <c r="AC1931" i="3"/>
  <c r="AB1931" i="3"/>
  <c r="AA1931" i="3"/>
  <c r="Z1931" i="3"/>
  <c r="AG1930" i="3"/>
  <c r="AF1930" i="3"/>
  <c r="AE1930" i="3"/>
  <c r="AD1930" i="3"/>
  <c r="AC1930" i="3"/>
  <c r="AB1930" i="3"/>
  <c r="AA1930" i="3"/>
  <c r="Z1930" i="3"/>
  <c r="AG1929" i="3"/>
  <c r="AF1929" i="3"/>
  <c r="AE1929" i="3"/>
  <c r="AD1929" i="3"/>
  <c r="AC1929" i="3"/>
  <c r="AB1929" i="3"/>
  <c r="AA1929" i="3"/>
  <c r="Z1929" i="3"/>
  <c r="AG1928" i="3"/>
  <c r="AF1928" i="3"/>
  <c r="AE1928" i="3"/>
  <c r="AD1928" i="3"/>
  <c r="AC1928" i="3"/>
  <c r="AB1928" i="3"/>
  <c r="AA1928" i="3"/>
  <c r="Z1928" i="3"/>
  <c r="AG1927" i="3"/>
  <c r="AF1927" i="3"/>
  <c r="AE1927" i="3"/>
  <c r="AD1927" i="3"/>
  <c r="AC1927" i="3"/>
  <c r="AB1927" i="3"/>
  <c r="AA1927" i="3"/>
  <c r="Z1927" i="3"/>
  <c r="AG1926" i="3"/>
  <c r="AF1926" i="3"/>
  <c r="AE1926" i="3"/>
  <c r="AD1926" i="3"/>
  <c r="AC1926" i="3"/>
  <c r="AB1926" i="3"/>
  <c r="AA1926" i="3"/>
  <c r="Z1926" i="3"/>
  <c r="AG1925" i="3"/>
  <c r="AF1925" i="3"/>
  <c r="AE1925" i="3"/>
  <c r="AD1925" i="3"/>
  <c r="AC1925" i="3"/>
  <c r="AB1925" i="3"/>
  <c r="AA1925" i="3"/>
  <c r="Z1925" i="3"/>
  <c r="AG1924" i="3"/>
  <c r="AF1924" i="3"/>
  <c r="AE1924" i="3"/>
  <c r="AD1924" i="3"/>
  <c r="AC1924" i="3"/>
  <c r="AB1924" i="3"/>
  <c r="AA1924" i="3"/>
  <c r="Z1924" i="3"/>
  <c r="AG1923" i="3"/>
  <c r="AF1923" i="3"/>
  <c r="AE1923" i="3"/>
  <c r="AD1923" i="3"/>
  <c r="AC1923" i="3"/>
  <c r="AB1923" i="3"/>
  <c r="AA1923" i="3"/>
  <c r="Z1923" i="3"/>
  <c r="AG1922" i="3"/>
  <c r="AF1922" i="3"/>
  <c r="AE1922" i="3"/>
  <c r="AD1922" i="3"/>
  <c r="AC1922" i="3"/>
  <c r="AB1922" i="3"/>
  <c r="AA1922" i="3"/>
  <c r="Z1922" i="3"/>
  <c r="AG1921" i="3"/>
  <c r="AF1921" i="3"/>
  <c r="AE1921" i="3"/>
  <c r="AD1921" i="3"/>
  <c r="AC1921" i="3"/>
  <c r="AB1921" i="3"/>
  <c r="AA1921" i="3"/>
  <c r="Z1921" i="3"/>
  <c r="AG1920" i="3"/>
  <c r="AF1920" i="3"/>
  <c r="AE1920" i="3"/>
  <c r="AD1920" i="3"/>
  <c r="AC1920" i="3"/>
  <c r="AB1920" i="3"/>
  <c r="AA1920" i="3"/>
  <c r="Z1920" i="3"/>
  <c r="AG1919" i="3"/>
  <c r="AF1919" i="3"/>
  <c r="AE1919" i="3"/>
  <c r="AD1919" i="3"/>
  <c r="AC1919" i="3"/>
  <c r="AB1919" i="3"/>
  <c r="AA1919" i="3"/>
  <c r="Z1919" i="3"/>
  <c r="AG1918" i="3"/>
  <c r="AF1918" i="3"/>
  <c r="AE1918" i="3"/>
  <c r="AD1918" i="3"/>
  <c r="AC1918" i="3"/>
  <c r="AB1918" i="3"/>
  <c r="AA1918" i="3"/>
  <c r="Z1918" i="3"/>
  <c r="AG1917" i="3"/>
  <c r="AF1917" i="3"/>
  <c r="AE1917" i="3"/>
  <c r="AD1917" i="3"/>
  <c r="AC1917" i="3"/>
  <c r="AB1917" i="3"/>
  <c r="AA1917" i="3"/>
  <c r="Z1917" i="3"/>
  <c r="AG1916" i="3"/>
  <c r="AF1916" i="3"/>
  <c r="AE1916" i="3"/>
  <c r="AD1916" i="3"/>
  <c r="AC1916" i="3"/>
  <c r="AB1916" i="3"/>
  <c r="AA1916" i="3"/>
  <c r="Z1916" i="3"/>
  <c r="AG1915" i="3"/>
  <c r="AF1915" i="3"/>
  <c r="AE1915" i="3"/>
  <c r="AD1915" i="3"/>
  <c r="AC1915" i="3"/>
  <c r="AB1915" i="3"/>
  <c r="AA1915" i="3"/>
  <c r="Z1915" i="3"/>
  <c r="AG1914" i="3"/>
  <c r="AF1914" i="3"/>
  <c r="AE1914" i="3"/>
  <c r="AD1914" i="3"/>
  <c r="AC1914" i="3"/>
  <c r="AB1914" i="3"/>
  <c r="AA1914" i="3"/>
  <c r="Z1914" i="3"/>
  <c r="AG1913" i="3"/>
  <c r="AF1913" i="3"/>
  <c r="AE1913" i="3"/>
  <c r="AD1913" i="3"/>
  <c r="AC1913" i="3"/>
  <c r="AB1913" i="3"/>
  <c r="AA1913" i="3"/>
  <c r="Z1913" i="3"/>
  <c r="AG1912" i="3"/>
  <c r="AF1912" i="3"/>
  <c r="AE1912" i="3"/>
  <c r="AD1912" i="3"/>
  <c r="AC1912" i="3"/>
  <c r="AB1912" i="3"/>
  <c r="AA1912" i="3"/>
  <c r="Z1912" i="3"/>
  <c r="AG1911" i="3"/>
  <c r="AF1911" i="3"/>
  <c r="AE1911" i="3"/>
  <c r="AD1911" i="3"/>
  <c r="AC1911" i="3"/>
  <c r="AB1911" i="3"/>
  <c r="AA1911" i="3"/>
  <c r="Z1911" i="3"/>
  <c r="AG1910" i="3"/>
  <c r="AF1910" i="3"/>
  <c r="AE1910" i="3"/>
  <c r="AD1910" i="3"/>
  <c r="AC1910" i="3"/>
  <c r="AB1910" i="3"/>
  <c r="AA1910" i="3"/>
  <c r="Z1910" i="3"/>
  <c r="AG1909" i="3"/>
  <c r="AF1909" i="3"/>
  <c r="AE1909" i="3"/>
  <c r="AD1909" i="3"/>
  <c r="AC1909" i="3"/>
  <c r="AB1909" i="3"/>
  <c r="AA1909" i="3"/>
  <c r="Z1909" i="3"/>
  <c r="AG1908" i="3"/>
  <c r="AF1908" i="3"/>
  <c r="AE1908" i="3"/>
  <c r="AD1908" i="3"/>
  <c r="AC1908" i="3"/>
  <c r="AB1908" i="3"/>
  <c r="AA1908" i="3"/>
  <c r="Z1908" i="3"/>
  <c r="AG1907" i="3"/>
  <c r="AF1907" i="3"/>
  <c r="AE1907" i="3"/>
  <c r="AD1907" i="3"/>
  <c r="AC1907" i="3"/>
  <c r="AB1907" i="3"/>
  <c r="AA1907" i="3"/>
  <c r="Z1907" i="3"/>
  <c r="AG1906" i="3"/>
  <c r="AF1906" i="3"/>
  <c r="AE1906" i="3"/>
  <c r="AD1906" i="3"/>
  <c r="AC1906" i="3"/>
  <c r="AB1906" i="3"/>
  <c r="AA1906" i="3"/>
  <c r="Z1906" i="3"/>
  <c r="AG1905" i="3"/>
  <c r="AF1905" i="3"/>
  <c r="AE1905" i="3"/>
  <c r="AD1905" i="3"/>
  <c r="AC1905" i="3"/>
  <c r="AB1905" i="3"/>
  <c r="AA1905" i="3"/>
  <c r="Z1905" i="3"/>
  <c r="AG1904" i="3"/>
  <c r="AF1904" i="3"/>
  <c r="AE1904" i="3"/>
  <c r="AD1904" i="3"/>
  <c r="AC1904" i="3"/>
  <c r="AB1904" i="3"/>
  <c r="AA1904" i="3"/>
  <c r="Z1904" i="3"/>
  <c r="AG1903" i="3"/>
  <c r="AF1903" i="3"/>
  <c r="AE1903" i="3"/>
  <c r="AD1903" i="3"/>
  <c r="AC1903" i="3"/>
  <c r="AB1903" i="3"/>
  <c r="AA1903" i="3"/>
  <c r="Z1903" i="3"/>
  <c r="AG1902" i="3"/>
  <c r="AF1902" i="3"/>
  <c r="AE1902" i="3"/>
  <c r="AD1902" i="3"/>
  <c r="AC1902" i="3"/>
  <c r="AB1902" i="3"/>
  <c r="AA1902" i="3"/>
  <c r="Z1902" i="3"/>
  <c r="AG1901" i="3"/>
  <c r="AF1901" i="3"/>
  <c r="AE1901" i="3"/>
  <c r="AD1901" i="3"/>
  <c r="AC1901" i="3"/>
  <c r="AB1901" i="3"/>
  <c r="AA1901" i="3"/>
  <c r="Z1901" i="3"/>
  <c r="AG1900" i="3"/>
  <c r="AF1900" i="3"/>
  <c r="AE1900" i="3"/>
  <c r="AD1900" i="3"/>
  <c r="AC1900" i="3"/>
  <c r="AB1900" i="3"/>
  <c r="AA1900" i="3"/>
  <c r="Z1900" i="3"/>
  <c r="AG1899" i="3"/>
  <c r="AF1899" i="3"/>
  <c r="AE1899" i="3"/>
  <c r="AD1899" i="3"/>
  <c r="AC1899" i="3"/>
  <c r="AB1899" i="3"/>
  <c r="AA1899" i="3"/>
  <c r="Z1899" i="3"/>
  <c r="AG1898" i="3"/>
  <c r="AF1898" i="3"/>
  <c r="AE1898" i="3"/>
  <c r="AD1898" i="3"/>
  <c r="AC1898" i="3"/>
  <c r="AB1898" i="3"/>
  <c r="AA1898" i="3"/>
  <c r="Z1898" i="3"/>
  <c r="AG1897" i="3"/>
  <c r="AF1897" i="3"/>
  <c r="AE1897" i="3"/>
  <c r="AD1897" i="3"/>
  <c r="AC1897" i="3"/>
  <c r="AB1897" i="3"/>
  <c r="AA1897" i="3"/>
  <c r="Z1897" i="3"/>
  <c r="AG1896" i="3"/>
  <c r="AF1896" i="3"/>
  <c r="AE1896" i="3"/>
  <c r="AD1896" i="3"/>
  <c r="AC1896" i="3"/>
  <c r="AB1896" i="3"/>
  <c r="AA1896" i="3"/>
  <c r="Z1896" i="3"/>
  <c r="AG1895" i="3"/>
  <c r="AF1895" i="3"/>
  <c r="AE1895" i="3"/>
  <c r="AD1895" i="3"/>
  <c r="AC1895" i="3"/>
  <c r="AB1895" i="3"/>
  <c r="AA1895" i="3"/>
  <c r="Z1895" i="3"/>
  <c r="AG1894" i="3"/>
  <c r="AF1894" i="3"/>
  <c r="AE1894" i="3"/>
  <c r="AD1894" i="3"/>
  <c r="AC1894" i="3"/>
  <c r="AB1894" i="3"/>
  <c r="AA1894" i="3"/>
  <c r="Z1894" i="3"/>
  <c r="AG1893" i="3"/>
  <c r="AF1893" i="3"/>
  <c r="AE1893" i="3"/>
  <c r="AD1893" i="3"/>
  <c r="AC1893" i="3"/>
  <c r="AB1893" i="3"/>
  <c r="AA1893" i="3"/>
  <c r="Z1893" i="3"/>
  <c r="AG1892" i="3"/>
  <c r="AF1892" i="3"/>
  <c r="AE1892" i="3"/>
  <c r="AD1892" i="3"/>
  <c r="AC1892" i="3"/>
  <c r="AB1892" i="3"/>
  <c r="AA1892" i="3"/>
  <c r="Z1892" i="3"/>
  <c r="AG1891" i="3"/>
  <c r="AF1891" i="3"/>
  <c r="AE1891" i="3"/>
  <c r="AD1891" i="3"/>
  <c r="AC1891" i="3"/>
  <c r="AB1891" i="3"/>
  <c r="AA1891" i="3"/>
  <c r="Z1891" i="3"/>
  <c r="AG1890" i="3"/>
  <c r="AF1890" i="3"/>
  <c r="AE1890" i="3"/>
  <c r="AD1890" i="3"/>
  <c r="AC1890" i="3"/>
  <c r="AB1890" i="3"/>
  <c r="AA1890" i="3"/>
  <c r="Z1890" i="3"/>
  <c r="AG1889" i="3"/>
  <c r="AF1889" i="3"/>
  <c r="AE1889" i="3"/>
  <c r="AD1889" i="3"/>
  <c r="AC1889" i="3"/>
  <c r="AB1889" i="3"/>
  <c r="AA1889" i="3"/>
  <c r="Z1889" i="3"/>
  <c r="AG1888" i="3"/>
  <c r="AF1888" i="3"/>
  <c r="AE1888" i="3"/>
  <c r="AD1888" i="3"/>
  <c r="AC1888" i="3"/>
  <c r="AB1888" i="3"/>
  <c r="AA1888" i="3"/>
  <c r="Z1888" i="3"/>
  <c r="AG1887" i="3"/>
  <c r="AF1887" i="3"/>
  <c r="AE1887" i="3"/>
  <c r="AD1887" i="3"/>
  <c r="AC1887" i="3"/>
  <c r="AB1887" i="3"/>
  <c r="AA1887" i="3"/>
  <c r="Z1887" i="3"/>
  <c r="AG1886" i="3"/>
  <c r="AF1886" i="3"/>
  <c r="AE1886" i="3"/>
  <c r="AD1886" i="3"/>
  <c r="AC1886" i="3"/>
  <c r="AB1886" i="3"/>
  <c r="AA1886" i="3"/>
  <c r="Z1886" i="3"/>
  <c r="AG1885" i="3"/>
  <c r="AF1885" i="3"/>
  <c r="AE1885" i="3"/>
  <c r="AD1885" i="3"/>
  <c r="AC1885" i="3"/>
  <c r="AB1885" i="3"/>
  <c r="AA1885" i="3"/>
  <c r="Z1885" i="3"/>
  <c r="AG1884" i="3"/>
  <c r="AF1884" i="3"/>
  <c r="AE1884" i="3"/>
  <c r="AD1884" i="3"/>
  <c r="AC1884" i="3"/>
  <c r="AB1884" i="3"/>
  <c r="AA1884" i="3"/>
  <c r="Z1884" i="3"/>
  <c r="AG1883" i="3"/>
  <c r="AF1883" i="3"/>
  <c r="AE1883" i="3"/>
  <c r="AD1883" i="3"/>
  <c r="AC1883" i="3"/>
  <c r="AB1883" i="3"/>
  <c r="AA1883" i="3"/>
  <c r="Z1883" i="3"/>
  <c r="AG1882" i="3"/>
  <c r="AF1882" i="3"/>
  <c r="AE1882" i="3"/>
  <c r="AD1882" i="3"/>
  <c r="AC1882" i="3"/>
  <c r="AB1882" i="3"/>
  <c r="AA1882" i="3"/>
  <c r="Z1882" i="3"/>
  <c r="AG1881" i="3"/>
  <c r="AF1881" i="3"/>
  <c r="AE1881" i="3"/>
  <c r="AD1881" i="3"/>
  <c r="AC1881" i="3"/>
  <c r="AB1881" i="3"/>
  <c r="AA1881" i="3"/>
  <c r="Z1881" i="3"/>
  <c r="AG1880" i="3"/>
  <c r="AF1880" i="3"/>
  <c r="AE1880" i="3"/>
  <c r="AD1880" i="3"/>
  <c r="AC1880" i="3"/>
  <c r="AB1880" i="3"/>
  <c r="AA1880" i="3"/>
  <c r="Z1880" i="3"/>
  <c r="AG1879" i="3"/>
  <c r="AF1879" i="3"/>
  <c r="AE1879" i="3"/>
  <c r="AD1879" i="3"/>
  <c r="AC1879" i="3"/>
  <c r="AB1879" i="3"/>
  <c r="AA1879" i="3"/>
  <c r="Z1879" i="3"/>
  <c r="AG1878" i="3"/>
  <c r="AF1878" i="3"/>
  <c r="AE1878" i="3"/>
  <c r="AD1878" i="3"/>
  <c r="AC1878" i="3"/>
  <c r="AB1878" i="3"/>
  <c r="AA1878" i="3"/>
  <c r="Z1878" i="3"/>
  <c r="AG1877" i="3"/>
  <c r="AF1877" i="3"/>
  <c r="AE1877" i="3"/>
  <c r="AD1877" i="3"/>
  <c r="AC1877" i="3"/>
  <c r="AB1877" i="3"/>
  <c r="AA1877" i="3"/>
  <c r="Z1877" i="3"/>
  <c r="AG1876" i="3"/>
  <c r="AF1876" i="3"/>
  <c r="AE1876" i="3"/>
  <c r="AD1876" i="3"/>
  <c r="AC1876" i="3"/>
  <c r="AB1876" i="3"/>
  <c r="AA1876" i="3"/>
  <c r="Z1876" i="3"/>
  <c r="AG1875" i="3"/>
  <c r="AF1875" i="3"/>
  <c r="AE1875" i="3"/>
  <c r="AD1875" i="3"/>
  <c r="AC1875" i="3"/>
  <c r="AB1875" i="3"/>
  <c r="AA1875" i="3"/>
  <c r="Z1875" i="3"/>
  <c r="AG1874" i="3"/>
  <c r="AF1874" i="3"/>
  <c r="AE1874" i="3"/>
  <c r="AD1874" i="3"/>
  <c r="AC1874" i="3"/>
  <c r="AB1874" i="3"/>
  <c r="AA1874" i="3"/>
  <c r="Z1874" i="3"/>
  <c r="AG1873" i="3"/>
  <c r="AF1873" i="3"/>
  <c r="AE1873" i="3"/>
  <c r="AD1873" i="3"/>
  <c r="AC1873" i="3"/>
  <c r="AB1873" i="3"/>
  <c r="AA1873" i="3"/>
  <c r="Z1873" i="3"/>
  <c r="AG1872" i="3"/>
  <c r="AF1872" i="3"/>
  <c r="AE1872" i="3"/>
  <c r="AD1872" i="3"/>
  <c r="AC1872" i="3"/>
  <c r="AB1872" i="3"/>
  <c r="AA1872" i="3"/>
  <c r="Z1872" i="3"/>
  <c r="AG1871" i="3"/>
  <c r="AF1871" i="3"/>
  <c r="AE1871" i="3"/>
  <c r="AD1871" i="3"/>
  <c r="AC1871" i="3"/>
  <c r="AB1871" i="3"/>
  <c r="AA1871" i="3"/>
  <c r="Z1871" i="3"/>
  <c r="AG1870" i="3"/>
  <c r="AF1870" i="3"/>
  <c r="AE1870" i="3"/>
  <c r="AD1870" i="3"/>
  <c r="AC1870" i="3"/>
  <c r="AB1870" i="3"/>
  <c r="AA1870" i="3"/>
  <c r="Z1870" i="3"/>
  <c r="AG1869" i="3"/>
  <c r="AF1869" i="3"/>
  <c r="AE1869" i="3"/>
  <c r="AD1869" i="3"/>
  <c r="AC1869" i="3"/>
  <c r="AB1869" i="3"/>
  <c r="AA1869" i="3"/>
  <c r="Z1869" i="3"/>
  <c r="AG1868" i="3"/>
  <c r="AF1868" i="3"/>
  <c r="AE1868" i="3"/>
  <c r="AD1868" i="3"/>
  <c r="AC1868" i="3"/>
  <c r="AB1868" i="3"/>
  <c r="AA1868" i="3"/>
  <c r="Z1868" i="3"/>
  <c r="AG1867" i="3"/>
  <c r="AF1867" i="3"/>
  <c r="AE1867" i="3"/>
  <c r="AD1867" i="3"/>
  <c r="AC1867" i="3"/>
  <c r="AB1867" i="3"/>
  <c r="AA1867" i="3"/>
  <c r="Z1867" i="3"/>
  <c r="AG1866" i="3"/>
  <c r="AF1866" i="3"/>
  <c r="AE1866" i="3"/>
  <c r="AD1866" i="3"/>
  <c r="AC1866" i="3"/>
  <c r="AB1866" i="3"/>
  <c r="AA1866" i="3"/>
  <c r="Z1866" i="3"/>
  <c r="AG1865" i="3"/>
  <c r="AF1865" i="3"/>
  <c r="AE1865" i="3"/>
  <c r="AD1865" i="3"/>
  <c r="AC1865" i="3"/>
  <c r="AB1865" i="3"/>
  <c r="AA1865" i="3"/>
  <c r="Z1865" i="3"/>
  <c r="AG1864" i="3"/>
  <c r="AF1864" i="3"/>
  <c r="AE1864" i="3"/>
  <c r="AD1864" i="3"/>
  <c r="AC1864" i="3"/>
  <c r="AB1864" i="3"/>
  <c r="AA1864" i="3"/>
  <c r="Z1864" i="3"/>
  <c r="AG1863" i="3"/>
  <c r="AF1863" i="3"/>
  <c r="AE1863" i="3"/>
  <c r="AD1863" i="3"/>
  <c r="AC1863" i="3"/>
  <c r="AB1863" i="3"/>
  <c r="AA1863" i="3"/>
  <c r="Z1863" i="3"/>
  <c r="AG1862" i="3"/>
  <c r="AF1862" i="3"/>
  <c r="AE1862" i="3"/>
  <c r="AD1862" i="3"/>
  <c r="AC1862" i="3"/>
  <c r="AB1862" i="3"/>
  <c r="AA1862" i="3"/>
  <c r="Z1862" i="3"/>
  <c r="AG1861" i="3"/>
  <c r="AF1861" i="3"/>
  <c r="AE1861" i="3"/>
  <c r="AD1861" i="3"/>
  <c r="AC1861" i="3"/>
  <c r="AB1861" i="3"/>
  <c r="AA1861" i="3"/>
  <c r="Z1861" i="3"/>
  <c r="AG1860" i="3"/>
  <c r="AF1860" i="3"/>
  <c r="AE1860" i="3"/>
  <c r="AD1860" i="3"/>
  <c r="AC1860" i="3"/>
  <c r="AB1860" i="3"/>
  <c r="AA1860" i="3"/>
  <c r="Z1860" i="3"/>
  <c r="AG1859" i="3"/>
  <c r="AF1859" i="3"/>
  <c r="AE1859" i="3"/>
  <c r="AD1859" i="3"/>
  <c r="AC1859" i="3"/>
  <c r="AB1859" i="3"/>
  <c r="AA1859" i="3"/>
  <c r="Z1859" i="3"/>
  <c r="AG1858" i="3"/>
  <c r="AF1858" i="3"/>
  <c r="AE1858" i="3"/>
  <c r="AD1858" i="3"/>
  <c r="AC1858" i="3"/>
  <c r="AB1858" i="3"/>
  <c r="AA1858" i="3"/>
  <c r="Z1858" i="3"/>
  <c r="AG1857" i="3"/>
  <c r="AF1857" i="3"/>
  <c r="AE1857" i="3"/>
  <c r="AD1857" i="3"/>
  <c r="AC1857" i="3"/>
  <c r="AB1857" i="3"/>
  <c r="AA1857" i="3"/>
  <c r="Z1857" i="3"/>
  <c r="AG1856" i="3"/>
  <c r="AF1856" i="3"/>
  <c r="AE1856" i="3"/>
  <c r="AD1856" i="3"/>
  <c r="AC1856" i="3"/>
  <c r="AB1856" i="3"/>
  <c r="AA1856" i="3"/>
  <c r="Z1856" i="3"/>
  <c r="AG1855" i="3"/>
  <c r="AF1855" i="3"/>
  <c r="AE1855" i="3"/>
  <c r="AD1855" i="3"/>
  <c r="AC1855" i="3"/>
  <c r="AB1855" i="3"/>
  <c r="AA1855" i="3"/>
  <c r="Z1855" i="3"/>
  <c r="AG1854" i="3"/>
  <c r="AF1854" i="3"/>
  <c r="AE1854" i="3"/>
  <c r="AD1854" i="3"/>
  <c r="AC1854" i="3"/>
  <c r="AB1854" i="3"/>
  <c r="AA1854" i="3"/>
  <c r="Z1854" i="3"/>
  <c r="AG1853" i="3"/>
  <c r="AF1853" i="3"/>
  <c r="AE1853" i="3"/>
  <c r="AD1853" i="3"/>
  <c r="AC1853" i="3"/>
  <c r="AB1853" i="3"/>
  <c r="AA1853" i="3"/>
  <c r="Z1853" i="3"/>
  <c r="AG1852" i="3"/>
  <c r="AF1852" i="3"/>
  <c r="AE1852" i="3"/>
  <c r="AD1852" i="3"/>
  <c r="AC1852" i="3"/>
  <c r="AB1852" i="3"/>
  <c r="AA1852" i="3"/>
  <c r="Z1852" i="3"/>
  <c r="AG1851" i="3"/>
  <c r="AF1851" i="3"/>
  <c r="AE1851" i="3"/>
  <c r="AD1851" i="3"/>
  <c r="AC1851" i="3"/>
  <c r="AB1851" i="3"/>
  <c r="AA1851" i="3"/>
  <c r="Z1851" i="3"/>
  <c r="AG1850" i="3"/>
  <c r="AF1850" i="3"/>
  <c r="AE1850" i="3"/>
  <c r="AD1850" i="3"/>
  <c r="AC1850" i="3"/>
  <c r="AB1850" i="3"/>
  <c r="AA1850" i="3"/>
  <c r="Z1850" i="3"/>
  <c r="AG1849" i="3"/>
  <c r="AF1849" i="3"/>
  <c r="AE1849" i="3"/>
  <c r="AD1849" i="3"/>
  <c r="AC1849" i="3"/>
  <c r="AB1849" i="3"/>
  <c r="AA1849" i="3"/>
  <c r="Z1849" i="3"/>
  <c r="AG1848" i="3"/>
  <c r="AF1848" i="3"/>
  <c r="AE1848" i="3"/>
  <c r="AD1848" i="3"/>
  <c r="AC1848" i="3"/>
  <c r="AB1848" i="3"/>
  <c r="AA1848" i="3"/>
  <c r="Z1848" i="3"/>
  <c r="AG1847" i="3"/>
  <c r="AF1847" i="3"/>
  <c r="AE1847" i="3"/>
  <c r="AD1847" i="3"/>
  <c r="AC1847" i="3"/>
  <c r="AB1847" i="3"/>
  <c r="AA1847" i="3"/>
  <c r="Z1847" i="3"/>
  <c r="AG1846" i="3"/>
  <c r="AF1846" i="3"/>
  <c r="AE1846" i="3"/>
  <c r="AD1846" i="3"/>
  <c r="AC1846" i="3"/>
  <c r="AB1846" i="3"/>
  <c r="AA1846" i="3"/>
  <c r="Z1846" i="3"/>
  <c r="AG1845" i="3"/>
  <c r="AF1845" i="3"/>
  <c r="AE1845" i="3"/>
  <c r="AD1845" i="3"/>
  <c r="AC1845" i="3"/>
  <c r="AB1845" i="3"/>
  <c r="AA1845" i="3"/>
  <c r="Z1845" i="3"/>
  <c r="AG1844" i="3"/>
  <c r="AF1844" i="3"/>
  <c r="AE1844" i="3"/>
  <c r="AD1844" i="3"/>
  <c r="AC1844" i="3"/>
  <c r="AB1844" i="3"/>
  <c r="AA1844" i="3"/>
  <c r="Z1844" i="3"/>
  <c r="AG1843" i="3"/>
  <c r="AF1843" i="3"/>
  <c r="AE1843" i="3"/>
  <c r="AD1843" i="3"/>
  <c r="AC1843" i="3"/>
  <c r="AB1843" i="3"/>
  <c r="AA1843" i="3"/>
  <c r="Z1843" i="3"/>
  <c r="AG1842" i="3"/>
  <c r="AF1842" i="3"/>
  <c r="AE1842" i="3"/>
  <c r="AD1842" i="3"/>
  <c r="AC1842" i="3"/>
  <c r="AB1842" i="3"/>
  <c r="AA1842" i="3"/>
  <c r="Z1842" i="3"/>
  <c r="AG1841" i="3"/>
  <c r="AF1841" i="3"/>
  <c r="AE1841" i="3"/>
  <c r="AD1841" i="3"/>
  <c r="AC1841" i="3"/>
  <c r="AB1841" i="3"/>
  <c r="AA1841" i="3"/>
  <c r="Z1841" i="3"/>
  <c r="AG1840" i="3"/>
  <c r="AF1840" i="3"/>
  <c r="AE1840" i="3"/>
  <c r="AD1840" i="3"/>
  <c r="AC1840" i="3"/>
  <c r="AB1840" i="3"/>
  <c r="AA1840" i="3"/>
  <c r="Z1840" i="3"/>
  <c r="AG1839" i="3"/>
  <c r="AF1839" i="3"/>
  <c r="AE1839" i="3"/>
  <c r="AD1839" i="3"/>
  <c r="AC1839" i="3"/>
  <c r="AB1839" i="3"/>
  <c r="AA1839" i="3"/>
  <c r="Z1839" i="3"/>
  <c r="AG1838" i="3"/>
  <c r="AF1838" i="3"/>
  <c r="AE1838" i="3"/>
  <c r="AD1838" i="3"/>
  <c r="AC1838" i="3"/>
  <c r="AB1838" i="3"/>
  <c r="AA1838" i="3"/>
  <c r="Z1838" i="3"/>
  <c r="AG1837" i="3"/>
  <c r="AF1837" i="3"/>
  <c r="AE1837" i="3"/>
  <c r="AD1837" i="3"/>
  <c r="AC1837" i="3"/>
  <c r="AB1837" i="3"/>
  <c r="AA1837" i="3"/>
  <c r="Z1837" i="3"/>
  <c r="AG1836" i="3"/>
  <c r="AF1836" i="3"/>
  <c r="AE1836" i="3"/>
  <c r="AD1836" i="3"/>
  <c r="AC1836" i="3"/>
  <c r="AB1836" i="3"/>
  <c r="AA1836" i="3"/>
  <c r="Z1836" i="3"/>
  <c r="AG1835" i="3"/>
  <c r="AF1835" i="3"/>
  <c r="AE1835" i="3"/>
  <c r="AD1835" i="3"/>
  <c r="AC1835" i="3"/>
  <c r="AB1835" i="3"/>
  <c r="AA1835" i="3"/>
  <c r="Z1835" i="3"/>
  <c r="AG1834" i="3"/>
  <c r="AF1834" i="3"/>
  <c r="AE1834" i="3"/>
  <c r="AD1834" i="3"/>
  <c r="AC1834" i="3"/>
  <c r="AB1834" i="3"/>
  <c r="AA1834" i="3"/>
  <c r="Z1834" i="3"/>
  <c r="AG1833" i="3"/>
  <c r="AF1833" i="3"/>
  <c r="AE1833" i="3"/>
  <c r="AD1833" i="3"/>
  <c r="AC1833" i="3"/>
  <c r="AB1833" i="3"/>
  <c r="AA1833" i="3"/>
  <c r="Z1833" i="3"/>
  <c r="AG1832" i="3"/>
  <c r="AF1832" i="3"/>
  <c r="AE1832" i="3"/>
  <c r="AD1832" i="3"/>
  <c r="AC1832" i="3"/>
  <c r="AB1832" i="3"/>
  <c r="AA1832" i="3"/>
  <c r="Z1832" i="3"/>
  <c r="AG1831" i="3"/>
  <c r="AF1831" i="3"/>
  <c r="AE1831" i="3"/>
  <c r="AD1831" i="3"/>
  <c r="AC1831" i="3"/>
  <c r="AB1831" i="3"/>
  <c r="AA1831" i="3"/>
  <c r="Z1831" i="3"/>
  <c r="AG1830" i="3"/>
  <c r="AF1830" i="3"/>
  <c r="AE1830" i="3"/>
  <c r="AD1830" i="3"/>
  <c r="AC1830" i="3"/>
  <c r="AB1830" i="3"/>
  <c r="AA1830" i="3"/>
  <c r="Z1830" i="3"/>
  <c r="AG1829" i="3"/>
  <c r="AF1829" i="3"/>
  <c r="AE1829" i="3"/>
  <c r="AD1829" i="3"/>
  <c r="AC1829" i="3"/>
  <c r="AB1829" i="3"/>
  <c r="AA1829" i="3"/>
  <c r="Z1829" i="3"/>
  <c r="AG1828" i="3"/>
  <c r="AF1828" i="3"/>
  <c r="AE1828" i="3"/>
  <c r="AD1828" i="3"/>
  <c r="AC1828" i="3"/>
  <c r="AB1828" i="3"/>
  <c r="AA1828" i="3"/>
  <c r="Z1828" i="3"/>
  <c r="AG1827" i="3"/>
  <c r="AF1827" i="3"/>
  <c r="AE1827" i="3"/>
  <c r="AD1827" i="3"/>
  <c r="AC1827" i="3"/>
  <c r="AB1827" i="3"/>
  <c r="AA1827" i="3"/>
  <c r="Z1827" i="3"/>
  <c r="AG1826" i="3"/>
  <c r="AF1826" i="3"/>
  <c r="AE1826" i="3"/>
  <c r="AD1826" i="3"/>
  <c r="AC1826" i="3"/>
  <c r="AB1826" i="3"/>
  <c r="AA1826" i="3"/>
  <c r="Z1826" i="3"/>
  <c r="AG1825" i="3"/>
  <c r="AF1825" i="3"/>
  <c r="AE1825" i="3"/>
  <c r="AD1825" i="3"/>
  <c r="AC1825" i="3"/>
  <c r="AB1825" i="3"/>
  <c r="AA1825" i="3"/>
  <c r="Z1825" i="3"/>
  <c r="AG1824" i="3"/>
  <c r="AF1824" i="3"/>
  <c r="AE1824" i="3"/>
  <c r="AD1824" i="3"/>
  <c r="AC1824" i="3"/>
  <c r="AB1824" i="3"/>
  <c r="AA1824" i="3"/>
  <c r="Z1824" i="3"/>
  <c r="AG1823" i="3"/>
  <c r="AF1823" i="3"/>
  <c r="AE1823" i="3"/>
  <c r="AD1823" i="3"/>
  <c r="AC1823" i="3"/>
  <c r="AB1823" i="3"/>
  <c r="AA1823" i="3"/>
  <c r="Z1823" i="3"/>
  <c r="AG1822" i="3"/>
  <c r="AF1822" i="3"/>
  <c r="AE1822" i="3"/>
  <c r="AD1822" i="3"/>
  <c r="AC1822" i="3"/>
  <c r="AB1822" i="3"/>
  <c r="AA1822" i="3"/>
  <c r="Z1822" i="3"/>
  <c r="AG1821" i="3"/>
  <c r="AF1821" i="3"/>
  <c r="AE1821" i="3"/>
  <c r="AD1821" i="3"/>
  <c r="AC1821" i="3"/>
  <c r="AB1821" i="3"/>
  <c r="AA1821" i="3"/>
  <c r="Z1821" i="3"/>
  <c r="AG1820" i="3"/>
  <c r="AF1820" i="3"/>
  <c r="AE1820" i="3"/>
  <c r="AD1820" i="3"/>
  <c r="AC1820" i="3"/>
  <c r="AB1820" i="3"/>
  <c r="AA1820" i="3"/>
  <c r="Z1820" i="3"/>
  <c r="AG1819" i="3"/>
  <c r="AF1819" i="3"/>
  <c r="AE1819" i="3"/>
  <c r="AD1819" i="3"/>
  <c r="AC1819" i="3"/>
  <c r="AB1819" i="3"/>
  <c r="AA1819" i="3"/>
  <c r="Z1819" i="3"/>
  <c r="AG1818" i="3"/>
  <c r="AF1818" i="3"/>
  <c r="AE1818" i="3"/>
  <c r="AD1818" i="3"/>
  <c r="AC1818" i="3"/>
  <c r="AB1818" i="3"/>
  <c r="AA1818" i="3"/>
  <c r="Z1818" i="3"/>
  <c r="AG1817" i="3"/>
  <c r="AF1817" i="3"/>
  <c r="AE1817" i="3"/>
  <c r="AD1817" i="3"/>
  <c r="AC1817" i="3"/>
  <c r="AB1817" i="3"/>
  <c r="AA1817" i="3"/>
  <c r="Z1817" i="3"/>
  <c r="AG1816" i="3"/>
  <c r="AF1816" i="3"/>
  <c r="AE1816" i="3"/>
  <c r="AD1816" i="3"/>
  <c r="AC1816" i="3"/>
  <c r="AB1816" i="3"/>
  <c r="AA1816" i="3"/>
  <c r="Z1816" i="3"/>
  <c r="AG1815" i="3"/>
  <c r="AF1815" i="3"/>
  <c r="AE1815" i="3"/>
  <c r="AD1815" i="3"/>
  <c r="AC1815" i="3"/>
  <c r="AB1815" i="3"/>
  <c r="AA1815" i="3"/>
  <c r="Z1815" i="3"/>
  <c r="AG1814" i="3"/>
  <c r="AF1814" i="3"/>
  <c r="AE1814" i="3"/>
  <c r="AD1814" i="3"/>
  <c r="AC1814" i="3"/>
  <c r="AB1814" i="3"/>
  <c r="AA1814" i="3"/>
  <c r="Z1814" i="3"/>
  <c r="AG1813" i="3"/>
  <c r="AF1813" i="3"/>
  <c r="AE1813" i="3"/>
  <c r="AD1813" i="3"/>
  <c r="AC1813" i="3"/>
  <c r="AB1813" i="3"/>
  <c r="AA1813" i="3"/>
  <c r="Z1813" i="3"/>
  <c r="AG1812" i="3"/>
  <c r="AF1812" i="3"/>
  <c r="AE1812" i="3"/>
  <c r="AD1812" i="3"/>
  <c r="AC1812" i="3"/>
  <c r="AB1812" i="3"/>
  <c r="AA1812" i="3"/>
  <c r="Z1812" i="3"/>
  <c r="AG1811" i="3"/>
  <c r="AF1811" i="3"/>
  <c r="AE1811" i="3"/>
  <c r="AD1811" i="3"/>
  <c r="AC1811" i="3"/>
  <c r="AB1811" i="3"/>
  <c r="AA1811" i="3"/>
  <c r="Z1811" i="3"/>
  <c r="AG1810" i="3"/>
  <c r="AF1810" i="3"/>
  <c r="AE1810" i="3"/>
  <c r="AD1810" i="3"/>
  <c r="AC1810" i="3"/>
  <c r="AB1810" i="3"/>
  <c r="AA1810" i="3"/>
  <c r="Z1810" i="3"/>
  <c r="AG1809" i="3"/>
  <c r="AF1809" i="3"/>
  <c r="AE1809" i="3"/>
  <c r="AD1809" i="3"/>
  <c r="AC1809" i="3"/>
  <c r="AB1809" i="3"/>
  <c r="AA1809" i="3"/>
  <c r="Z1809" i="3"/>
  <c r="AG1808" i="3"/>
  <c r="AF1808" i="3"/>
  <c r="AE1808" i="3"/>
  <c r="AD1808" i="3"/>
  <c r="AC1808" i="3"/>
  <c r="AB1808" i="3"/>
  <c r="AA1808" i="3"/>
  <c r="Z1808" i="3"/>
  <c r="AG1807" i="3"/>
  <c r="AF1807" i="3"/>
  <c r="AE1807" i="3"/>
  <c r="AD1807" i="3"/>
  <c r="AC1807" i="3"/>
  <c r="AB1807" i="3"/>
  <c r="AA1807" i="3"/>
  <c r="Z1807" i="3"/>
  <c r="AG1806" i="3"/>
  <c r="AF1806" i="3"/>
  <c r="AE1806" i="3"/>
  <c r="AD1806" i="3"/>
  <c r="AC1806" i="3"/>
  <c r="AB1806" i="3"/>
  <c r="AA1806" i="3"/>
  <c r="Z1806" i="3"/>
  <c r="AG1805" i="3"/>
  <c r="AF1805" i="3"/>
  <c r="AE1805" i="3"/>
  <c r="AD1805" i="3"/>
  <c r="AC1805" i="3"/>
  <c r="AB1805" i="3"/>
  <c r="AA1805" i="3"/>
  <c r="Z1805" i="3"/>
  <c r="AG1804" i="3"/>
  <c r="AF1804" i="3"/>
  <c r="AE1804" i="3"/>
  <c r="AD1804" i="3"/>
  <c r="AC1804" i="3"/>
  <c r="AB1804" i="3"/>
  <c r="AA1804" i="3"/>
  <c r="Z1804" i="3"/>
  <c r="AG1803" i="3"/>
  <c r="AF1803" i="3"/>
  <c r="AE1803" i="3"/>
  <c r="AD1803" i="3"/>
  <c r="AC1803" i="3"/>
  <c r="AB1803" i="3"/>
  <c r="AA1803" i="3"/>
  <c r="Z1803" i="3"/>
  <c r="AG1802" i="3"/>
  <c r="AF1802" i="3"/>
  <c r="AE1802" i="3"/>
  <c r="AD1802" i="3"/>
  <c r="AC1802" i="3"/>
  <c r="AB1802" i="3"/>
  <c r="AA1802" i="3"/>
  <c r="Z1802" i="3"/>
  <c r="AG1801" i="3"/>
  <c r="AF1801" i="3"/>
  <c r="AE1801" i="3"/>
  <c r="AD1801" i="3"/>
  <c r="AC1801" i="3"/>
  <c r="AB1801" i="3"/>
  <c r="AA1801" i="3"/>
  <c r="Z1801" i="3"/>
  <c r="AG1800" i="3"/>
  <c r="AF1800" i="3"/>
  <c r="AE1800" i="3"/>
  <c r="AD1800" i="3"/>
  <c r="AC1800" i="3"/>
  <c r="AB1800" i="3"/>
  <c r="AA1800" i="3"/>
  <c r="Z1800" i="3"/>
  <c r="AG1799" i="3"/>
  <c r="AF1799" i="3"/>
  <c r="AE1799" i="3"/>
  <c r="AD1799" i="3"/>
  <c r="AC1799" i="3"/>
  <c r="AB1799" i="3"/>
  <c r="AA1799" i="3"/>
  <c r="Z1799" i="3"/>
  <c r="AG1798" i="3"/>
  <c r="AF1798" i="3"/>
  <c r="AE1798" i="3"/>
  <c r="AD1798" i="3"/>
  <c r="AC1798" i="3"/>
  <c r="AB1798" i="3"/>
  <c r="AA1798" i="3"/>
  <c r="Z1798" i="3"/>
  <c r="AG1797" i="3"/>
  <c r="AF1797" i="3"/>
  <c r="AE1797" i="3"/>
  <c r="AD1797" i="3"/>
  <c r="AC1797" i="3"/>
  <c r="AB1797" i="3"/>
  <c r="AA1797" i="3"/>
  <c r="Z1797" i="3"/>
  <c r="AG1796" i="3"/>
  <c r="AF1796" i="3"/>
  <c r="AE1796" i="3"/>
  <c r="AD1796" i="3"/>
  <c r="AC1796" i="3"/>
  <c r="AB1796" i="3"/>
  <c r="AA1796" i="3"/>
  <c r="Z1796" i="3"/>
  <c r="AG1795" i="3"/>
  <c r="AF1795" i="3"/>
  <c r="AE1795" i="3"/>
  <c r="AD1795" i="3"/>
  <c r="AC1795" i="3"/>
  <c r="AB1795" i="3"/>
  <c r="AA1795" i="3"/>
  <c r="Z1795" i="3"/>
  <c r="AG1794" i="3"/>
  <c r="AF1794" i="3"/>
  <c r="AE1794" i="3"/>
  <c r="AD1794" i="3"/>
  <c r="AC1794" i="3"/>
  <c r="AB1794" i="3"/>
  <c r="AA1794" i="3"/>
  <c r="Z1794" i="3"/>
  <c r="AG1793" i="3"/>
  <c r="AF1793" i="3"/>
  <c r="AE1793" i="3"/>
  <c r="AD1793" i="3"/>
  <c r="AC1793" i="3"/>
  <c r="AB1793" i="3"/>
  <c r="AA1793" i="3"/>
  <c r="Z1793" i="3"/>
  <c r="AG1792" i="3"/>
  <c r="AF1792" i="3"/>
  <c r="AE1792" i="3"/>
  <c r="AD1792" i="3"/>
  <c r="AC1792" i="3"/>
  <c r="AB1792" i="3"/>
  <c r="AA1792" i="3"/>
  <c r="Z1792" i="3"/>
  <c r="AG1791" i="3"/>
  <c r="AF1791" i="3"/>
  <c r="AE1791" i="3"/>
  <c r="AD1791" i="3"/>
  <c r="AC1791" i="3"/>
  <c r="AB1791" i="3"/>
  <c r="AA1791" i="3"/>
  <c r="Z1791" i="3"/>
  <c r="AG1790" i="3"/>
  <c r="AF1790" i="3"/>
  <c r="AE1790" i="3"/>
  <c r="AD1790" i="3"/>
  <c r="AC1790" i="3"/>
  <c r="AB1790" i="3"/>
  <c r="AA1790" i="3"/>
  <c r="Z1790" i="3"/>
  <c r="AG1789" i="3"/>
  <c r="AF1789" i="3"/>
  <c r="AE1789" i="3"/>
  <c r="AD1789" i="3"/>
  <c r="AC1789" i="3"/>
  <c r="AB1789" i="3"/>
  <c r="AA1789" i="3"/>
  <c r="Z1789" i="3"/>
  <c r="AG1788" i="3"/>
  <c r="AF1788" i="3"/>
  <c r="AE1788" i="3"/>
  <c r="AD1788" i="3"/>
  <c r="AC1788" i="3"/>
  <c r="AB1788" i="3"/>
  <c r="AA1788" i="3"/>
  <c r="Z1788" i="3"/>
  <c r="AG1787" i="3"/>
  <c r="AF1787" i="3"/>
  <c r="AE1787" i="3"/>
  <c r="AD1787" i="3"/>
  <c r="AC1787" i="3"/>
  <c r="AB1787" i="3"/>
  <c r="AA1787" i="3"/>
  <c r="Z1787" i="3"/>
  <c r="AG1786" i="3"/>
  <c r="AF1786" i="3"/>
  <c r="AE1786" i="3"/>
  <c r="AD1786" i="3"/>
  <c r="AC1786" i="3"/>
  <c r="AB1786" i="3"/>
  <c r="AA1786" i="3"/>
  <c r="Z1786" i="3"/>
  <c r="AG1785" i="3"/>
  <c r="AF1785" i="3"/>
  <c r="AE1785" i="3"/>
  <c r="AD1785" i="3"/>
  <c r="AC1785" i="3"/>
  <c r="AB1785" i="3"/>
  <c r="AA1785" i="3"/>
  <c r="Z1785" i="3"/>
  <c r="AG1784" i="3"/>
  <c r="AF1784" i="3"/>
  <c r="AE1784" i="3"/>
  <c r="AD1784" i="3"/>
  <c r="AC1784" i="3"/>
  <c r="AB1784" i="3"/>
  <c r="AA1784" i="3"/>
  <c r="Z1784" i="3"/>
  <c r="AG1783" i="3"/>
  <c r="AF1783" i="3"/>
  <c r="AE1783" i="3"/>
  <c r="AD1783" i="3"/>
  <c r="AC1783" i="3"/>
  <c r="AB1783" i="3"/>
  <c r="AA1783" i="3"/>
  <c r="Z1783" i="3"/>
  <c r="AG1782" i="3"/>
  <c r="AF1782" i="3"/>
  <c r="AE1782" i="3"/>
  <c r="AD1782" i="3"/>
  <c r="AC1782" i="3"/>
  <c r="AB1782" i="3"/>
  <c r="AA1782" i="3"/>
  <c r="Z1782" i="3"/>
  <c r="AG1781" i="3"/>
  <c r="AF1781" i="3"/>
  <c r="AE1781" i="3"/>
  <c r="AD1781" i="3"/>
  <c r="AC1781" i="3"/>
  <c r="AB1781" i="3"/>
  <c r="AA1781" i="3"/>
  <c r="Z1781" i="3"/>
  <c r="AG1780" i="3"/>
  <c r="AF1780" i="3"/>
  <c r="AE1780" i="3"/>
  <c r="AD1780" i="3"/>
  <c r="AC1780" i="3"/>
  <c r="AB1780" i="3"/>
  <c r="AA1780" i="3"/>
  <c r="Z1780" i="3"/>
  <c r="AG1779" i="3"/>
  <c r="AF1779" i="3"/>
  <c r="AE1779" i="3"/>
  <c r="AD1779" i="3"/>
  <c r="AC1779" i="3"/>
  <c r="AB1779" i="3"/>
  <c r="AA1779" i="3"/>
  <c r="Z1779" i="3"/>
  <c r="AG1778" i="3"/>
  <c r="AF1778" i="3"/>
  <c r="AE1778" i="3"/>
  <c r="AD1778" i="3"/>
  <c r="AC1778" i="3"/>
  <c r="AB1778" i="3"/>
  <c r="AA1778" i="3"/>
  <c r="Z1778" i="3"/>
  <c r="AG1777" i="3"/>
  <c r="AF1777" i="3"/>
  <c r="AE1777" i="3"/>
  <c r="AD1777" i="3"/>
  <c r="AC1777" i="3"/>
  <c r="AB1777" i="3"/>
  <c r="AA1777" i="3"/>
  <c r="Z1777" i="3"/>
  <c r="AG1776" i="3"/>
  <c r="AF1776" i="3"/>
  <c r="AE1776" i="3"/>
  <c r="AD1776" i="3"/>
  <c r="AC1776" i="3"/>
  <c r="AB1776" i="3"/>
  <c r="AA1776" i="3"/>
  <c r="Z1776" i="3"/>
  <c r="AG1775" i="3"/>
  <c r="AF1775" i="3"/>
  <c r="AE1775" i="3"/>
  <c r="AD1775" i="3"/>
  <c r="AC1775" i="3"/>
  <c r="AB1775" i="3"/>
  <c r="AA1775" i="3"/>
  <c r="Z1775" i="3"/>
  <c r="AG1774" i="3"/>
  <c r="AF1774" i="3"/>
  <c r="AE1774" i="3"/>
  <c r="AD1774" i="3"/>
  <c r="AC1774" i="3"/>
  <c r="AB1774" i="3"/>
  <c r="AA1774" i="3"/>
  <c r="Z1774" i="3"/>
  <c r="AG1773" i="3"/>
  <c r="AF1773" i="3"/>
  <c r="AE1773" i="3"/>
  <c r="AD1773" i="3"/>
  <c r="AC1773" i="3"/>
  <c r="AB1773" i="3"/>
  <c r="AA1773" i="3"/>
  <c r="Z1773" i="3"/>
  <c r="AG1772" i="3"/>
  <c r="AF1772" i="3"/>
  <c r="AE1772" i="3"/>
  <c r="AD1772" i="3"/>
  <c r="AC1772" i="3"/>
  <c r="AB1772" i="3"/>
  <c r="AA1772" i="3"/>
  <c r="Z1772" i="3"/>
  <c r="AG1771" i="3"/>
  <c r="AF1771" i="3"/>
  <c r="AE1771" i="3"/>
  <c r="AD1771" i="3"/>
  <c r="AC1771" i="3"/>
  <c r="AB1771" i="3"/>
  <c r="AA1771" i="3"/>
  <c r="Z1771" i="3"/>
  <c r="AG1770" i="3"/>
  <c r="AF1770" i="3"/>
  <c r="AE1770" i="3"/>
  <c r="AD1770" i="3"/>
  <c r="AC1770" i="3"/>
  <c r="AB1770" i="3"/>
  <c r="AA1770" i="3"/>
  <c r="Z1770" i="3"/>
  <c r="AG1769" i="3"/>
  <c r="AF1769" i="3"/>
  <c r="AE1769" i="3"/>
  <c r="AD1769" i="3"/>
  <c r="AC1769" i="3"/>
  <c r="AB1769" i="3"/>
  <c r="AA1769" i="3"/>
  <c r="Z1769" i="3"/>
  <c r="AG1768" i="3"/>
  <c r="AF1768" i="3"/>
  <c r="AE1768" i="3"/>
  <c r="AD1768" i="3"/>
  <c r="AC1768" i="3"/>
  <c r="AB1768" i="3"/>
  <c r="AA1768" i="3"/>
  <c r="Z1768" i="3"/>
  <c r="AG1767" i="3"/>
  <c r="AF1767" i="3"/>
  <c r="AE1767" i="3"/>
  <c r="AD1767" i="3"/>
  <c r="AC1767" i="3"/>
  <c r="AB1767" i="3"/>
  <c r="AA1767" i="3"/>
  <c r="Z1767" i="3"/>
  <c r="AG1766" i="3"/>
  <c r="AF1766" i="3"/>
  <c r="AE1766" i="3"/>
  <c r="AD1766" i="3"/>
  <c r="AC1766" i="3"/>
  <c r="AB1766" i="3"/>
  <c r="AA1766" i="3"/>
  <c r="Z1766" i="3"/>
  <c r="AG1765" i="3"/>
  <c r="AF1765" i="3"/>
  <c r="AE1765" i="3"/>
  <c r="AD1765" i="3"/>
  <c r="AC1765" i="3"/>
  <c r="AB1765" i="3"/>
  <c r="AA1765" i="3"/>
  <c r="Z1765" i="3"/>
  <c r="AG1764" i="3"/>
  <c r="AF1764" i="3"/>
  <c r="AE1764" i="3"/>
  <c r="AD1764" i="3"/>
  <c r="AC1764" i="3"/>
  <c r="AB1764" i="3"/>
  <c r="AA1764" i="3"/>
  <c r="Z1764" i="3"/>
  <c r="AG1763" i="3"/>
  <c r="AF1763" i="3"/>
  <c r="AE1763" i="3"/>
  <c r="AD1763" i="3"/>
  <c r="AC1763" i="3"/>
  <c r="AB1763" i="3"/>
  <c r="AA1763" i="3"/>
  <c r="Z1763" i="3"/>
  <c r="AG1762" i="3"/>
  <c r="AF1762" i="3"/>
  <c r="AE1762" i="3"/>
  <c r="AD1762" i="3"/>
  <c r="AC1762" i="3"/>
  <c r="AB1762" i="3"/>
  <c r="AA1762" i="3"/>
  <c r="Z1762" i="3"/>
  <c r="AG1761" i="3"/>
  <c r="AF1761" i="3"/>
  <c r="AE1761" i="3"/>
  <c r="AD1761" i="3"/>
  <c r="AC1761" i="3"/>
  <c r="AB1761" i="3"/>
  <c r="AA1761" i="3"/>
  <c r="Z1761" i="3"/>
  <c r="AG1760" i="3"/>
  <c r="AF1760" i="3"/>
  <c r="AE1760" i="3"/>
  <c r="AD1760" i="3"/>
  <c r="AC1760" i="3"/>
  <c r="AB1760" i="3"/>
  <c r="AA1760" i="3"/>
  <c r="Z1760" i="3"/>
  <c r="AG1759" i="3"/>
  <c r="AF1759" i="3"/>
  <c r="AE1759" i="3"/>
  <c r="AD1759" i="3"/>
  <c r="AC1759" i="3"/>
  <c r="AB1759" i="3"/>
  <c r="AA1759" i="3"/>
  <c r="Z1759" i="3"/>
  <c r="AG1758" i="3"/>
  <c r="AF1758" i="3"/>
  <c r="AE1758" i="3"/>
  <c r="AD1758" i="3"/>
  <c r="AC1758" i="3"/>
  <c r="AB1758" i="3"/>
  <c r="AA1758" i="3"/>
  <c r="Z1758" i="3"/>
  <c r="AG1757" i="3"/>
  <c r="AF1757" i="3"/>
  <c r="AE1757" i="3"/>
  <c r="AD1757" i="3"/>
  <c r="AC1757" i="3"/>
  <c r="AB1757" i="3"/>
  <c r="AA1757" i="3"/>
  <c r="Z1757" i="3"/>
  <c r="AG1756" i="3"/>
  <c r="AF1756" i="3"/>
  <c r="AE1756" i="3"/>
  <c r="AD1756" i="3"/>
  <c r="AC1756" i="3"/>
  <c r="AB1756" i="3"/>
  <c r="AA1756" i="3"/>
  <c r="Z1756" i="3"/>
  <c r="AG1755" i="3"/>
  <c r="AF1755" i="3"/>
  <c r="AE1755" i="3"/>
  <c r="AD1755" i="3"/>
  <c r="AC1755" i="3"/>
  <c r="AB1755" i="3"/>
  <c r="AA1755" i="3"/>
  <c r="Z1755" i="3"/>
  <c r="AG1754" i="3"/>
  <c r="AF1754" i="3"/>
  <c r="AE1754" i="3"/>
  <c r="AD1754" i="3"/>
  <c r="AC1754" i="3"/>
  <c r="AB1754" i="3"/>
  <c r="AA1754" i="3"/>
  <c r="Z1754" i="3"/>
  <c r="AG1753" i="3"/>
  <c r="AF1753" i="3"/>
  <c r="AE1753" i="3"/>
  <c r="AD1753" i="3"/>
  <c r="AC1753" i="3"/>
  <c r="AB1753" i="3"/>
  <c r="AA1753" i="3"/>
  <c r="Z1753" i="3"/>
  <c r="AG1752" i="3"/>
  <c r="AF1752" i="3"/>
  <c r="AE1752" i="3"/>
  <c r="AD1752" i="3"/>
  <c r="AC1752" i="3"/>
  <c r="AB1752" i="3"/>
  <c r="AA1752" i="3"/>
  <c r="Z1752" i="3"/>
  <c r="AG1751" i="3"/>
  <c r="AF1751" i="3"/>
  <c r="AE1751" i="3"/>
  <c r="AD1751" i="3"/>
  <c r="AC1751" i="3"/>
  <c r="AB1751" i="3"/>
  <c r="AA1751" i="3"/>
  <c r="Z1751" i="3"/>
  <c r="AG1750" i="3"/>
  <c r="AF1750" i="3"/>
  <c r="AE1750" i="3"/>
  <c r="AD1750" i="3"/>
  <c r="AC1750" i="3"/>
  <c r="AB1750" i="3"/>
  <c r="AA1750" i="3"/>
  <c r="Z1750" i="3"/>
  <c r="AG1749" i="3"/>
  <c r="AF1749" i="3"/>
  <c r="AE1749" i="3"/>
  <c r="AD1749" i="3"/>
  <c r="AC1749" i="3"/>
  <c r="AB1749" i="3"/>
  <c r="AA1749" i="3"/>
  <c r="Z1749" i="3"/>
  <c r="AG1748" i="3"/>
  <c r="AF1748" i="3"/>
  <c r="AE1748" i="3"/>
  <c r="AD1748" i="3"/>
  <c r="AC1748" i="3"/>
  <c r="AB1748" i="3"/>
  <c r="AA1748" i="3"/>
  <c r="Z1748" i="3"/>
  <c r="AG1747" i="3"/>
  <c r="AF1747" i="3"/>
  <c r="AE1747" i="3"/>
  <c r="AD1747" i="3"/>
  <c r="AC1747" i="3"/>
  <c r="AB1747" i="3"/>
  <c r="AA1747" i="3"/>
  <c r="Z1747" i="3"/>
  <c r="AG1746" i="3"/>
  <c r="AF1746" i="3"/>
  <c r="AE1746" i="3"/>
  <c r="AD1746" i="3"/>
  <c r="AC1746" i="3"/>
  <c r="AB1746" i="3"/>
  <c r="AA1746" i="3"/>
  <c r="Z1746" i="3"/>
  <c r="AG1745" i="3"/>
  <c r="AF1745" i="3"/>
  <c r="AE1745" i="3"/>
  <c r="AD1745" i="3"/>
  <c r="AC1745" i="3"/>
  <c r="AB1745" i="3"/>
  <c r="AA1745" i="3"/>
  <c r="Z1745" i="3"/>
  <c r="AG1744" i="3"/>
  <c r="AF1744" i="3"/>
  <c r="AE1744" i="3"/>
  <c r="AD1744" i="3"/>
  <c r="AC1744" i="3"/>
  <c r="AB1744" i="3"/>
  <c r="AA1744" i="3"/>
  <c r="Z1744" i="3"/>
  <c r="AG1743" i="3"/>
  <c r="AF1743" i="3"/>
  <c r="AE1743" i="3"/>
  <c r="AD1743" i="3"/>
  <c r="AC1743" i="3"/>
  <c r="AB1743" i="3"/>
  <c r="AA1743" i="3"/>
  <c r="Z1743" i="3"/>
  <c r="AG1742" i="3"/>
  <c r="AF1742" i="3"/>
  <c r="AE1742" i="3"/>
  <c r="AD1742" i="3"/>
  <c r="AC1742" i="3"/>
  <c r="AB1742" i="3"/>
  <c r="AA1742" i="3"/>
  <c r="Z1742" i="3"/>
  <c r="AG1741" i="3"/>
  <c r="AF1741" i="3"/>
  <c r="AE1741" i="3"/>
  <c r="AD1741" i="3"/>
  <c r="AC1741" i="3"/>
  <c r="AB1741" i="3"/>
  <c r="AA1741" i="3"/>
  <c r="Z1741" i="3"/>
  <c r="AG1740" i="3"/>
  <c r="AF1740" i="3"/>
  <c r="AE1740" i="3"/>
  <c r="AD1740" i="3"/>
  <c r="AC1740" i="3"/>
  <c r="AB1740" i="3"/>
  <c r="AA1740" i="3"/>
  <c r="Z1740" i="3"/>
  <c r="AG1739" i="3"/>
  <c r="AF1739" i="3"/>
  <c r="AE1739" i="3"/>
  <c r="AD1739" i="3"/>
  <c r="AC1739" i="3"/>
  <c r="AB1739" i="3"/>
  <c r="AA1739" i="3"/>
  <c r="Z1739" i="3"/>
  <c r="AG1738" i="3"/>
  <c r="AF1738" i="3"/>
  <c r="AE1738" i="3"/>
  <c r="AD1738" i="3"/>
  <c r="AC1738" i="3"/>
  <c r="AB1738" i="3"/>
  <c r="AA1738" i="3"/>
  <c r="Z1738" i="3"/>
  <c r="AG1737" i="3"/>
  <c r="AF1737" i="3"/>
  <c r="AE1737" i="3"/>
  <c r="AD1737" i="3"/>
  <c r="AC1737" i="3"/>
  <c r="AB1737" i="3"/>
  <c r="AA1737" i="3"/>
  <c r="Z1737" i="3"/>
  <c r="AG1736" i="3"/>
  <c r="AF1736" i="3"/>
  <c r="AE1736" i="3"/>
  <c r="AD1736" i="3"/>
  <c r="AC1736" i="3"/>
  <c r="AB1736" i="3"/>
  <c r="AA1736" i="3"/>
  <c r="Z1736" i="3"/>
  <c r="AG1735" i="3"/>
  <c r="AF1735" i="3"/>
  <c r="AE1735" i="3"/>
  <c r="AD1735" i="3"/>
  <c r="AC1735" i="3"/>
  <c r="AB1735" i="3"/>
  <c r="AA1735" i="3"/>
  <c r="Z1735" i="3"/>
  <c r="AG1734" i="3"/>
  <c r="AF1734" i="3"/>
  <c r="AE1734" i="3"/>
  <c r="AD1734" i="3"/>
  <c r="AC1734" i="3"/>
  <c r="AB1734" i="3"/>
  <c r="AA1734" i="3"/>
  <c r="Z1734" i="3"/>
  <c r="AG1733" i="3"/>
  <c r="AF1733" i="3"/>
  <c r="AE1733" i="3"/>
  <c r="AD1733" i="3"/>
  <c r="AC1733" i="3"/>
  <c r="AB1733" i="3"/>
  <c r="AA1733" i="3"/>
  <c r="Z1733" i="3"/>
  <c r="AG1732" i="3"/>
  <c r="AF1732" i="3"/>
  <c r="AE1732" i="3"/>
  <c r="AD1732" i="3"/>
  <c r="AC1732" i="3"/>
  <c r="AB1732" i="3"/>
  <c r="AA1732" i="3"/>
  <c r="Z1732" i="3"/>
  <c r="AG1731" i="3"/>
  <c r="AF1731" i="3"/>
  <c r="AE1731" i="3"/>
  <c r="AD1731" i="3"/>
  <c r="AC1731" i="3"/>
  <c r="AB1731" i="3"/>
  <c r="AA1731" i="3"/>
  <c r="Z1731" i="3"/>
  <c r="AG1730" i="3"/>
  <c r="AF1730" i="3"/>
  <c r="AE1730" i="3"/>
  <c r="AD1730" i="3"/>
  <c r="AC1730" i="3"/>
  <c r="AB1730" i="3"/>
  <c r="AA1730" i="3"/>
  <c r="Z1730" i="3"/>
  <c r="AG1729" i="3"/>
  <c r="AF1729" i="3"/>
  <c r="AE1729" i="3"/>
  <c r="AD1729" i="3"/>
  <c r="AC1729" i="3"/>
  <c r="AB1729" i="3"/>
  <c r="AA1729" i="3"/>
  <c r="Z1729" i="3"/>
  <c r="AG1728" i="3"/>
  <c r="AF1728" i="3"/>
  <c r="AE1728" i="3"/>
  <c r="AD1728" i="3"/>
  <c r="AC1728" i="3"/>
  <c r="AB1728" i="3"/>
  <c r="AA1728" i="3"/>
  <c r="Z1728" i="3"/>
  <c r="AG1727" i="3"/>
  <c r="AF1727" i="3"/>
  <c r="AE1727" i="3"/>
  <c r="AD1727" i="3"/>
  <c r="AC1727" i="3"/>
  <c r="AB1727" i="3"/>
  <c r="AA1727" i="3"/>
  <c r="Z1727" i="3"/>
  <c r="AG1726" i="3"/>
  <c r="AF1726" i="3"/>
  <c r="AE1726" i="3"/>
  <c r="AD1726" i="3"/>
  <c r="AC1726" i="3"/>
  <c r="AB1726" i="3"/>
  <c r="AA1726" i="3"/>
  <c r="Z1726" i="3"/>
  <c r="AG1725" i="3"/>
  <c r="AF1725" i="3"/>
  <c r="AE1725" i="3"/>
  <c r="AD1725" i="3"/>
  <c r="AC1725" i="3"/>
  <c r="AB1725" i="3"/>
  <c r="AA1725" i="3"/>
  <c r="Z1725" i="3"/>
  <c r="AG1724" i="3"/>
  <c r="AF1724" i="3"/>
  <c r="AE1724" i="3"/>
  <c r="AD1724" i="3"/>
  <c r="AC1724" i="3"/>
  <c r="AB1724" i="3"/>
  <c r="AA1724" i="3"/>
  <c r="Z1724" i="3"/>
  <c r="AG1723" i="3"/>
  <c r="AF1723" i="3"/>
  <c r="AE1723" i="3"/>
  <c r="AD1723" i="3"/>
  <c r="AC1723" i="3"/>
  <c r="AB1723" i="3"/>
  <c r="AA1723" i="3"/>
  <c r="Z1723" i="3"/>
  <c r="AG1722" i="3"/>
  <c r="AF1722" i="3"/>
  <c r="AE1722" i="3"/>
  <c r="AD1722" i="3"/>
  <c r="AC1722" i="3"/>
  <c r="AB1722" i="3"/>
  <c r="AA1722" i="3"/>
  <c r="Z1722" i="3"/>
  <c r="AG1721" i="3"/>
  <c r="AF1721" i="3"/>
  <c r="AE1721" i="3"/>
  <c r="AD1721" i="3"/>
  <c r="AC1721" i="3"/>
  <c r="AB1721" i="3"/>
  <c r="AA1721" i="3"/>
  <c r="Z1721" i="3"/>
  <c r="AG1720" i="3"/>
  <c r="AF1720" i="3"/>
  <c r="AE1720" i="3"/>
  <c r="AD1720" i="3"/>
  <c r="AC1720" i="3"/>
  <c r="AB1720" i="3"/>
  <c r="AA1720" i="3"/>
  <c r="Z1720" i="3"/>
  <c r="AG1719" i="3"/>
  <c r="AF1719" i="3"/>
  <c r="AE1719" i="3"/>
  <c r="AD1719" i="3"/>
  <c r="AC1719" i="3"/>
  <c r="AB1719" i="3"/>
  <c r="AA1719" i="3"/>
  <c r="Z1719" i="3"/>
  <c r="AG1718" i="3"/>
  <c r="AF1718" i="3"/>
  <c r="AE1718" i="3"/>
  <c r="AD1718" i="3"/>
  <c r="AC1718" i="3"/>
  <c r="AB1718" i="3"/>
  <c r="AA1718" i="3"/>
  <c r="Z1718" i="3"/>
  <c r="AG1717" i="3"/>
  <c r="AF1717" i="3"/>
  <c r="AE1717" i="3"/>
  <c r="AD1717" i="3"/>
  <c r="AC1717" i="3"/>
  <c r="AB1717" i="3"/>
  <c r="AA1717" i="3"/>
  <c r="Z1717" i="3"/>
  <c r="AG1716" i="3"/>
  <c r="AF1716" i="3"/>
  <c r="AE1716" i="3"/>
  <c r="AD1716" i="3"/>
  <c r="AC1716" i="3"/>
  <c r="AB1716" i="3"/>
  <c r="AA1716" i="3"/>
  <c r="Z1716" i="3"/>
  <c r="AG1715" i="3"/>
  <c r="AF1715" i="3"/>
  <c r="AE1715" i="3"/>
  <c r="AD1715" i="3"/>
  <c r="AC1715" i="3"/>
  <c r="AB1715" i="3"/>
  <c r="AA1715" i="3"/>
  <c r="Z1715" i="3"/>
  <c r="AG1714" i="3"/>
  <c r="AF1714" i="3"/>
  <c r="AE1714" i="3"/>
  <c r="AD1714" i="3"/>
  <c r="AC1714" i="3"/>
  <c r="AB1714" i="3"/>
  <c r="AA1714" i="3"/>
  <c r="Z1714" i="3"/>
  <c r="AG1713" i="3"/>
  <c r="AF1713" i="3"/>
  <c r="AE1713" i="3"/>
  <c r="AD1713" i="3"/>
  <c r="AC1713" i="3"/>
  <c r="AB1713" i="3"/>
  <c r="AA1713" i="3"/>
  <c r="Z1713" i="3"/>
  <c r="AG1712" i="3"/>
  <c r="AF1712" i="3"/>
  <c r="AE1712" i="3"/>
  <c r="AD1712" i="3"/>
  <c r="AC1712" i="3"/>
  <c r="AB1712" i="3"/>
  <c r="AA1712" i="3"/>
  <c r="Z1712" i="3"/>
  <c r="AG1711" i="3"/>
  <c r="AF1711" i="3"/>
  <c r="AE1711" i="3"/>
  <c r="AD1711" i="3"/>
  <c r="AC1711" i="3"/>
  <c r="AB1711" i="3"/>
  <c r="AA1711" i="3"/>
  <c r="Z1711" i="3"/>
  <c r="AG1710" i="3"/>
  <c r="AF1710" i="3"/>
  <c r="AE1710" i="3"/>
  <c r="AD1710" i="3"/>
  <c r="AC1710" i="3"/>
  <c r="AB1710" i="3"/>
  <c r="AA1710" i="3"/>
  <c r="Z1710" i="3"/>
  <c r="AG1709" i="3"/>
  <c r="AF1709" i="3"/>
  <c r="AE1709" i="3"/>
  <c r="AD1709" i="3"/>
  <c r="AC1709" i="3"/>
  <c r="AB1709" i="3"/>
  <c r="AA1709" i="3"/>
  <c r="Z1709" i="3"/>
  <c r="AG1708" i="3"/>
  <c r="AF1708" i="3"/>
  <c r="AE1708" i="3"/>
  <c r="AD1708" i="3"/>
  <c r="AC1708" i="3"/>
  <c r="AB1708" i="3"/>
  <c r="AA1708" i="3"/>
  <c r="Z1708" i="3"/>
  <c r="AG1707" i="3"/>
  <c r="AF1707" i="3"/>
  <c r="AE1707" i="3"/>
  <c r="AD1707" i="3"/>
  <c r="AC1707" i="3"/>
  <c r="AB1707" i="3"/>
  <c r="AA1707" i="3"/>
  <c r="Z1707" i="3"/>
  <c r="AG1706" i="3"/>
  <c r="AF1706" i="3"/>
  <c r="AE1706" i="3"/>
  <c r="AD1706" i="3"/>
  <c r="AC1706" i="3"/>
  <c r="AB1706" i="3"/>
  <c r="AA1706" i="3"/>
  <c r="Z1706" i="3"/>
  <c r="AG1705" i="3"/>
  <c r="AF1705" i="3"/>
  <c r="AE1705" i="3"/>
  <c r="AD1705" i="3"/>
  <c r="AC1705" i="3"/>
  <c r="AB1705" i="3"/>
  <c r="AA1705" i="3"/>
  <c r="Z1705" i="3"/>
  <c r="AG1704" i="3"/>
  <c r="AF1704" i="3"/>
  <c r="AE1704" i="3"/>
  <c r="AD1704" i="3"/>
  <c r="AC1704" i="3"/>
  <c r="AB1704" i="3"/>
  <c r="AA1704" i="3"/>
  <c r="Z1704" i="3"/>
  <c r="AG1703" i="3"/>
  <c r="AF1703" i="3"/>
  <c r="AE1703" i="3"/>
  <c r="AD1703" i="3"/>
  <c r="AC1703" i="3"/>
  <c r="AB1703" i="3"/>
  <c r="AA1703" i="3"/>
  <c r="Z1703" i="3"/>
  <c r="AG1702" i="3"/>
  <c r="AF1702" i="3"/>
  <c r="AE1702" i="3"/>
  <c r="AD1702" i="3"/>
  <c r="AC1702" i="3"/>
  <c r="AB1702" i="3"/>
  <c r="AA1702" i="3"/>
  <c r="Z1702" i="3"/>
  <c r="AG1701" i="3"/>
  <c r="AF1701" i="3"/>
  <c r="AE1701" i="3"/>
  <c r="AD1701" i="3"/>
  <c r="AC1701" i="3"/>
  <c r="AB1701" i="3"/>
  <c r="AA1701" i="3"/>
  <c r="Z1701" i="3"/>
  <c r="AG1700" i="3"/>
  <c r="AF1700" i="3"/>
  <c r="AE1700" i="3"/>
  <c r="AD1700" i="3"/>
  <c r="AC1700" i="3"/>
  <c r="AB1700" i="3"/>
  <c r="AA1700" i="3"/>
  <c r="Z1700" i="3"/>
  <c r="AG1699" i="3"/>
  <c r="AF1699" i="3"/>
  <c r="AE1699" i="3"/>
  <c r="AD1699" i="3"/>
  <c r="AC1699" i="3"/>
  <c r="AB1699" i="3"/>
  <c r="AA1699" i="3"/>
  <c r="Z1699" i="3"/>
  <c r="AG1698" i="3"/>
  <c r="AF1698" i="3"/>
  <c r="AE1698" i="3"/>
  <c r="AD1698" i="3"/>
  <c r="AC1698" i="3"/>
  <c r="AB1698" i="3"/>
  <c r="AA1698" i="3"/>
  <c r="Z1698" i="3"/>
  <c r="AG1697" i="3"/>
  <c r="AF1697" i="3"/>
  <c r="AE1697" i="3"/>
  <c r="AD1697" i="3"/>
  <c r="AC1697" i="3"/>
  <c r="AB1697" i="3"/>
  <c r="AA1697" i="3"/>
  <c r="Z1697" i="3"/>
  <c r="AG1696" i="3"/>
  <c r="AF1696" i="3"/>
  <c r="AE1696" i="3"/>
  <c r="AD1696" i="3"/>
  <c r="AC1696" i="3"/>
  <c r="AB1696" i="3"/>
  <c r="AA1696" i="3"/>
  <c r="Z1696" i="3"/>
  <c r="AG1695" i="3"/>
  <c r="AF1695" i="3"/>
  <c r="AE1695" i="3"/>
  <c r="AD1695" i="3"/>
  <c r="AC1695" i="3"/>
  <c r="AB1695" i="3"/>
  <c r="AA1695" i="3"/>
  <c r="Z1695" i="3"/>
  <c r="AG1694" i="3"/>
  <c r="AF1694" i="3"/>
  <c r="AE1694" i="3"/>
  <c r="AD1694" i="3"/>
  <c r="AC1694" i="3"/>
  <c r="AB1694" i="3"/>
  <c r="AA1694" i="3"/>
  <c r="Z1694" i="3"/>
  <c r="AG1693" i="3"/>
  <c r="AF1693" i="3"/>
  <c r="AE1693" i="3"/>
  <c r="AD1693" i="3"/>
  <c r="AC1693" i="3"/>
  <c r="AB1693" i="3"/>
  <c r="AA1693" i="3"/>
  <c r="Z1693" i="3"/>
  <c r="AG1692" i="3"/>
  <c r="AF1692" i="3"/>
  <c r="AE1692" i="3"/>
  <c r="AD1692" i="3"/>
  <c r="AC1692" i="3"/>
  <c r="AB1692" i="3"/>
  <c r="AA1692" i="3"/>
  <c r="Z1692" i="3"/>
  <c r="AG1691" i="3"/>
  <c r="AF1691" i="3"/>
  <c r="AE1691" i="3"/>
  <c r="AD1691" i="3"/>
  <c r="AC1691" i="3"/>
  <c r="AB1691" i="3"/>
  <c r="AA1691" i="3"/>
  <c r="Z1691" i="3"/>
  <c r="AG1690" i="3"/>
  <c r="AF1690" i="3"/>
  <c r="AE1690" i="3"/>
  <c r="AD1690" i="3"/>
  <c r="AC1690" i="3"/>
  <c r="AB1690" i="3"/>
  <c r="AA1690" i="3"/>
  <c r="Z1690" i="3"/>
  <c r="AG1689" i="3"/>
  <c r="AF1689" i="3"/>
  <c r="AE1689" i="3"/>
  <c r="AD1689" i="3"/>
  <c r="AC1689" i="3"/>
  <c r="AB1689" i="3"/>
  <c r="AA1689" i="3"/>
  <c r="Z1689" i="3"/>
  <c r="AG1688" i="3"/>
  <c r="AF1688" i="3"/>
  <c r="AE1688" i="3"/>
  <c r="AD1688" i="3"/>
  <c r="AC1688" i="3"/>
  <c r="AB1688" i="3"/>
  <c r="AA1688" i="3"/>
  <c r="Z1688" i="3"/>
  <c r="AG1687" i="3"/>
  <c r="AF1687" i="3"/>
  <c r="AE1687" i="3"/>
  <c r="AD1687" i="3"/>
  <c r="AC1687" i="3"/>
  <c r="AB1687" i="3"/>
  <c r="AA1687" i="3"/>
  <c r="Z1687" i="3"/>
  <c r="AG1686" i="3"/>
  <c r="AF1686" i="3"/>
  <c r="AE1686" i="3"/>
  <c r="AD1686" i="3"/>
  <c r="AC1686" i="3"/>
  <c r="AB1686" i="3"/>
  <c r="AA1686" i="3"/>
  <c r="Z1686" i="3"/>
  <c r="AG1685" i="3"/>
  <c r="AF1685" i="3"/>
  <c r="AE1685" i="3"/>
  <c r="AD1685" i="3"/>
  <c r="AC1685" i="3"/>
  <c r="AB1685" i="3"/>
  <c r="AA1685" i="3"/>
  <c r="Z1685" i="3"/>
  <c r="AG1684" i="3"/>
  <c r="AF1684" i="3"/>
  <c r="AE1684" i="3"/>
  <c r="AD1684" i="3"/>
  <c r="AC1684" i="3"/>
  <c r="AB1684" i="3"/>
  <c r="AA1684" i="3"/>
  <c r="Z1684" i="3"/>
  <c r="AG1683" i="3"/>
  <c r="AF1683" i="3"/>
  <c r="AE1683" i="3"/>
  <c r="AD1683" i="3"/>
  <c r="AC1683" i="3"/>
  <c r="AB1683" i="3"/>
  <c r="AA1683" i="3"/>
  <c r="Z1683" i="3"/>
  <c r="AG1682" i="3"/>
  <c r="AF1682" i="3"/>
  <c r="AE1682" i="3"/>
  <c r="AD1682" i="3"/>
  <c r="AC1682" i="3"/>
  <c r="AB1682" i="3"/>
  <c r="AA1682" i="3"/>
  <c r="Z1682" i="3"/>
  <c r="AG1681" i="3"/>
  <c r="AF1681" i="3"/>
  <c r="AE1681" i="3"/>
  <c r="AD1681" i="3"/>
  <c r="AC1681" i="3"/>
  <c r="AB1681" i="3"/>
  <c r="AA1681" i="3"/>
  <c r="Z1681" i="3"/>
  <c r="AG1680" i="3"/>
  <c r="AF1680" i="3"/>
  <c r="AE1680" i="3"/>
  <c r="AD1680" i="3"/>
  <c r="AC1680" i="3"/>
  <c r="AB1680" i="3"/>
  <c r="AA1680" i="3"/>
  <c r="Z1680" i="3"/>
  <c r="AG1679" i="3"/>
  <c r="AF1679" i="3"/>
  <c r="AE1679" i="3"/>
  <c r="AD1679" i="3"/>
  <c r="AC1679" i="3"/>
  <c r="AB1679" i="3"/>
  <c r="AA1679" i="3"/>
  <c r="Z1679" i="3"/>
  <c r="AG1678" i="3"/>
  <c r="AF1678" i="3"/>
  <c r="AE1678" i="3"/>
  <c r="AD1678" i="3"/>
  <c r="AC1678" i="3"/>
  <c r="AB1678" i="3"/>
  <c r="AA1678" i="3"/>
  <c r="Z1678" i="3"/>
  <c r="AG1677" i="3"/>
  <c r="AF1677" i="3"/>
  <c r="AE1677" i="3"/>
  <c r="AD1677" i="3"/>
  <c r="AC1677" i="3"/>
  <c r="AB1677" i="3"/>
  <c r="AA1677" i="3"/>
  <c r="Z1677" i="3"/>
  <c r="AG1676" i="3"/>
  <c r="AF1676" i="3"/>
  <c r="AE1676" i="3"/>
  <c r="AD1676" i="3"/>
  <c r="AC1676" i="3"/>
  <c r="AB1676" i="3"/>
  <c r="AA1676" i="3"/>
  <c r="Z1676" i="3"/>
  <c r="AG1675" i="3"/>
  <c r="AF1675" i="3"/>
  <c r="AE1675" i="3"/>
  <c r="AD1675" i="3"/>
  <c r="AC1675" i="3"/>
  <c r="AB1675" i="3"/>
  <c r="AA1675" i="3"/>
  <c r="Z1675" i="3"/>
  <c r="AG1674" i="3"/>
  <c r="AF1674" i="3"/>
  <c r="AE1674" i="3"/>
  <c r="AD1674" i="3"/>
  <c r="AC1674" i="3"/>
  <c r="AB1674" i="3"/>
  <c r="AA1674" i="3"/>
  <c r="Z1674" i="3"/>
  <c r="AG1673" i="3"/>
  <c r="AF1673" i="3"/>
  <c r="AE1673" i="3"/>
  <c r="AD1673" i="3"/>
  <c r="AC1673" i="3"/>
  <c r="AB1673" i="3"/>
  <c r="AA1673" i="3"/>
  <c r="Z1673" i="3"/>
  <c r="AG1672" i="3"/>
  <c r="AF1672" i="3"/>
  <c r="AE1672" i="3"/>
  <c r="AD1672" i="3"/>
  <c r="AC1672" i="3"/>
  <c r="AB1672" i="3"/>
  <c r="AA1672" i="3"/>
  <c r="Z1672" i="3"/>
  <c r="AG1671" i="3"/>
  <c r="AF1671" i="3"/>
  <c r="AE1671" i="3"/>
  <c r="AD1671" i="3"/>
  <c r="AC1671" i="3"/>
  <c r="AB1671" i="3"/>
  <c r="AA1671" i="3"/>
  <c r="Z1671" i="3"/>
  <c r="AG1670" i="3"/>
  <c r="AF1670" i="3"/>
  <c r="AE1670" i="3"/>
  <c r="AD1670" i="3"/>
  <c r="AC1670" i="3"/>
  <c r="AB1670" i="3"/>
  <c r="AA1670" i="3"/>
  <c r="Z1670" i="3"/>
  <c r="AG1669" i="3"/>
  <c r="AF1669" i="3"/>
  <c r="AE1669" i="3"/>
  <c r="AD1669" i="3"/>
  <c r="AC1669" i="3"/>
  <c r="AB1669" i="3"/>
  <c r="AA1669" i="3"/>
  <c r="Z1669" i="3"/>
  <c r="AG1668" i="3"/>
  <c r="AF1668" i="3"/>
  <c r="AE1668" i="3"/>
  <c r="AD1668" i="3"/>
  <c r="AC1668" i="3"/>
  <c r="AB1668" i="3"/>
  <c r="AA1668" i="3"/>
  <c r="Z1668" i="3"/>
  <c r="AG1667" i="3"/>
  <c r="AF1667" i="3"/>
  <c r="AE1667" i="3"/>
  <c r="AD1667" i="3"/>
  <c r="AC1667" i="3"/>
  <c r="AB1667" i="3"/>
  <c r="AA1667" i="3"/>
  <c r="Z1667" i="3"/>
  <c r="AG1666" i="3"/>
  <c r="AF1666" i="3"/>
  <c r="AE1666" i="3"/>
  <c r="AD1666" i="3"/>
  <c r="AC1666" i="3"/>
  <c r="AB1666" i="3"/>
  <c r="AA1666" i="3"/>
  <c r="Z1666" i="3"/>
  <c r="AG1665" i="3"/>
  <c r="AF1665" i="3"/>
  <c r="AE1665" i="3"/>
  <c r="AD1665" i="3"/>
  <c r="AC1665" i="3"/>
  <c r="AB1665" i="3"/>
  <c r="AA1665" i="3"/>
  <c r="Z1665" i="3"/>
  <c r="AG1664" i="3"/>
  <c r="AF1664" i="3"/>
  <c r="AE1664" i="3"/>
  <c r="AD1664" i="3"/>
  <c r="AC1664" i="3"/>
  <c r="AB1664" i="3"/>
  <c r="AA1664" i="3"/>
  <c r="Z1664" i="3"/>
  <c r="AG1663" i="3"/>
  <c r="AF1663" i="3"/>
  <c r="AE1663" i="3"/>
  <c r="AD1663" i="3"/>
  <c r="AC1663" i="3"/>
  <c r="AB1663" i="3"/>
  <c r="AA1663" i="3"/>
  <c r="Z1663" i="3"/>
  <c r="AG1662" i="3"/>
  <c r="AF1662" i="3"/>
  <c r="AE1662" i="3"/>
  <c r="AD1662" i="3"/>
  <c r="AC1662" i="3"/>
  <c r="AB1662" i="3"/>
  <c r="AA1662" i="3"/>
  <c r="Z1662" i="3"/>
  <c r="AG1661" i="3"/>
  <c r="AF1661" i="3"/>
  <c r="AE1661" i="3"/>
  <c r="AD1661" i="3"/>
  <c r="AC1661" i="3"/>
  <c r="AB1661" i="3"/>
  <c r="AA1661" i="3"/>
  <c r="Z1661" i="3"/>
  <c r="AG1660" i="3"/>
  <c r="AF1660" i="3"/>
  <c r="AE1660" i="3"/>
  <c r="AD1660" i="3"/>
  <c r="AC1660" i="3"/>
  <c r="AB1660" i="3"/>
  <c r="AA1660" i="3"/>
  <c r="Z1660" i="3"/>
  <c r="AG1659" i="3"/>
  <c r="AF1659" i="3"/>
  <c r="AE1659" i="3"/>
  <c r="AD1659" i="3"/>
  <c r="AC1659" i="3"/>
  <c r="AB1659" i="3"/>
  <c r="AA1659" i="3"/>
  <c r="Z1659" i="3"/>
  <c r="AG1658" i="3"/>
  <c r="AF1658" i="3"/>
  <c r="AE1658" i="3"/>
  <c r="AD1658" i="3"/>
  <c r="AC1658" i="3"/>
  <c r="AB1658" i="3"/>
  <c r="AA1658" i="3"/>
  <c r="Z1658" i="3"/>
  <c r="AG1657" i="3"/>
  <c r="AF1657" i="3"/>
  <c r="AE1657" i="3"/>
  <c r="AD1657" i="3"/>
  <c r="AC1657" i="3"/>
  <c r="AB1657" i="3"/>
  <c r="AA1657" i="3"/>
  <c r="Z1657" i="3"/>
  <c r="AG1656" i="3"/>
  <c r="AF1656" i="3"/>
  <c r="AE1656" i="3"/>
  <c r="AD1656" i="3"/>
  <c r="AC1656" i="3"/>
  <c r="AB1656" i="3"/>
  <c r="AA1656" i="3"/>
  <c r="Z1656" i="3"/>
  <c r="AG1655" i="3"/>
  <c r="AF1655" i="3"/>
  <c r="AE1655" i="3"/>
  <c r="AD1655" i="3"/>
  <c r="AC1655" i="3"/>
  <c r="AB1655" i="3"/>
  <c r="AA1655" i="3"/>
  <c r="Z1655" i="3"/>
  <c r="AG1654" i="3"/>
  <c r="AF1654" i="3"/>
  <c r="AE1654" i="3"/>
  <c r="AD1654" i="3"/>
  <c r="AC1654" i="3"/>
  <c r="AB1654" i="3"/>
  <c r="AA1654" i="3"/>
  <c r="Z1654" i="3"/>
  <c r="AG1653" i="3"/>
  <c r="AF1653" i="3"/>
  <c r="AE1653" i="3"/>
  <c r="AD1653" i="3"/>
  <c r="AC1653" i="3"/>
  <c r="AB1653" i="3"/>
  <c r="AA1653" i="3"/>
  <c r="Z1653" i="3"/>
  <c r="AG1652" i="3"/>
  <c r="AF1652" i="3"/>
  <c r="AE1652" i="3"/>
  <c r="AD1652" i="3"/>
  <c r="AC1652" i="3"/>
  <c r="AB1652" i="3"/>
  <c r="AA1652" i="3"/>
  <c r="Z1652" i="3"/>
  <c r="AG1651" i="3"/>
  <c r="AF1651" i="3"/>
  <c r="AE1651" i="3"/>
  <c r="AD1651" i="3"/>
  <c r="AC1651" i="3"/>
  <c r="AB1651" i="3"/>
  <c r="AA1651" i="3"/>
  <c r="Z1651" i="3"/>
  <c r="AG1650" i="3"/>
  <c r="AF1650" i="3"/>
  <c r="AE1650" i="3"/>
  <c r="AD1650" i="3"/>
  <c r="AC1650" i="3"/>
  <c r="AB1650" i="3"/>
  <c r="AA1650" i="3"/>
  <c r="Z1650" i="3"/>
  <c r="AG1649" i="3"/>
  <c r="AF1649" i="3"/>
  <c r="AE1649" i="3"/>
  <c r="AD1649" i="3"/>
  <c r="AC1649" i="3"/>
  <c r="AB1649" i="3"/>
  <c r="AA1649" i="3"/>
  <c r="Z1649" i="3"/>
  <c r="AG1648" i="3"/>
  <c r="AF1648" i="3"/>
  <c r="AE1648" i="3"/>
  <c r="AD1648" i="3"/>
  <c r="AC1648" i="3"/>
  <c r="AB1648" i="3"/>
  <c r="AA1648" i="3"/>
  <c r="Z1648" i="3"/>
  <c r="AG1647" i="3"/>
  <c r="AF1647" i="3"/>
  <c r="AE1647" i="3"/>
  <c r="AD1647" i="3"/>
  <c r="AC1647" i="3"/>
  <c r="AB1647" i="3"/>
  <c r="AA1647" i="3"/>
  <c r="Z1647" i="3"/>
  <c r="AG1646" i="3"/>
  <c r="AF1646" i="3"/>
  <c r="AE1646" i="3"/>
  <c r="AD1646" i="3"/>
  <c r="AC1646" i="3"/>
  <c r="AB1646" i="3"/>
  <c r="AA1646" i="3"/>
  <c r="Z1646" i="3"/>
  <c r="AG1645" i="3"/>
  <c r="AF1645" i="3"/>
  <c r="AE1645" i="3"/>
  <c r="AD1645" i="3"/>
  <c r="AC1645" i="3"/>
  <c r="AB1645" i="3"/>
  <c r="AA1645" i="3"/>
  <c r="Z1645" i="3"/>
  <c r="AG1644" i="3"/>
  <c r="AF1644" i="3"/>
  <c r="AE1644" i="3"/>
  <c r="AD1644" i="3"/>
  <c r="AC1644" i="3"/>
  <c r="AB1644" i="3"/>
  <c r="AA1644" i="3"/>
  <c r="Z1644" i="3"/>
  <c r="AG1643" i="3"/>
  <c r="AF1643" i="3"/>
  <c r="AE1643" i="3"/>
  <c r="AD1643" i="3"/>
  <c r="AC1643" i="3"/>
  <c r="AB1643" i="3"/>
  <c r="AA1643" i="3"/>
  <c r="Z1643" i="3"/>
  <c r="AG1642" i="3"/>
  <c r="AF1642" i="3"/>
  <c r="AE1642" i="3"/>
  <c r="AD1642" i="3"/>
  <c r="AC1642" i="3"/>
  <c r="AB1642" i="3"/>
  <c r="AA1642" i="3"/>
  <c r="Z1642" i="3"/>
  <c r="AG1641" i="3"/>
  <c r="AF1641" i="3"/>
  <c r="AE1641" i="3"/>
  <c r="AD1641" i="3"/>
  <c r="AC1641" i="3"/>
  <c r="AB1641" i="3"/>
  <c r="AA1641" i="3"/>
  <c r="Z1641" i="3"/>
  <c r="AG1640" i="3"/>
  <c r="AF1640" i="3"/>
  <c r="AE1640" i="3"/>
  <c r="AD1640" i="3"/>
  <c r="AC1640" i="3"/>
  <c r="AB1640" i="3"/>
  <c r="AA1640" i="3"/>
  <c r="Z1640" i="3"/>
  <c r="AG1639" i="3"/>
  <c r="AF1639" i="3"/>
  <c r="AE1639" i="3"/>
  <c r="AD1639" i="3"/>
  <c r="AC1639" i="3"/>
  <c r="AB1639" i="3"/>
  <c r="AA1639" i="3"/>
  <c r="Z1639" i="3"/>
  <c r="AG1638" i="3"/>
  <c r="AF1638" i="3"/>
  <c r="AE1638" i="3"/>
  <c r="AD1638" i="3"/>
  <c r="AC1638" i="3"/>
  <c r="AB1638" i="3"/>
  <c r="AA1638" i="3"/>
  <c r="Z1638" i="3"/>
  <c r="AG1637" i="3"/>
  <c r="AF1637" i="3"/>
  <c r="AE1637" i="3"/>
  <c r="AD1637" i="3"/>
  <c r="AC1637" i="3"/>
  <c r="AB1637" i="3"/>
  <c r="AA1637" i="3"/>
  <c r="Z1637" i="3"/>
  <c r="AG1636" i="3"/>
  <c r="AF1636" i="3"/>
  <c r="AE1636" i="3"/>
  <c r="AD1636" i="3"/>
  <c r="AC1636" i="3"/>
  <c r="AB1636" i="3"/>
  <c r="AA1636" i="3"/>
  <c r="Z1636" i="3"/>
  <c r="AG1635" i="3"/>
  <c r="AF1635" i="3"/>
  <c r="AE1635" i="3"/>
  <c r="AD1635" i="3"/>
  <c r="AC1635" i="3"/>
  <c r="AB1635" i="3"/>
  <c r="AA1635" i="3"/>
  <c r="Z1635" i="3"/>
  <c r="AG1634" i="3"/>
  <c r="AF1634" i="3"/>
  <c r="AE1634" i="3"/>
  <c r="AD1634" i="3"/>
  <c r="AC1634" i="3"/>
  <c r="AB1634" i="3"/>
  <c r="AA1634" i="3"/>
  <c r="Z1634" i="3"/>
  <c r="AG1633" i="3"/>
  <c r="AF1633" i="3"/>
  <c r="AE1633" i="3"/>
  <c r="AD1633" i="3"/>
  <c r="AC1633" i="3"/>
  <c r="AB1633" i="3"/>
  <c r="AA1633" i="3"/>
  <c r="Z1633" i="3"/>
  <c r="AG1632" i="3"/>
  <c r="AF1632" i="3"/>
  <c r="AE1632" i="3"/>
  <c r="AD1632" i="3"/>
  <c r="AC1632" i="3"/>
  <c r="AB1632" i="3"/>
  <c r="AA1632" i="3"/>
  <c r="Z1632" i="3"/>
  <c r="AG1631" i="3"/>
  <c r="AF1631" i="3"/>
  <c r="AE1631" i="3"/>
  <c r="AD1631" i="3"/>
  <c r="AC1631" i="3"/>
  <c r="AB1631" i="3"/>
  <c r="AA1631" i="3"/>
  <c r="Z1631" i="3"/>
  <c r="AG1630" i="3"/>
  <c r="AF1630" i="3"/>
  <c r="AE1630" i="3"/>
  <c r="AD1630" i="3"/>
  <c r="AC1630" i="3"/>
  <c r="AB1630" i="3"/>
  <c r="AA1630" i="3"/>
  <c r="Z1630" i="3"/>
  <c r="AG1629" i="3"/>
  <c r="AF1629" i="3"/>
  <c r="AE1629" i="3"/>
  <c r="AD1629" i="3"/>
  <c r="AC1629" i="3"/>
  <c r="AB1629" i="3"/>
  <c r="AA1629" i="3"/>
  <c r="Z1629" i="3"/>
  <c r="AG1628" i="3"/>
  <c r="AF1628" i="3"/>
  <c r="AE1628" i="3"/>
  <c r="AD1628" i="3"/>
  <c r="AC1628" i="3"/>
  <c r="AB1628" i="3"/>
  <c r="AA1628" i="3"/>
  <c r="Z1628" i="3"/>
  <c r="AG1627" i="3"/>
  <c r="AF1627" i="3"/>
  <c r="AE1627" i="3"/>
  <c r="AD1627" i="3"/>
  <c r="AC1627" i="3"/>
  <c r="AB1627" i="3"/>
  <c r="AA1627" i="3"/>
  <c r="Z1627" i="3"/>
  <c r="AG1626" i="3"/>
  <c r="AF1626" i="3"/>
  <c r="AE1626" i="3"/>
  <c r="AD1626" i="3"/>
  <c r="AC1626" i="3"/>
  <c r="AB1626" i="3"/>
  <c r="AA1626" i="3"/>
  <c r="Z1626" i="3"/>
  <c r="AG1625" i="3"/>
  <c r="AF1625" i="3"/>
  <c r="AE1625" i="3"/>
  <c r="AD1625" i="3"/>
  <c r="AC1625" i="3"/>
  <c r="AB1625" i="3"/>
  <c r="AA1625" i="3"/>
  <c r="Z1625" i="3"/>
  <c r="AG1624" i="3"/>
  <c r="AF1624" i="3"/>
  <c r="AE1624" i="3"/>
  <c r="AD1624" i="3"/>
  <c r="AC1624" i="3"/>
  <c r="AB1624" i="3"/>
  <c r="AA1624" i="3"/>
  <c r="Z1624" i="3"/>
  <c r="AG1623" i="3"/>
  <c r="AF1623" i="3"/>
  <c r="AE1623" i="3"/>
  <c r="AD1623" i="3"/>
  <c r="AC1623" i="3"/>
  <c r="AB1623" i="3"/>
  <c r="AA1623" i="3"/>
  <c r="Z1623" i="3"/>
  <c r="AG1622" i="3"/>
  <c r="AF1622" i="3"/>
  <c r="AE1622" i="3"/>
  <c r="AD1622" i="3"/>
  <c r="AC1622" i="3"/>
  <c r="AB1622" i="3"/>
  <c r="AA1622" i="3"/>
  <c r="Z1622" i="3"/>
  <c r="AG1621" i="3"/>
  <c r="AF1621" i="3"/>
  <c r="AE1621" i="3"/>
  <c r="AD1621" i="3"/>
  <c r="AC1621" i="3"/>
  <c r="AB1621" i="3"/>
  <c r="AA1621" i="3"/>
  <c r="Z1621" i="3"/>
  <c r="AG1620" i="3"/>
  <c r="AF1620" i="3"/>
  <c r="AE1620" i="3"/>
  <c r="AD1620" i="3"/>
  <c r="AC1620" i="3"/>
  <c r="AB1620" i="3"/>
  <c r="AA1620" i="3"/>
  <c r="Z1620" i="3"/>
  <c r="AG1619" i="3"/>
  <c r="AF1619" i="3"/>
  <c r="AE1619" i="3"/>
  <c r="AD1619" i="3"/>
  <c r="AC1619" i="3"/>
  <c r="AB1619" i="3"/>
  <c r="AA1619" i="3"/>
  <c r="Z1619" i="3"/>
  <c r="AG1618" i="3"/>
  <c r="AF1618" i="3"/>
  <c r="AE1618" i="3"/>
  <c r="AD1618" i="3"/>
  <c r="AC1618" i="3"/>
  <c r="AB1618" i="3"/>
  <c r="AA1618" i="3"/>
  <c r="Z1618" i="3"/>
  <c r="AG1617" i="3"/>
  <c r="AF1617" i="3"/>
  <c r="AE1617" i="3"/>
  <c r="AD1617" i="3"/>
  <c r="AC1617" i="3"/>
  <c r="AB1617" i="3"/>
  <c r="AA1617" i="3"/>
  <c r="Z1617" i="3"/>
  <c r="AG1616" i="3"/>
  <c r="AF1616" i="3"/>
  <c r="AE1616" i="3"/>
  <c r="AD1616" i="3"/>
  <c r="AC1616" i="3"/>
  <c r="AB1616" i="3"/>
  <c r="AA1616" i="3"/>
  <c r="Z1616" i="3"/>
  <c r="AG1615" i="3"/>
  <c r="AF1615" i="3"/>
  <c r="AE1615" i="3"/>
  <c r="AD1615" i="3"/>
  <c r="AC1615" i="3"/>
  <c r="AB1615" i="3"/>
  <c r="AA1615" i="3"/>
  <c r="Z1615" i="3"/>
  <c r="AG1614" i="3"/>
  <c r="AF1614" i="3"/>
  <c r="AE1614" i="3"/>
  <c r="AD1614" i="3"/>
  <c r="AC1614" i="3"/>
  <c r="AB1614" i="3"/>
  <c r="AA1614" i="3"/>
  <c r="Z1614" i="3"/>
  <c r="AG1613" i="3"/>
  <c r="AF1613" i="3"/>
  <c r="AE1613" i="3"/>
  <c r="AD1613" i="3"/>
  <c r="AC1613" i="3"/>
  <c r="AB1613" i="3"/>
  <c r="AA1613" i="3"/>
  <c r="Z1613" i="3"/>
  <c r="AG1612" i="3"/>
  <c r="AF1612" i="3"/>
  <c r="AE1612" i="3"/>
  <c r="AD1612" i="3"/>
  <c r="AC1612" i="3"/>
  <c r="AB1612" i="3"/>
  <c r="AA1612" i="3"/>
  <c r="Z1612" i="3"/>
  <c r="AG1611" i="3"/>
  <c r="AF1611" i="3"/>
  <c r="AE1611" i="3"/>
  <c r="AD1611" i="3"/>
  <c r="AC1611" i="3"/>
  <c r="AB1611" i="3"/>
  <c r="AA1611" i="3"/>
  <c r="Z1611" i="3"/>
  <c r="AG1610" i="3"/>
  <c r="AF1610" i="3"/>
  <c r="AE1610" i="3"/>
  <c r="AD1610" i="3"/>
  <c r="AC1610" i="3"/>
  <c r="AB1610" i="3"/>
  <c r="AA1610" i="3"/>
  <c r="Z1610" i="3"/>
  <c r="AG1609" i="3"/>
  <c r="AF1609" i="3"/>
  <c r="AE1609" i="3"/>
  <c r="AD1609" i="3"/>
  <c r="AC1609" i="3"/>
  <c r="AB1609" i="3"/>
  <c r="AA1609" i="3"/>
  <c r="Z1609" i="3"/>
  <c r="AG1608" i="3"/>
  <c r="AF1608" i="3"/>
  <c r="AE1608" i="3"/>
  <c r="AD1608" i="3"/>
  <c r="AC1608" i="3"/>
  <c r="AB1608" i="3"/>
  <c r="AA1608" i="3"/>
  <c r="Z1608" i="3"/>
  <c r="AG1607" i="3"/>
  <c r="AF1607" i="3"/>
  <c r="AE1607" i="3"/>
  <c r="AD1607" i="3"/>
  <c r="AC1607" i="3"/>
  <c r="AB1607" i="3"/>
  <c r="AA1607" i="3"/>
  <c r="Z1607" i="3"/>
  <c r="AG1606" i="3"/>
  <c r="AF1606" i="3"/>
  <c r="AE1606" i="3"/>
  <c r="AD1606" i="3"/>
  <c r="AC1606" i="3"/>
  <c r="AB1606" i="3"/>
  <c r="AA1606" i="3"/>
  <c r="Z1606" i="3"/>
  <c r="AG1605" i="3"/>
  <c r="AF1605" i="3"/>
  <c r="AE1605" i="3"/>
  <c r="AD1605" i="3"/>
  <c r="AC1605" i="3"/>
  <c r="AB1605" i="3"/>
  <c r="AA1605" i="3"/>
  <c r="Z1605" i="3"/>
  <c r="AG1604" i="3"/>
  <c r="AF1604" i="3"/>
  <c r="AE1604" i="3"/>
  <c r="AD1604" i="3"/>
  <c r="AC1604" i="3"/>
  <c r="AB1604" i="3"/>
  <c r="AA1604" i="3"/>
  <c r="Z1604" i="3"/>
  <c r="AG1603" i="3"/>
  <c r="AF1603" i="3"/>
  <c r="AE1603" i="3"/>
  <c r="AD1603" i="3"/>
  <c r="AC1603" i="3"/>
  <c r="AB1603" i="3"/>
  <c r="AA1603" i="3"/>
  <c r="Z1603" i="3"/>
  <c r="AG1602" i="3"/>
  <c r="AF1602" i="3"/>
  <c r="AE1602" i="3"/>
  <c r="AD1602" i="3"/>
  <c r="AC1602" i="3"/>
  <c r="AB1602" i="3"/>
  <c r="AA1602" i="3"/>
  <c r="Z1602" i="3"/>
  <c r="AG1601" i="3"/>
  <c r="AF1601" i="3"/>
  <c r="AE1601" i="3"/>
  <c r="AD1601" i="3"/>
  <c r="AC1601" i="3"/>
  <c r="AB1601" i="3"/>
  <c r="AA1601" i="3"/>
  <c r="Z1601" i="3"/>
  <c r="AG1600" i="3"/>
  <c r="AF1600" i="3"/>
  <c r="AE1600" i="3"/>
  <c r="AD1600" i="3"/>
  <c r="AC1600" i="3"/>
  <c r="AB1600" i="3"/>
  <c r="AA1600" i="3"/>
  <c r="Z1600" i="3"/>
  <c r="AG1599" i="3"/>
  <c r="AF1599" i="3"/>
  <c r="AE1599" i="3"/>
  <c r="AD1599" i="3"/>
  <c r="AC1599" i="3"/>
  <c r="AB1599" i="3"/>
  <c r="AA1599" i="3"/>
  <c r="Z1599" i="3"/>
  <c r="AG1598" i="3"/>
  <c r="AF1598" i="3"/>
  <c r="AE1598" i="3"/>
  <c r="AD1598" i="3"/>
  <c r="AC1598" i="3"/>
  <c r="AB1598" i="3"/>
  <c r="AA1598" i="3"/>
  <c r="Z1598" i="3"/>
  <c r="AG1597" i="3"/>
  <c r="AF1597" i="3"/>
  <c r="AE1597" i="3"/>
  <c r="AD1597" i="3"/>
  <c r="AC1597" i="3"/>
  <c r="AB1597" i="3"/>
  <c r="AA1597" i="3"/>
  <c r="Z1597" i="3"/>
  <c r="AG1596" i="3"/>
  <c r="AF1596" i="3"/>
  <c r="AE1596" i="3"/>
  <c r="AD1596" i="3"/>
  <c r="AC1596" i="3"/>
  <c r="AB1596" i="3"/>
  <c r="AA1596" i="3"/>
  <c r="Z1596" i="3"/>
  <c r="AG1595" i="3"/>
  <c r="AF1595" i="3"/>
  <c r="AE1595" i="3"/>
  <c r="AD1595" i="3"/>
  <c r="AC1595" i="3"/>
  <c r="AB1595" i="3"/>
  <c r="AA1595" i="3"/>
  <c r="Z1595" i="3"/>
  <c r="AG1594" i="3"/>
  <c r="AF1594" i="3"/>
  <c r="AE1594" i="3"/>
  <c r="AD1594" i="3"/>
  <c r="AC1594" i="3"/>
  <c r="AB1594" i="3"/>
  <c r="AA1594" i="3"/>
  <c r="Z1594" i="3"/>
  <c r="AG1593" i="3"/>
  <c r="AF1593" i="3"/>
  <c r="AE1593" i="3"/>
  <c r="AD1593" i="3"/>
  <c r="AC1593" i="3"/>
  <c r="AB1593" i="3"/>
  <c r="AA1593" i="3"/>
  <c r="Z1593" i="3"/>
  <c r="AG1592" i="3"/>
  <c r="AF1592" i="3"/>
  <c r="AE1592" i="3"/>
  <c r="AD1592" i="3"/>
  <c r="AC1592" i="3"/>
  <c r="AB1592" i="3"/>
  <c r="AA1592" i="3"/>
  <c r="Z1592" i="3"/>
  <c r="AG1591" i="3"/>
  <c r="AF1591" i="3"/>
  <c r="AE1591" i="3"/>
  <c r="AD1591" i="3"/>
  <c r="AC1591" i="3"/>
  <c r="AB1591" i="3"/>
  <c r="AA1591" i="3"/>
  <c r="Z1591" i="3"/>
  <c r="AG1590" i="3"/>
  <c r="AF1590" i="3"/>
  <c r="AE1590" i="3"/>
  <c r="AD1590" i="3"/>
  <c r="AC1590" i="3"/>
  <c r="AB1590" i="3"/>
  <c r="AA1590" i="3"/>
  <c r="Z1590" i="3"/>
  <c r="AG1589" i="3"/>
  <c r="AF1589" i="3"/>
  <c r="AE1589" i="3"/>
  <c r="AD1589" i="3"/>
  <c r="AC1589" i="3"/>
  <c r="AB1589" i="3"/>
  <c r="AA1589" i="3"/>
  <c r="Z1589" i="3"/>
  <c r="AG1588" i="3"/>
  <c r="AF1588" i="3"/>
  <c r="AE1588" i="3"/>
  <c r="AD1588" i="3"/>
  <c r="AC1588" i="3"/>
  <c r="AB1588" i="3"/>
  <c r="AA1588" i="3"/>
  <c r="Z1588" i="3"/>
  <c r="AG1587" i="3"/>
  <c r="AF1587" i="3"/>
  <c r="AE1587" i="3"/>
  <c r="AD1587" i="3"/>
  <c r="AC1587" i="3"/>
  <c r="AB1587" i="3"/>
  <c r="AA1587" i="3"/>
  <c r="Z1587" i="3"/>
  <c r="AG1586" i="3"/>
  <c r="AF1586" i="3"/>
  <c r="AE1586" i="3"/>
  <c r="AD1586" i="3"/>
  <c r="AC1586" i="3"/>
  <c r="AB1586" i="3"/>
  <c r="AA1586" i="3"/>
  <c r="Z1586" i="3"/>
  <c r="AG1585" i="3"/>
  <c r="AF1585" i="3"/>
  <c r="AE1585" i="3"/>
  <c r="AD1585" i="3"/>
  <c r="AC1585" i="3"/>
  <c r="AB1585" i="3"/>
  <c r="AA1585" i="3"/>
  <c r="Z1585" i="3"/>
  <c r="AG1584" i="3"/>
  <c r="AF1584" i="3"/>
  <c r="AE1584" i="3"/>
  <c r="AD1584" i="3"/>
  <c r="AC1584" i="3"/>
  <c r="AB1584" i="3"/>
  <c r="AA1584" i="3"/>
  <c r="Z1584" i="3"/>
  <c r="AG1583" i="3"/>
  <c r="AF1583" i="3"/>
  <c r="AE1583" i="3"/>
  <c r="AD1583" i="3"/>
  <c r="AC1583" i="3"/>
  <c r="AB1583" i="3"/>
  <c r="AA1583" i="3"/>
  <c r="Z1583" i="3"/>
  <c r="AG1582" i="3"/>
  <c r="AF1582" i="3"/>
  <c r="AE1582" i="3"/>
  <c r="AD1582" i="3"/>
  <c r="AC1582" i="3"/>
  <c r="AB1582" i="3"/>
  <c r="AA1582" i="3"/>
  <c r="Z1582" i="3"/>
  <c r="AG1581" i="3"/>
  <c r="AF1581" i="3"/>
  <c r="AE1581" i="3"/>
  <c r="AD1581" i="3"/>
  <c r="AC1581" i="3"/>
  <c r="AB1581" i="3"/>
  <c r="AA1581" i="3"/>
  <c r="Z1581" i="3"/>
  <c r="AG1580" i="3"/>
  <c r="AF1580" i="3"/>
  <c r="AE1580" i="3"/>
  <c r="AD1580" i="3"/>
  <c r="AC1580" i="3"/>
  <c r="AB1580" i="3"/>
  <c r="AA1580" i="3"/>
  <c r="Z1580" i="3"/>
  <c r="AG1579" i="3"/>
  <c r="AF1579" i="3"/>
  <c r="AE1579" i="3"/>
  <c r="AD1579" i="3"/>
  <c r="AC1579" i="3"/>
  <c r="AB1579" i="3"/>
  <c r="AA1579" i="3"/>
  <c r="Z1579" i="3"/>
  <c r="AG1578" i="3"/>
  <c r="AF1578" i="3"/>
  <c r="AE1578" i="3"/>
  <c r="AD1578" i="3"/>
  <c r="AC1578" i="3"/>
  <c r="AB1578" i="3"/>
  <c r="AA1578" i="3"/>
  <c r="Z1578" i="3"/>
  <c r="AG1577" i="3"/>
  <c r="AF1577" i="3"/>
  <c r="AE1577" i="3"/>
  <c r="AD1577" i="3"/>
  <c r="AC1577" i="3"/>
  <c r="AB1577" i="3"/>
  <c r="AA1577" i="3"/>
  <c r="Z1577" i="3"/>
  <c r="AG1576" i="3"/>
  <c r="AF1576" i="3"/>
  <c r="AE1576" i="3"/>
  <c r="AD1576" i="3"/>
  <c r="AC1576" i="3"/>
  <c r="AB1576" i="3"/>
  <c r="AA1576" i="3"/>
  <c r="Z1576" i="3"/>
  <c r="AG1575" i="3"/>
  <c r="AF1575" i="3"/>
  <c r="AE1575" i="3"/>
  <c r="AD1575" i="3"/>
  <c r="AC1575" i="3"/>
  <c r="AB1575" i="3"/>
  <c r="AA1575" i="3"/>
  <c r="Z1575" i="3"/>
  <c r="AG1574" i="3"/>
  <c r="AF1574" i="3"/>
  <c r="AE1574" i="3"/>
  <c r="AD1574" i="3"/>
  <c r="AC1574" i="3"/>
  <c r="AB1574" i="3"/>
  <c r="AA1574" i="3"/>
  <c r="Z1574" i="3"/>
  <c r="AG1573" i="3"/>
  <c r="AF1573" i="3"/>
  <c r="AE1573" i="3"/>
  <c r="AC1573" i="3"/>
  <c r="AB1573" i="3"/>
  <c r="AA1573" i="3"/>
  <c r="Z1573" i="3"/>
  <c r="AG1572" i="3"/>
  <c r="AF1572" i="3"/>
  <c r="AE1572" i="3"/>
  <c r="AD1572" i="3"/>
  <c r="AC1572" i="3"/>
  <c r="AB1572" i="3"/>
  <c r="AA1572" i="3"/>
  <c r="Z1572" i="3"/>
  <c r="AG1571" i="3"/>
  <c r="AF1571" i="3"/>
  <c r="AE1571" i="3"/>
  <c r="AD1571" i="3"/>
  <c r="AC1571" i="3"/>
  <c r="AB1571" i="3"/>
  <c r="AA1571" i="3"/>
  <c r="Z1571" i="3"/>
  <c r="AG1570" i="3"/>
  <c r="AF1570" i="3"/>
  <c r="AE1570" i="3"/>
  <c r="AD1570" i="3"/>
  <c r="AC1570" i="3"/>
  <c r="AB1570" i="3"/>
  <c r="AA1570" i="3"/>
  <c r="Z1570" i="3"/>
  <c r="AG1569" i="3"/>
  <c r="AF1569" i="3"/>
  <c r="AE1569" i="3"/>
  <c r="AD1569" i="3"/>
  <c r="AC1569" i="3"/>
  <c r="AB1569" i="3"/>
  <c r="AA1569" i="3"/>
  <c r="Z1569" i="3"/>
  <c r="AG1568" i="3"/>
  <c r="AF1568" i="3"/>
  <c r="AE1568" i="3"/>
  <c r="AD1568" i="3"/>
  <c r="AC1568" i="3"/>
  <c r="AB1568" i="3"/>
  <c r="AA1568" i="3"/>
  <c r="Z1568" i="3"/>
  <c r="AG1567" i="3"/>
  <c r="AF1567" i="3"/>
  <c r="AE1567" i="3"/>
  <c r="AD1567" i="3"/>
  <c r="AC1567" i="3"/>
  <c r="AB1567" i="3"/>
  <c r="AA1567" i="3"/>
  <c r="Z1567" i="3"/>
  <c r="AG1566" i="3"/>
  <c r="AF1566" i="3"/>
  <c r="AE1566" i="3"/>
  <c r="AD1566" i="3"/>
  <c r="AC1566" i="3"/>
  <c r="AB1566" i="3"/>
  <c r="AA1566" i="3"/>
  <c r="Z1566" i="3"/>
  <c r="AG1565" i="3"/>
  <c r="AF1565" i="3"/>
  <c r="AE1565" i="3"/>
  <c r="AD1565" i="3"/>
  <c r="AC1565" i="3"/>
  <c r="AB1565" i="3"/>
  <c r="AA1565" i="3"/>
  <c r="Z1565" i="3"/>
  <c r="AG1564" i="3"/>
  <c r="AF1564" i="3"/>
  <c r="AE1564" i="3"/>
  <c r="AD1564" i="3"/>
  <c r="AC1564" i="3"/>
  <c r="AB1564" i="3"/>
  <c r="AA1564" i="3"/>
  <c r="Z1564" i="3"/>
  <c r="AG1563" i="3"/>
  <c r="AF1563" i="3"/>
  <c r="AE1563" i="3"/>
  <c r="AD1563" i="3"/>
  <c r="AC1563" i="3"/>
  <c r="AB1563" i="3"/>
  <c r="AA1563" i="3"/>
  <c r="Z1563" i="3"/>
  <c r="AG1562" i="3"/>
  <c r="AF1562" i="3"/>
  <c r="AE1562" i="3"/>
  <c r="AD1562" i="3"/>
  <c r="AC1562" i="3"/>
  <c r="AB1562" i="3"/>
  <c r="AA1562" i="3"/>
  <c r="Z1562" i="3"/>
  <c r="AG1561" i="3"/>
  <c r="AF1561" i="3"/>
  <c r="AE1561" i="3"/>
  <c r="AD1561" i="3"/>
  <c r="AC1561" i="3"/>
  <c r="AB1561" i="3"/>
  <c r="AA1561" i="3"/>
  <c r="Z1561" i="3"/>
  <c r="AG1560" i="3"/>
  <c r="AF1560" i="3"/>
  <c r="AE1560" i="3"/>
  <c r="AD1560" i="3"/>
  <c r="AC1560" i="3"/>
  <c r="AB1560" i="3"/>
  <c r="AA1560" i="3"/>
  <c r="Z1560" i="3"/>
  <c r="AG1559" i="3"/>
  <c r="AF1559" i="3"/>
  <c r="AE1559" i="3"/>
  <c r="AD1559" i="3"/>
  <c r="AC1559" i="3"/>
  <c r="AB1559" i="3"/>
  <c r="AA1559" i="3"/>
  <c r="Z1559" i="3"/>
  <c r="AG1558" i="3"/>
  <c r="AF1558" i="3"/>
  <c r="AE1558" i="3"/>
  <c r="AD1558" i="3"/>
  <c r="AC1558" i="3"/>
  <c r="AB1558" i="3"/>
  <c r="AA1558" i="3"/>
  <c r="Z1558" i="3"/>
  <c r="AG1557" i="3"/>
  <c r="AF1557" i="3"/>
  <c r="AE1557" i="3"/>
  <c r="AD1557" i="3"/>
  <c r="AC1557" i="3"/>
  <c r="AB1557" i="3"/>
  <c r="AA1557" i="3"/>
  <c r="Z1557" i="3"/>
  <c r="AG1556" i="3"/>
  <c r="AF1556" i="3"/>
  <c r="AE1556" i="3"/>
  <c r="AD1556" i="3"/>
  <c r="AC1556" i="3"/>
  <c r="AB1556" i="3"/>
  <c r="AA1556" i="3"/>
  <c r="Z1556" i="3"/>
  <c r="AG1555" i="3"/>
  <c r="AF1555" i="3"/>
  <c r="AE1555" i="3"/>
  <c r="AD1555" i="3"/>
  <c r="AC1555" i="3"/>
  <c r="AB1555" i="3"/>
  <c r="AA1555" i="3"/>
  <c r="Z1555" i="3"/>
  <c r="AG1554" i="3"/>
  <c r="AF1554" i="3"/>
  <c r="AE1554" i="3"/>
  <c r="AD1554" i="3"/>
  <c r="AC1554" i="3"/>
  <c r="AB1554" i="3"/>
  <c r="AA1554" i="3"/>
  <c r="Z1554" i="3"/>
  <c r="AG1553" i="3"/>
  <c r="AF1553" i="3"/>
  <c r="AE1553" i="3"/>
  <c r="AD1553" i="3"/>
  <c r="AC1553" i="3"/>
  <c r="AB1553" i="3"/>
  <c r="AA1553" i="3"/>
  <c r="Z1553" i="3"/>
  <c r="AG1552" i="3"/>
  <c r="AF1552" i="3"/>
  <c r="AE1552" i="3"/>
  <c r="AD1552" i="3"/>
  <c r="AC1552" i="3"/>
  <c r="AB1552" i="3"/>
  <c r="AA1552" i="3"/>
  <c r="Z1552" i="3"/>
  <c r="AG1551" i="3"/>
  <c r="AF1551" i="3"/>
  <c r="AE1551" i="3"/>
  <c r="AD1551" i="3"/>
  <c r="AC1551" i="3"/>
  <c r="AB1551" i="3"/>
  <c r="AA1551" i="3"/>
  <c r="Z1551" i="3"/>
  <c r="AG1550" i="3"/>
  <c r="AF1550" i="3"/>
  <c r="AE1550" i="3"/>
  <c r="AD1550" i="3"/>
  <c r="AC1550" i="3"/>
  <c r="AB1550" i="3"/>
  <c r="AA1550" i="3"/>
  <c r="Z1550" i="3"/>
  <c r="AG1549" i="3"/>
  <c r="AF1549" i="3"/>
  <c r="AE1549" i="3"/>
  <c r="AD1549" i="3"/>
  <c r="AC1549" i="3"/>
  <c r="AB1549" i="3"/>
  <c r="AA1549" i="3"/>
  <c r="Z1549" i="3"/>
  <c r="AG1548" i="3"/>
  <c r="AF1548" i="3"/>
  <c r="AE1548" i="3"/>
  <c r="AD1548" i="3"/>
  <c r="AC1548" i="3"/>
  <c r="AB1548" i="3"/>
  <c r="AA1548" i="3"/>
  <c r="Z1548" i="3"/>
  <c r="AG1547" i="3"/>
  <c r="AF1547" i="3"/>
  <c r="AE1547" i="3"/>
  <c r="AD1547" i="3"/>
  <c r="AC1547" i="3"/>
  <c r="AB1547" i="3"/>
  <c r="AA1547" i="3"/>
  <c r="Z1547" i="3"/>
  <c r="AG1546" i="3"/>
  <c r="AF1546" i="3"/>
  <c r="AE1546" i="3"/>
  <c r="AD1546" i="3"/>
  <c r="AC1546" i="3"/>
  <c r="AB1546" i="3"/>
  <c r="AA1546" i="3"/>
  <c r="Z1546" i="3"/>
  <c r="AG1545" i="3"/>
  <c r="AF1545" i="3"/>
  <c r="AE1545" i="3"/>
  <c r="AD1545" i="3"/>
  <c r="AC1545" i="3"/>
  <c r="AB1545" i="3"/>
  <c r="AA1545" i="3"/>
  <c r="Z1545" i="3"/>
  <c r="AG1544" i="3"/>
  <c r="AF1544" i="3"/>
  <c r="AE1544" i="3"/>
  <c r="AD1544" i="3"/>
  <c r="AC1544" i="3"/>
  <c r="AB1544" i="3"/>
  <c r="AA1544" i="3"/>
  <c r="Z1544" i="3"/>
  <c r="AG1543" i="3"/>
  <c r="AF1543" i="3"/>
  <c r="AE1543" i="3"/>
  <c r="AD1543" i="3"/>
  <c r="AC1543" i="3"/>
  <c r="AB1543" i="3"/>
  <c r="AA1543" i="3"/>
  <c r="Z1543" i="3"/>
  <c r="AG1542" i="3"/>
  <c r="AF1542" i="3"/>
  <c r="AE1542" i="3"/>
  <c r="AD1542" i="3"/>
  <c r="AC1542" i="3"/>
  <c r="AB1542" i="3"/>
  <c r="AA1542" i="3"/>
  <c r="Z1542" i="3"/>
  <c r="AG1541" i="3"/>
  <c r="AF1541" i="3"/>
  <c r="AE1541" i="3"/>
  <c r="AD1541" i="3"/>
  <c r="AC1541" i="3"/>
  <c r="AB1541" i="3"/>
  <c r="AA1541" i="3"/>
  <c r="Z1541" i="3"/>
  <c r="AG1540" i="3"/>
  <c r="AF1540" i="3"/>
  <c r="AE1540" i="3"/>
  <c r="AD1540" i="3"/>
  <c r="AC1540" i="3"/>
  <c r="AB1540" i="3"/>
  <c r="AA1540" i="3"/>
  <c r="Z1540" i="3"/>
  <c r="AG1539" i="3"/>
  <c r="AF1539" i="3"/>
  <c r="AE1539" i="3"/>
  <c r="AD1539" i="3"/>
  <c r="AC1539" i="3"/>
  <c r="AB1539" i="3"/>
  <c r="AA1539" i="3"/>
  <c r="Z1539" i="3"/>
  <c r="AG1538" i="3"/>
  <c r="AF1538" i="3"/>
  <c r="AE1538" i="3"/>
  <c r="AD1538" i="3"/>
  <c r="AC1538" i="3"/>
  <c r="AB1538" i="3"/>
  <c r="AA1538" i="3"/>
  <c r="Z1538" i="3"/>
  <c r="AG1537" i="3"/>
  <c r="AF1537" i="3"/>
  <c r="AE1537" i="3"/>
  <c r="AD1537" i="3"/>
  <c r="AC1537" i="3"/>
  <c r="AB1537" i="3"/>
  <c r="AA1537" i="3"/>
  <c r="Z1537" i="3"/>
  <c r="AG1536" i="3"/>
  <c r="AF1536" i="3"/>
  <c r="AE1536" i="3"/>
  <c r="AD1536" i="3"/>
  <c r="AC1536" i="3"/>
  <c r="AB1536" i="3"/>
  <c r="AA1536" i="3"/>
  <c r="Z1536" i="3"/>
  <c r="AG1535" i="3"/>
  <c r="AF1535" i="3"/>
  <c r="AE1535" i="3"/>
  <c r="AD1535" i="3"/>
  <c r="AC1535" i="3"/>
  <c r="AB1535" i="3"/>
  <c r="AA1535" i="3"/>
  <c r="Z1535" i="3"/>
  <c r="AG1534" i="3"/>
  <c r="AF1534" i="3"/>
  <c r="AE1534" i="3"/>
  <c r="AD1534" i="3"/>
  <c r="AC1534" i="3"/>
  <c r="AB1534" i="3"/>
  <c r="AA1534" i="3"/>
  <c r="Z1534" i="3"/>
  <c r="AG1533" i="3"/>
  <c r="AF1533" i="3"/>
  <c r="AE1533" i="3"/>
  <c r="AD1533" i="3"/>
  <c r="AC1533" i="3"/>
  <c r="AB1533" i="3"/>
  <c r="AA1533" i="3"/>
  <c r="Z1533" i="3"/>
  <c r="AG1532" i="3"/>
  <c r="AF1532" i="3"/>
  <c r="AE1532" i="3"/>
  <c r="AD1532" i="3"/>
  <c r="AC1532" i="3"/>
  <c r="AB1532" i="3"/>
  <c r="AA1532" i="3"/>
  <c r="Z1532" i="3"/>
  <c r="AG1531" i="3"/>
  <c r="AF1531" i="3"/>
  <c r="AE1531" i="3"/>
  <c r="AD1531" i="3"/>
  <c r="AC1531" i="3"/>
  <c r="AB1531" i="3"/>
  <c r="AA1531" i="3"/>
  <c r="Z1531" i="3"/>
  <c r="AG1530" i="3"/>
  <c r="AF1530" i="3"/>
  <c r="AE1530" i="3"/>
  <c r="AD1530" i="3"/>
  <c r="AC1530" i="3"/>
  <c r="AB1530" i="3"/>
  <c r="AA1530" i="3"/>
  <c r="Z1530" i="3"/>
  <c r="AG1529" i="3"/>
  <c r="AF1529" i="3"/>
  <c r="AE1529" i="3"/>
  <c r="AD1529" i="3"/>
  <c r="AC1529" i="3"/>
  <c r="AB1529" i="3"/>
  <c r="AA1529" i="3"/>
  <c r="Z1529" i="3"/>
  <c r="AG1528" i="3"/>
  <c r="AF1528" i="3"/>
  <c r="AE1528" i="3"/>
  <c r="AD1528" i="3"/>
  <c r="AC1528" i="3"/>
  <c r="AB1528" i="3"/>
  <c r="AA1528" i="3"/>
  <c r="Z1528" i="3"/>
  <c r="AG1527" i="3"/>
  <c r="AF1527" i="3"/>
  <c r="AE1527" i="3"/>
  <c r="AD1527" i="3"/>
  <c r="AC1527" i="3"/>
  <c r="AB1527" i="3"/>
  <c r="AA1527" i="3"/>
  <c r="Z1527" i="3"/>
  <c r="AG1526" i="3"/>
  <c r="AF1526" i="3"/>
  <c r="AE1526" i="3"/>
  <c r="AD1526" i="3"/>
  <c r="AC1526" i="3"/>
  <c r="AB1526" i="3"/>
  <c r="AA1526" i="3"/>
  <c r="Z1526" i="3"/>
  <c r="AG1525" i="3"/>
  <c r="AF1525" i="3"/>
  <c r="AE1525" i="3"/>
  <c r="AD1525" i="3"/>
  <c r="AC1525" i="3"/>
  <c r="AB1525" i="3"/>
  <c r="AA1525" i="3"/>
  <c r="Z1525" i="3"/>
  <c r="AG1524" i="3"/>
  <c r="AF1524" i="3"/>
  <c r="AE1524" i="3"/>
  <c r="AD1524" i="3"/>
  <c r="AC1524" i="3"/>
  <c r="AB1524" i="3"/>
  <c r="AA1524" i="3"/>
  <c r="Z1524" i="3"/>
  <c r="AG1523" i="3"/>
  <c r="AF1523" i="3"/>
  <c r="AE1523" i="3"/>
  <c r="AD1523" i="3"/>
  <c r="AC1523" i="3"/>
  <c r="AB1523" i="3"/>
  <c r="AA1523" i="3"/>
  <c r="Z1523" i="3"/>
  <c r="AG1522" i="3"/>
  <c r="AF1522" i="3"/>
  <c r="AE1522" i="3"/>
  <c r="AD1522" i="3"/>
  <c r="AC1522" i="3"/>
  <c r="AB1522" i="3"/>
  <c r="AA1522" i="3"/>
  <c r="Z1522" i="3"/>
  <c r="AG1521" i="3"/>
  <c r="AF1521" i="3"/>
  <c r="AE1521" i="3"/>
  <c r="AD1521" i="3"/>
  <c r="AC1521" i="3"/>
  <c r="AB1521" i="3"/>
  <c r="AA1521" i="3"/>
  <c r="Z1521" i="3"/>
  <c r="AG1520" i="3"/>
  <c r="AF1520" i="3"/>
  <c r="AE1520" i="3"/>
  <c r="AD1520" i="3"/>
  <c r="AC1520" i="3"/>
  <c r="AB1520" i="3"/>
  <c r="AA1520" i="3"/>
  <c r="Z1520" i="3"/>
  <c r="AG1519" i="3"/>
  <c r="AF1519" i="3"/>
  <c r="AE1519" i="3"/>
  <c r="AD1519" i="3"/>
  <c r="AC1519" i="3"/>
  <c r="AB1519" i="3"/>
  <c r="AA1519" i="3"/>
  <c r="Z1519" i="3"/>
  <c r="AG1518" i="3"/>
  <c r="AF1518" i="3"/>
  <c r="AE1518" i="3"/>
  <c r="AD1518" i="3"/>
  <c r="AC1518" i="3"/>
  <c r="AB1518" i="3"/>
  <c r="AA1518" i="3"/>
  <c r="Z1518" i="3"/>
  <c r="AG1517" i="3"/>
  <c r="AF1517" i="3"/>
  <c r="AE1517" i="3"/>
  <c r="AD1517" i="3"/>
  <c r="AC1517" i="3"/>
  <c r="AB1517" i="3"/>
  <c r="AA1517" i="3"/>
  <c r="Z1517" i="3"/>
  <c r="AG1516" i="3"/>
  <c r="AF1516" i="3"/>
  <c r="AE1516" i="3"/>
  <c r="AD1516" i="3"/>
  <c r="AC1516" i="3"/>
  <c r="AB1516" i="3"/>
  <c r="AA1516" i="3"/>
  <c r="Z1516" i="3"/>
  <c r="AG1515" i="3"/>
  <c r="AF1515" i="3"/>
  <c r="AE1515" i="3"/>
  <c r="AD1515" i="3"/>
  <c r="AC1515" i="3"/>
  <c r="AB1515" i="3"/>
  <c r="AA1515" i="3"/>
  <c r="Z1515" i="3"/>
  <c r="AG1514" i="3"/>
  <c r="AF1514" i="3"/>
  <c r="AE1514" i="3"/>
  <c r="AD1514" i="3"/>
  <c r="AC1514" i="3"/>
  <c r="AB1514" i="3"/>
  <c r="AA1514" i="3"/>
  <c r="Z1514" i="3"/>
  <c r="AG1513" i="3"/>
  <c r="AF1513" i="3"/>
  <c r="AE1513" i="3"/>
  <c r="AD1513" i="3"/>
  <c r="AC1513" i="3"/>
  <c r="AB1513" i="3"/>
  <c r="AA1513" i="3"/>
  <c r="Z1513" i="3"/>
  <c r="AG1512" i="3"/>
  <c r="AF1512" i="3"/>
  <c r="AE1512" i="3"/>
  <c r="AD1512" i="3"/>
  <c r="AC1512" i="3"/>
  <c r="AB1512" i="3"/>
  <c r="AA1512" i="3"/>
  <c r="Z1512" i="3"/>
  <c r="AG1511" i="3"/>
  <c r="AF1511" i="3"/>
  <c r="AE1511" i="3"/>
  <c r="AD1511" i="3"/>
  <c r="AC1511" i="3"/>
  <c r="AB1511" i="3"/>
  <c r="AA1511" i="3"/>
  <c r="Z1511" i="3"/>
  <c r="AG1510" i="3"/>
  <c r="AF1510" i="3"/>
  <c r="AE1510" i="3"/>
  <c r="AD1510" i="3"/>
  <c r="AC1510" i="3"/>
  <c r="AB1510" i="3"/>
  <c r="AA1510" i="3"/>
  <c r="Z1510" i="3"/>
  <c r="AG1509" i="3"/>
  <c r="AF1509" i="3"/>
  <c r="AE1509" i="3"/>
  <c r="AD1509" i="3"/>
  <c r="AC1509" i="3"/>
  <c r="AB1509" i="3"/>
  <c r="AA1509" i="3"/>
  <c r="Z1509" i="3"/>
  <c r="AG1508" i="3"/>
  <c r="AF1508" i="3"/>
  <c r="AE1508" i="3"/>
  <c r="AD1508" i="3"/>
  <c r="AC1508" i="3"/>
  <c r="AB1508" i="3"/>
  <c r="AA1508" i="3"/>
  <c r="Z1508" i="3"/>
  <c r="AG1507" i="3"/>
  <c r="AF1507" i="3"/>
  <c r="AE1507" i="3"/>
  <c r="AD1507" i="3"/>
  <c r="AC1507" i="3"/>
  <c r="AB1507" i="3"/>
  <c r="AA1507" i="3"/>
  <c r="Z1507" i="3"/>
  <c r="AG1506" i="3"/>
  <c r="AF1506" i="3"/>
  <c r="AE1506" i="3"/>
  <c r="AD1506" i="3"/>
  <c r="AC1506" i="3"/>
  <c r="AB1506" i="3"/>
  <c r="AA1506" i="3"/>
  <c r="Z1506" i="3"/>
  <c r="AG1505" i="3"/>
  <c r="AF1505" i="3"/>
  <c r="AE1505" i="3"/>
  <c r="AD1505" i="3"/>
  <c r="AC1505" i="3"/>
  <c r="AB1505" i="3"/>
  <c r="AA1505" i="3"/>
  <c r="Z1505" i="3"/>
  <c r="AG1504" i="3"/>
  <c r="AF1504" i="3"/>
  <c r="AE1504" i="3"/>
  <c r="AD1504" i="3"/>
  <c r="AC1504" i="3"/>
  <c r="AB1504" i="3"/>
  <c r="AA1504" i="3"/>
  <c r="Z1504" i="3"/>
  <c r="AG1503" i="3"/>
  <c r="AF1503" i="3"/>
  <c r="AE1503" i="3"/>
  <c r="AD1503" i="3"/>
  <c r="AC1503" i="3"/>
  <c r="AB1503" i="3"/>
  <c r="AA1503" i="3"/>
  <c r="Z1503" i="3"/>
  <c r="AG1502" i="3"/>
  <c r="AF1502" i="3"/>
  <c r="AE1502" i="3"/>
  <c r="AD1502" i="3"/>
  <c r="AC1502" i="3"/>
  <c r="AB1502" i="3"/>
  <c r="AA1502" i="3"/>
  <c r="Z1502" i="3"/>
  <c r="AG1501" i="3"/>
  <c r="AF1501" i="3"/>
  <c r="AE1501" i="3"/>
  <c r="AD1501" i="3"/>
  <c r="AC1501" i="3"/>
  <c r="AB1501" i="3"/>
  <c r="AA1501" i="3"/>
  <c r="Z1501" i="3"/>
  <c r="AG1500" i="3"/>
  <c r="AF1500" i="3"/>
  <c r="AE1500" i="3"/>
  <c r="AD1500" i="3"/>
  <c r="AC1500" i="3"/>
  <c r="AB1500" i="3"/>
  <c r="AA1500" i="3"/>
  <c r="Z1500" i="3"/>
  <c r="AG1499" i="3"/>
  <c r="AF1499" i="3"/>
  <c r="AE1499" i="3"/>
  <c r="AD1499" i="3"/>
  <c r="AC1499" i="3"/>
  <c r="AB1499" i="3"/>
  <c r="AA1499" i="3"/>
  <c r="Z1499" i="3"/>
  <c r="AG1498" i="3"/>
  <c r="AF1498" i="3"/>
  <c r="AE1498" i="3"/>
  <c r="AD1498" i="3"/>
  <c r="AC1498" i="3"/>
  <c r="AB1498" i="3"/>
  <c r="AA1498" i="3"/>
  <c r="Z1498" i="3"/>
  <c r="AG1497" i="3"/>
  <c r="AF1497" i="3"/>
  <c r="AE1497" i="3"/>
  <c r="AD1497" i="3"/>
  <c r="AC1497" i="3"/>
  <c r="AB1497" i="3"/>
  <c r="AA1497" i="3"/>
  <c r="Z1497" i="3"/>
  <c r="AG1496" i="3"/>
  <c r="AF1496" i="3"/>
  <c r="AE1496" i="3"/>
  <c r="AD1496" i="3"/>
  <c r="AC1496" i="3"/>
  <c r="AB1496" i="3"/>
  <c r="AA1496" i="3"/>
  <c r="Z1496" i="3"/>
  <c r="AG1495" i="3"/>
  <c r="AF1495" i="3"/>
  <c r="AE1495" i="3"/>
  <c r="AD1495" i="3"/>
  <c r="AC1495" i="3"/>
  <c r="AB1495" i="3"/>
  <c r="AA1495" i="3"/>
  <c r="Z1495" i="3"/>
  <c r="AG1494" i="3"/>
  <c r="AF1494" i="3"/>
  <c r="AE1494" i="3"/>
  <c r="AD1494" i="3"/>
  <c r="AC1494" i="3"/>
  <c r="AB1494" i="3"/>
  <c r="AA1494" i="3"/>
  <c r="Z1494" i="3"/>
  <c r="AG1493" i="3"/>
  <c r="AF1493" i="3"/>
  <c r="AE1493" i="3"/>
  <c r="AD1493" i="3"/>
  <c r="AC1493" i="3"/>
  <c r="AB1493" i="3"/>
  <c r="AA1493" i="3"/>
  <c r="Z1493" i="3"/>
  <c r="AG1492" i="3"/>
  <c r="AF1492" i="3"/>
  <c r="AE1492" i="3"/>
  <c r="AD1492" i="3"/>
  <c r="AC1492" i="3"/>
  <c r="AB1492" i="3"/>
  <c r="AA1492" i="3"/>
  <c r="Z1492" i="3"/>
  <c r="AG1491" i="3"/>
  <c r="AF1491" i="3"/>
  <c r="AE1491" i="3"/>
  <c r="AD1491" i="3"/>
  <c r="AC1491" i="3"/>
  <c r="AB1491" i="3"/>
  <c r="AA1491" i="3"/>
  <c r="Z1491" i="3"/>
  <c r="AG1490" i="3"/>
  <c r="AF1490" i="3"/>
  <c r="AE1490" i="3"/>
  <c r="AD1490" i="3"/>
  <c r="AC1490" i="3"/>
  <c r="AB1490" i="3"/>
  <c r="AA1490" i="3"/>
  <c r="Z1490" i="3"/>
  <c r="AG1489" i="3"/>
  <c r="AF1489" i="3"/>
  <c r="AE1489" i="3"/>
  <c r="AD1489" i="3"/>
  <c r="AC1489" i="3"/>
  <c r="AB1489" i="3"/>
  <c r="AA1489" i="3"/>
  <c r="Z1489" i="3"/>
  <c r="AG1488" i="3"/>
  <c r="AF1488" i="3"/>
  <c r="AE1488" i="3"/>
  <c r="AD1488" i="3"/>
  <c r="AC1488" i="3"/>
  <c r="AB1488" i="3"/>
  <c r="AA1488" i="3"/>
  <c r="Z1488" i="3"/>
  <c r="AG1487" i="3"/>
  <c r="AF1487" i="3"/>
  <c r="AE1487" i="3"/>
  <c r="AD1487" i="3"/>
  <c r="AC1487" i="3"/>
  <c r="AB1487" i="3"/>
  <c r="AA1487" i="3"/>
  <c r="Z1487" i="3"/>
  <c r="AG1486" i="3"/>
  <c r="AF1486" i="3"/>
  <c r="AE1486" i="3"/>
  <c r="AD1486" i="3"/>
  <c r="AC1486" i="3"/>
  <c r="AB1486" i="3"/>
  <c r="AA1486" i="3"/>
  <c r="Z1486" i="3"/>
  <c r="AG1485" i="3"/>
  <c r="AF1485" i="3"/>
  <c r="AE1485" i="3"/>
  <c r="AD1485" i="3"/>
  <c r="AC1485" i="3"/>
  <c r="AB1485" i="3"/>
  <c r="AA1485" i="3"/>
  <c r="Z1485" i="3"/>
  <c r="AG1484" i="3"/>
  <c r="AF1484" i="3"/>
  <c r="AE1484" i="3"/>
  <c r="AD1484" i="3"/>
  <c r="AC1484" i="3"/>
  <c r="AB1484" i="3"/>
  <c r="AA1484" i="3"/>
  <c r="Z1484" i="3"/>
  <c r="AG1483" i="3"/>
  <c r="AF1483" i="3"/>
  <c r="AE1483" i="3"/>
  <c r="AD1483" i="3"/>
  <c r="AC1483" i="3"/>
  <c r="AB1483" i="3"/>
  <c r="AA1483" i="3"/>
  <c r="Z1483" i="3"/>
  <c r="AG1482" i="3"/>
  <c r="AF1482" i="3"/>
  <c r="AE1482" i="3"/>
  <c r="AD1482" i="3"/>
  <c r="AC1482" i="3"/>
  <c r="AB1482" i="3"/>
  <c r="AA1482" i="3"/>
  <c r="Z1482" i="3"/>
  <c r="AG1481" i="3"/>
  <c r="AF1481" i="3"/>
  <c r="AE1481" i="3"/>
  <c r="AD1481" i="3"/>
  <c r="AC1481" i="3"/>
  <c r="AB1481" i="3"/>
  <c r="AA1481" i="3"/>
  <c r="Z1481" i="3"/>
  <c r="AG1480" i="3"/>
  <c r="AF1480" i="3"/>
  <c r="AE1480" i="3"/>
  <c r="AD1480" i="3"/>
  <c r="AC1480" i="3"/>
  <c r="AB1480" i="3"/>
  <c r="AA1480" i="3"/>
  <c r="Z1480" i="3"/>
  <c r="AG1479" i="3"/>
  <c r="AF1479" i="3"/>
  <c r="AE1479" i="3"/>
  <c r="AD1479" i="3"/>
  <c r="AC1479" i="3"/>
  <c r="AB1479" i="3"/>
  <c r="AA1479" i="3"/>
  <c r="Z1479" i="3"/>
  <c r="AG1478" i="3"/>
  <c r="AF1478" i="3"/>
  <c r="AE1478" i="3"/>
  <c r="AD1478" i="3"/>
  <c r="AC1478" i="3"/>
  <c r="AB1478" i="3"/>
  <c r="AA1478" i="3"/>
  <c r="Z1478" i="3"/>
  <c r="AG1477" i="3"/>
  <c r="AF1477" i="3"/>
  <c r="AE1477" i="3"/>
  <c r="AD1477" i="3"/>
  <c r="AC1477" i="3"/>
  <c r="AB1477" i="3"/>
  <c r="AA1477" i="3"/>
  <c r="Z1477" i="3"/>
  <c r="AG1476" i="3"/>
  <c r="AF1476" i="3"/>
  <c r="AE1476" i="3"/>
  <c r="AD1476" i="3"/>
  <c r="AC1476" i="3"/>
  <c r="AB1476" i="3"/>
  <c r="AA1476" i="3"/>
  <c r="Z1476" i="3"/>
  <c r="AG1475" i="3"/>
  <c r="AF1475" i="3"/>
  <c r="AE1475" i="3"/>
  <c r="AD1475" i="3"/>
  <c r="AC1475" i="3"/>
  <c r="AB1475" i="3"/>
  <c r="AA1475" i="3"/>
  <c r="Z1475" i="3"/>
  <c r="AG1474" i="3"/>
  <c r="AF1474" i="3"/>
  <c r="AE1474" i="3"/>
  <c r="AD1474" i="3"/>
  <c r="AC1474" i="3"/>
  <c r="AB1474" i="3"/>
  <c r="AA1474" i="3"/>
  <c r="Z1474" i="3"/>
  <c r="AG1473" i="3"/>
  <c r="AF1473" i="3"/>
  <c r="AE1473" i="3"/>
  <c r="AD1473" i="3"/>
  <c r="AC1473" i="3"/>
  <c r="AB1473" i="3"/>
  <c r="AA1473" i="3"/>
  <c r="Z1473" i="3"/>
  <c r="AG1472" i="3"/>
  <c r="AF1472" i="3"/>
  <c r="AE1472" i="3"/>
  <c r="AD1472" i="3"/>
  <c r="AC1472" i="3"/>
  <c r="AB1472" i="3"/>
  <c r="AA1472" i="3"/>
  <c r="Z1472" i="3"/>
  <c r="AG1471" i="3"/>
  <c r="AF1471" i="3"/>
  <c r="AE1471" i="3"/>
  <c r="AD1471" i="3"/>
  <c r="AC1471" i="3"/>
  <c r="AB1471" i="3"/>
  <c r="AA1471" i="3"/>
  <c r="Z1471" i="3"/>
  <c r="AG1470" i="3"/>
  <c r="AF1470" i="3"/>
  <c r="AE1470" i="3"/>
  <c r="AD1470" i="3"/>
  <c r="AC1470" i="3"/>
  <c r="AB1470" i="3"/>
  <c r="AA1470" i="3"/>
  <c r="Z1470" i="3"/>
  <c r="AG1469" i="3"/>
  <c r="AF1469" i="3"/>
  <c r="AE1469" i="3"/>
  <c r="AD1469" i="3"/>
  <c r="AC1469" i="3"/>
  <c r="AB1469" i="3"/>
  <c r="AA1469" i="3"/>
  <c r="Z1469" i="3"/>
  <c r="AG1468" i="3"/>
  <c r="AF1468" i="3"/>
  <c r="AE1468" i="3"/>
  <c r="AD1468" i="3"/>
  <c r="AC1468" i="3"/>
  <c r="AB1468" i="3"/>
  <c r="AA1468" i="3"/>
  <c r="Z1468" i="3"/>
  <c r="AG1467" i="3"/>
  <c r="AF1467" i="3"/>
  <c r="AE1467" i="3"/>
  <c r="AD1467" i="3"/>
  <c r="AC1467" i="3"/>
  <c r="AB1467" i="3"/>
  <c r="AA1467" i="3"/>
  <c r="Z1467" i="3"/>
  <c r="AG1466" i="3"/>
  <c r="AF1466" i="3"/>
  <c r="AE1466" i="3"/>
  <c r="AD1466" i="3"/>
  <c r="AC1466" i="3"/>
  <c r="AB1466" i="3"/>
  <c r="AA1466" i="3"/>
  <c r="Z1466" i="3"/>
  <c r="AG1465" i="3"/>
  <c r="AF1465" i="3"/>
  <c r="AE1465" i="3"/>
  <c r="AD1465" i="3"/>
  <c r="AC1465" i="3"/>
  <c r="AB1465" i="3"/>
  <c r="AA1465" i="3"/>
  <c r="Z1465" i="3"/>
  <c r="AG1464" i="3"/>
  <c r="AF1464" i="3"/>
  <c r="AE1464" i="3"/>
  <c r="AD1464" i="3"/>
  <c r="AC1464" i="3"/>
  <c r="AB1464" i="3"/>
  <c r="AA1464" i="3"/>
  <c r="Z1464" i="3"/>
  <c r="AG1463" i="3"/>
  <c r="AF1463" i="3"/>
  <c r="AE1463" i="3"/>
  <c r="AD1463" i="3"/>
  <c r="AC1463" i="3"/>
  <c r="AB1463" i="3"/>
  <c r="AA1463" i="3"/>
  <c r="Z1463" i="3"/>
  <c r="AG1462" i="3"/>
  <c r="AF1462" i="3"/>
  <c r="AE1462" i="3"/>
  <c r="AD1462" i="3"/>
  <c r="AC1462" i="3"/>
  <c r="AB1462" i="3"/>
  <c r="AA1462" i="3"/>
  <c r="Z1462" i="3"/>
  <c r="AG1461" i="3"/>
  <c r="AF1461" i="3"/>
  <c r="AE1461" i="3"/>
  <c r="AD1461" i="3"/>
  <c r="AC1461" i="3"/>
  <c r="AB1461" i="3"/>
  <c r="AA1461" i="3"/>
  <c r="Z1461" i="3"/>
  <c r="AG1460" i="3"/>
  <c r="AF1460" i="3"/>
  <c r="AE1460" i="3"/>
  <c r="AD1460" i="3"/>
  <c r="AC1460" i="3"/>
  <c r="AB1460" i="3"/>
  <c r="AA1460" i="3"/>
  <c r="Z1460" i="3"/>
  <c r="AG1459" i="3"/>
  <c r="AF1459" i="3"/>
  <c r="AE1459" i="3"/>
  <c r="AD1459" i="3"/>
  <c r="AC1459" i="3"/>
  <c r="AB1459" i="3"/>
  <c r="AA1459" i="3"/>
  <c r="Z1459" i="3"/>
  <c r="AG1458" i="3"/>
  <c r="AF1458" i="3"/>
  <c r="AE1458" i="3"/>
  <c r="AD1458" i="3"/>
  <c r="AC1458" i="3"/>
  <c r="AB1458" i="3"/>
  <c r="AA1458" i="3"/>
  <c r="Z1458" i="3"/>
  <c r="AG1457" i="3"/>
  <c r="AF1457" i="3"/>
  <c r="AE1457" i="3"/>
  <c r="AD1457" i="3"/>
  <c r="AC1457" i="3"/>
  <c r="AB1457" i="3"/>
  <c r="AA1457" i="3"/>
  <c r="Z1457" i="3"/>
  <c r="AG1456" i="3"/>
  <c r="AF1456" i="3"/>
  <c r="AE1456" i="3"/>
  <c r="AD1456" i="3"/>
  <c r="AC1456" i="3"/>
  <c r="AB1456" i="3"/>
  <c r="AA1456" i="3"/>
  <c r="Z1456" i="3"/>
  <c r="AG1455" i="3"/>
  <c r="AF1455" i="3"/>
  <c r="AE1455" i="3"/>
  <c r="AD1455" i="3"/>
  <c r="AC1455" i="3"/>
  <c r="AB1455" i="3"/>
  <c r="AA1455" i="3"/>
  <c r="Z1455" i="3"/>
  <c r="AG1454" i="3"/>
  <c r="AF1454" i="3"/>
  <c r="AE1454" i="3"/>
  <c r="AD1454" i="3"/>
  <c r="AC1454" i="3"/>
  <c r="AB1454" i="3"/>
  <c r="AA1454" i="3"/>
  <c r="Z1454" i="3"/>
  <c r="AG1453" i="3"/>
  <c r="AF1453" i="3"/>
  <c r="AE1453" i="3"/>
  <c r="AD1453" i="3"/>
  <c r="AC1453" i="3"/>
  <c r="AB1453" i="3"/>
  <c r="AA1453" i="3"/>
  <c r="Z1453" i="3"/>
  <c r="AG1452" i="3"/>
  <c r="AF1452" i="3"/>
  <c r="AE1452" i="3"/>
  <c r="AD1452" i="3"/>
  <c r="AC1452" i="3"/>
  <c r="AB1452" i="3"/>
  <c r="AA1452" i="3"/>
  <c r="Z1452" i="3"/>
  <c r="AG1451" i="3"/>
  <c r="AF1451" i="3"/>
  <c r="AE1451" i="3"/>
  <c r="AD1451" i="3"/>
  <c r="AC1451" i="3"/>
  <c r="AB1451" i="3"/>
  <c r="AA1451" i="3"/>
  <c r="Z1451" i="3"/>
  <c r="AG1450" i="3"/>
  <c r="AF1450" i="3"/>
  <c r="AE1450" i="3"/>
  <c r="AD1450" i="3"/>
  <c r="AC1450" i="3"/>
  <c r="AB1450" i="3"/>
  <c r="AA1450" i="3"/>
  <c r="Z1450" i="3"/>
  <c r="AG1449" i="3"/>
  <c r="AF1449" i="3"/>
  <c r="AE1449" i="3"/>
  <c r="AD1449" i="3"/>
  <c r="AC1449" i="3"/>
  <c r="AB1449" i="3"/>
  <c r="AA1449" i="3"/>
  <c r="Z1449" i="3"/>
  <c r="AG1448" i="3"/>
  <c r="AF1448" i="3"/>
  <c r="AE1448" i="3"/>
  <c r="AD1448" i="3"/>
  <c r="AC1448" i="3"/>
  <c r="AB1448" i="3"/>
  <c r="AA1448" i="3"/>
  <c r="Z1448" i="3"/>
  <c r="AG1447" i="3"/>
  <c r="AF1447" i="3"/>
  <c r="AE1447" i="3"/>
  <c r="AD1447" i="3"/>
  <c r="AC1447" i="3"/>
  <c r="AB1447" i="3"/>
  <c r="AA1447" i="3"/>
  <c r="Z1447" i="3"/>
  <c r="AG1446" i="3"/>
  <c r="AF1446" i="3"/>
  <c r="AE1446" i="3"/>
  <c r="AD1446" i="3"/>
  <c r="AC1446" i="3"/>
  <c r="AB1446" i="3"/>
  <c r="AA1446" i="3"/>
  <c r="Z1446" i="3"/>
  <c r="AG1445" i="3"/>
  <c r="AF1445" i="3"/>
  <c r="AE1445" i="3"/>
  <c r="AD1445" i="3"/>
  <c r="AC1445" i="3"/>
  <c r="AB1445" i="3"/>
  <c r="AA1445" i="3"/>
  <c r="Z1445" i="3"/>
  <c r="AG1444" i="3"/>
  <c r="AF1444" i="3"/>
  <c r="AE1444" i="3"/>
  <c r="AD1444" i="3"/>
  <c r="AC1444" i="3"/>
  <c r="AB1444" i="3"/>
  <c r="AA1444" i="3"/>
  <c r="Z1444" i="3"/>
  <c r="AG1443" i="3"/>
  <c r="AF1443" i="3"/>
  <c r="AE1443" i="3"/>
  <c r="AD1443" i="3"/>
  <c r="AC1443" i="3"/>
  <c r="AB1443" i="3"/>
  <c r="AA1443" i="3"/>
  <c r="Z1443" i="3"/>
  <c r="AG1442" i="3"/>
  <c r="AF1442" i="3"/>
  <c r="AE1442" i="3"/>
  <c r="AD1442" i="3"/>
  <c r="AC1442" i="3"/>
  <c r="AB1442" i="3"/>
  <c r="AA1442" i="3"/>
  <c r="Z1442" i="3"/>
  <c r="AG1441" i="3"/>
  <c r="AF1441" i="3"/>
  <c r="AE1441" i="3"/>
  <c r="AD1441" i="3"/>
  <c r="AC1441" i="3"/>
  <c r="AB1441" i="3"/>
  <c r="AA1441" i="3"/>
  <c r="Z1441" i="3"/>
  <c r="AG1440" i="3"/>
  <c r="AF1440" i="3"/>
  <c r="AE1440" i="3"/>
  <c r="AD1440" i="3"/>
  <c r="AC1440" i="3"/>
  <c r="AB1440" i="3"/>
  <c r="AA1440" i="3"/>
  <c r="Z1440" i="3"/>
  <c r="AG1439" i="3"/>
  <c r="AF1439" i="3"/>
  <c r="AE1439" i="3"/>
  <c r="AD1439" i="3"/>
  <c r="AC1439" i="3"/>
  <c r="AB1439" i="3"/>
  <c r="AA1439" i="3"/>
  <c r="Z1439" i="3"/>
  <c r="AG1438" i="3"/>
  <c r="AF1438" i="3"/>
  <c r="AE1438" i="3"/>
  <c r="AD1438" i="3"/>
  <c r="AC1438" i="3"/>
  <c r="AB1438" i="3"/>
  <c r="AA1438" i="3"/>
  <c r="Z1438" i="3"/>
  <c r="AG1437" i="3"/>
  <c r="AF1437" i="3"/>
  <c r="AE1437" i="3"/>
  <c r="AD1437" i="3"/>
  <c r="AC1437" i="3"/>
  <c r="AB1437" i="3"/>
  <c r="AA1437" i="3"/>
  <c r="Z1437" i="3"/>
  <c r="AG1436" i="3"/>
  <c r="AF1436" i="3"/>
  <c r="AE1436" i="3"/>
  <c r="AD1436" i="3"/>
  <c r="AC1436" i="3"/>
  <c r="AB1436" i="3"/>
  <c r="AA1436" i="3"/>
  <c r="Z1436" i="3"/>
  <c r="AG1435" i="3"/>
  <c r="AF1435" i="3"/>
  <c r="AE1435" i="3"/>
  <c r="AD1435" i="3"/>
  <c r="AC1435" i="3"/>
  <c r="AB1435" i="3"/>
  <c r="AA1435" i="3"/>
  <c r="Z1435" i="3"/>
  <c r="AG1434" i="3"/>
  <c r="AF1434" i="3"/>
  <c r="AE1434" i="3"/>
  <c r="AD1434" i="3"/>
  <c r="AC1434" i="3"/>
  <c r="AB1434" i="3"/>
  <c r="AA1434" i="3"/>
  <c r="Z1434" i="3"/>
  <c r="AG1433" i="3"/>
  <c r="AF1433" i="3"/>
  <c r="AE1433" i="3"/>
  <c r="AD1433" i="3"/>
  <c r="AC1433" i="3"/>
  <c r="AB1433" i="3"/>
  <c r="AA1433" i="3"/>
  <c r="Z1433" i="3"/>
  <c r="AG1432" i="3"/>
  <c r="AF1432" i="3"/>
  <c r="AE1432" i="3"/>
  <c r="AD1432" i="3"/>
  <c r="AC1432" i="3"/>
  <c r="AB1432" i="3"/>
  <c r="AA1432" i="3"/>
  <c r="Z1432" i="3"/>
  <c r="AG1431" i="3"/>
  <c r="AF1431" i="3"/>
  <c r="AE1431" i="3"/>
  <c r="AD1431" i="3"/>
  <c r="AC1431" i="3"/>
  <c r="AB1431" i="3"/>
  <c r="AA1431" i="3"/>
  <c r="Z1431" i="3"/>
  <c r="AG1430" i="3"/>
  <c r="AF1430" i="3"/>
  <c r="AE1430" i="3"/>
  <c r="AD1430" i="3"/>
  <c r="AC1430" i="3"/>
  <c r="AB1430" i="3"/>
  <c r="AA1430" i="3"/>
  <c r="Z1430" i="3"/>
  <c r="AG1429" i="3"/>
  <c r="AF1429" i="3"/>
  <c r="AE1429" i="3"/>
  <c r="AD1429" i="3"/>
  <c r="AC1429" i="3"/>
  <c r="AB1429" i="3"/>
  <c r="AA1429" i="3"/>
  <c r="Z1429" i="3"/>
  <c r="AG1428" i="3"/>
  <c r="AF1428" i="3"/>
  <c r="AE1428" i="3"/>
  <c r="AD1428" i="3"/>
  <c r="AC1428" i="3"/>
  <c r="AB1428" i="3"/>
  <c r="AA1428" i="3"/>
  <c r="Z1428" i="3"/>
  <c r="AG1427" i="3"/>
  <c r="AF1427" i="3"/>
  <c r="AE1427" i="3"/>
  <c r="AD1427" i="3"/>
  <c r="AC1427" i="3"/>
  <c r="AB1427" i="3"/>
  <c r="AA1427" i="3"/>
  <c r="Z1427" i="3"/>
  <c r="AG1426" i="3"/>
  <c r="AF1426" i="3"/>
  <c r="AE1426" i="3"/>
  <c r="AD1426" i="3"/>
  <c r="AC1426" i="3"/>
  <c r="AB1426" i="3"/>
  <c r="AA1426" i="3"/>
  <c r="Z1426" i="3"/>
  <c r="AG1425" i="3"/>
  <c r="AF1425" i="3"/>
  <c r="AE1425" i="3"/>
  <c r="AD1425" i="3"/>
  <c r="AC1425" i="3"/>
  <c r="AB1425" i="3"/>
  <c r="AA1425" i="3"/>
  <c r="Z1425" i="3"/>
  <c r="AG1424" i="3"/>
  <c r="AF1424" i="3"/>
  <c r="AE1424" i="3"/>
  <c r="AD1424" i="3"/>
  <c r="AC1424" i="3"/>
  <c r="AB1424" i="3"/>
  <c r="AA1424" i="3"/>
  <c r="Z1424" i="3"/>
  <c r="AG1423" i="3"/>
  <c r="AF1423" i="3"/>
  <c r="AE1423" i="3"/>
  <c r="AD1423" i="3"/>
  <c r="AC1423" i="3"/>
  <c r="AB1423" i="3"/>
  <c r="AA1423" i="3"/>
  <c r="Z1423" i="3"/>
  <c r="AG1422" i="3"/>
  <c r="AF1422" i="3"/>
  <c r="AE1422" i="3"/>
  <c r="AD1422" i="3"/>
  <c r="AC1422" i="3"/>
  <c r="AB1422" i="3"/>
  <c r="AA1422" i="3"/>
  <c r="Z1422" i="3"/>
  <c r="AG1421" i="3"/>
  <c r="AF1421" i="3"/>
  <c r="AE1421" i="3"/>
  <c r="AD1421" i="3"/>
  <c r="AC1421" i="3"/>
  <c r="AB1421" i="3"/>
  <c r="AA1421" i="3"/>
  <c r="Z1421" i="3"/>
  <c r="AG1420" i="3"/>
  <c r="AF1420" i="3"/>
  <c r="AE1420" i="3"/>
  <c r="AD1420" i="3"/>
  <c r="AC1420" i="3"/>
  <c r="AB1420" i="3"/>
  <c r="AA1420" i="3"/>
  <c r="Z1420" i="3"/>
  <c r="AG1419" i="3"/>
  <c r="AF1419" i="3"/>
  <c r="AE1419" i="3"/>
  <c r="AD1419" i="3"/>
  <c r="AC1419" i="3"/>
  <c r="AB1419" i="3"/>
  <c r="AA1419" i="3"/>
  <c r="Z1419" i="3"/>
  <c r="AG1418" i="3"/>
  <c r="AF1418" i="3"/>
  <c r="AE1418" i="3"/>
  <c r="AD1418" i="3"/>
  <c r="AC1418" i="3"/>
  <c r="AB1418" i="3"/>
  <c r="AA1418" i="3"/>
  <c r="Z1418" i="3"/>
  <c r="AG1417" i="3"/>
  <c r="AF1417" i="3"/>
  <c r="AE1417" i="3"/>
  <c r="AD1417" i="3"/>
  <c r="AC1417" i="3"/>
  <c r="AB1417" i="3"/>
  <c r="AA1417" i="3"/>
  <c r="Z1417" i="3"/>
  <c r="AG1416" i="3"/>
  <c r="AF1416" i="3"/>
  <c r="AE1416" i="3"/>
  <c r="AD1416" i="3"/>
  <c r="AC1416" i="3"/>
  <c r="AB1416" i="3"/>
  <c r="AA1416" i="3"/>
  <c r="Z1416" i="3"/>
  <c r="AG1415" i="3"/>
  <c r="AF1415" i="3"/>
  <c r="AE1415" i="3"/>
  <c r="AD1415" i="3"/>
  <c r="AC1415" i="3"/>
  <c r="AB1415" i="3"/>
  <c r="AA1415" i="3"/>
  <c r="Z1415" i="3"/>
  <c r="AG1414" i="3"/>
  <c r="AF1414" i="3"/>
  <c r="AE1414" i="3"/>
  <c r="AD1414" i="3"/>
  <c r="AC1414" i="3"/>
  <c r="AB1414" i="3"/>
  <c r="AA1414" i="3"/>
  <c r="Z1414" i="3"/>
  <c r="AG1413" i="3"/>
  <c r="AF1413" i="3"/>
  <c r="AE1413" i="3"/>
  <c r="AD1413" i="3"/>
  <c r="AC1413" i="3"/>
  <c r="AB1413" i="3"/>
  <c r="AA1413" i="3"/>
  <c r="Z1413" i="3"/>
  <c r="AG1412" i="3"/>
  <c r="AF1412" i="3"/>
  <c r="AE1412" i="3"/>
  <c r="AD1412" i="3"/>
  <c r="AC1412" i="3"/>
  <c r="AB1412" i="3"/>
  <c r="AA1412" i="3"/>
  <c r="Z1412" i="3"/>
  <c r="AG1411" i="3"/>
  <c r="AF1411" i="3"/>
  <c r="AE1411" i="3"/>
  <c r="AD1411" i="3"/>
  <c r="AC1411" i="3"/>
  <c r="AB1411" i="3"/>
  <c r="AA1411" i="3"/>
  <c r="Z1411" i="3"/>
  <c r="AG1410" i="3"/>
  <c r="AF1410" i="3"/>
  <c r="AE1410" i="3"/>
  <c r="AD1410" i="3"/>
  <c r="AC1410" i="3"/>
  <c r="AB1410" i="3"/>
  <c r="AA1410" i="3"/>
  <c r="Z1410" i="3"/>
  <c r="AG1409" i="3"/>
  <c r="AF1409" i="3"/>
  <c r="AE1409" i="3"/>
  <c r="AD1409" i="3"/>
  <c r="AC1409" i="3"/>
  <c r="AB1409" i="3"/>
  <c r="AA1409" i="3"/>
  <c r="Z1409" i="3"/>
  <c r="AG1408" i="3"/>
  <c r="AF1408" i="3"/>
  <c r="AE1408" i="3"/>
  <c r="AD1408" i="3"/>
  <c r="AC1408" i="3"/>
  <c r="AB1408" i="3"/>
  <c r="AA1408" i="3"/>
  <c r="Z1408" i="3"/>
  <c r="AG1407" i="3"/>
  <c r="AF1407" i="3"/>
  <c r="AE1407" i="3"/>
  <c r="AD1407" i="3"/>
  <c r="AC1407" i="3"/>
  <c r="AB1407" i="3"/>
  <c r="AA1407" i="3"/>
  <c r="Z1407" i="3"/>
  <c r="AG1406" i="3"/>
  <c r="AF1406" i="3"/>
  <c r="AE1406" i="3"/>
  <c r="AD1406" i="3"/>
  <c r="AC1406" i="3"/>
  <c r="AB1406" i="3"/>
  <c r="AA1406" i="3"/>
  <c r="Z1406" i="3"/>
  <c r="AG1405" i="3"/>
  <c r="AF1405" i="3"/>
  <c r="AE1405" i="3"/>
  <c r="AD1405" i="3"/>
  <c r="AC1405" i="3"/>
  <c r="AB1405" i="3"/>
  <c r="AA1405" i="3"/>
  <c r="Z1405" i="3"/>
  <c r="AG1404" i="3"/>
  <c r="AF1404" i="3"/>
  <c r="AE1404" i="3"/>
  <c r="AD1404" i="3"/>
  <c r="AC1404" i="3"/>
  <c r="AB1404" i="3"/>
  <c r="AA1404" i="3"/>
  <c r="Z1404" i="3"/>
  <c r="AG1403" i="3"/>
  <c r="AF1403" i="3"/>
  <c r="AE1403" i="3"/>
  <c r="AD1403" i="3"/>
  <c r="AC1403" i="3"/>
  <c r="AB1403" i="3"/>
  <c r="AA1403" i="3"/>
  <c r="Z1403" i="3"/>
  <c r="AG1402" i="3"/>
  <c r="AF1402" i="3"/>
  <c r="AE1402" i="3"/>
  <c r="AD1402" i="3"/>
  <c r="AC1402" i="3"/>
  <c r="AB1402" i="3"/>
  <c r="AA1402" i="3"/>
  <c r="Z1402" i="3"/>
  <c r="AG1401" i="3"/>
  <c r="AF1401" i="3"/>
  <c r="AE1401" i="3"/>
  <c r="AD1401" i="3"/>
  <c r="AC1401" i="3"/>
  <c r="AB1401" i="3"/>
  <c r="AA1401" i="3"/>
  <c r="Z1401" i="3"/>
  <c r="AG1400" i="3"/>
  <c r="AF1400" i="3"/>
  <c r="AE1400" i="3"/>
  <c r="AD1400" i="3"/>
  <c r="AC1400" i="3"/>
  <c r="AB1400" i="3"/>
  <c r="AA1400" i="3"/>
  <c r="Z1400" i="3"/>
  <c r="AG1399" i="3"/>
  <c r="AF1399" i="3"/>
  <c r="AE1399" i="3"/>
  <c r="AD1399" i="3"/>
  <c r="AC1399" i="3"/>
  <c r="AB1399" i="3"/>
  <c r="AA1399" i="3"/>
  <c r="Z1399" i="3"/>
  <c r="AG1398" i="3"/>
  <c r="AF1398" i="3"/>
  <c r="AE1398" i="3"/>
  <c r="AD1398" i="3"/>
  <c r="AC1398" i="3"/>
  <c r="AB1398" i="3"/>
  <c r="AA1398" i="3"/>
  <c r="Z1398" i="3"/>
  <c r="AG1397" i="3"/>
  <c r="AF1397" i="3"/>
  <c r="AE1397" i="3"/>
  <c r="AD1397" i="3"/>
  <c r="AC1397" i="3"/>
  <c r="AB1397" i="3"/>
  <c r="AA1397" i="3"/>
  <c r="Z1397" i="3"/>
  <c r="AG1396" i="3"/>
  <c r="AF1396" i="3"/>
  <c r="AE1396" i="3"/>
  <c r="AD1396" i="3"/>
  <c r="AC1396" i="3"/>
  <c r="AB1396" i="3"/>
  <c r="AA1396" i="3"/>
  <c r="Z1396" i="3"/>
  <c r="AG1395" i="3"/>
  <c r="AF1395" i="3"/>
  <c r="AE1395" i="3"/>
  <c r="AD1395" i="3"/>
  <c r="AC1395" i="3"/>
  <c r="AB1395" i="3"/>
  <c r="AA1395" i="3"/>
  <c r="Z1395" i="3"/>
  <c r="AG1394" i="3"/>
  <c r="AF1394" i="3"/>
  <c r="AE1394" i="3"/>
  <c r="AD1394" i="3"/>
  <c r="AC1394" i="3"/>
  <c r="AB1394" i="3"/>
  <c r="AA1394" i="3"/>
  <c r="Z1394" i="3"/>
  <c r="AG1393" i="3"/>
  <c r="AF1393" i="3"/>
  <c r="AE1393" i="3"/>
  <c r="AD1393" i="3"/>
  <c r="AC1393" i="3"/>
  <c r="AB1393" i="3"/>
  <c r="AA1393" i="3"/>
  <c r="Z1393" i="3"/>
  <c r="AG1392" i="3"/>
  <c r="AF1392" i="3"/>
  <c r="AE1392" i="3"/>
  <c r="AD1392" i="3"/>
  <c r="AC1392" i="3"/>
  <c r="AB1392" i="3"/>
  <c r="AA1392" i="3"/>
  <c r="Z1392" i="3"/>
  <c r="AG1391" i="3"/>
  <c r="AF1391" i="3"/>
  <c r="AE1391" i="3"/>
  <c r="AD1391" i="3"/>
  <c r="AC1391" i="3"/>
  <c r="AB1391" i="3"/>
  <c r="AA1391" i="3"/>
  <c r="Z1391" i="3"/>
  <c r="AG1390" i="3"/>
  <c r="AF1390" i="3"/>
  <c r="AE1390" i="3"/>
  <c r="AD1390" i="3"/>
  <c r="AC1390" i="3"/>
  <c r="AB1390" i="3"/>
  <c r="AA1390" i="3"/>
  <c r="Z1390" i="3"/>
  <c r="AG1389" i="3"/>
  <c r="AF1389" i="3"/>
  <c r="AE1389" i="3"/>
  <c r="AD1389" i="3"/>
  <c r="AC1389" i="3"/>
  <c r="AB1389" i="3"/>
  <c r="AA1389" i="3"/>
  <c r="Z1389" i="3"/>
  <c r="AG1388" i="3"/>
  <c r="AF1388" i="3"/>
  <c r="AE1388" i="3"/>
  <c r="AD1388" i="3"/>
  <c r="AC1388" i="3"/>
  <c r="AB1388" i="3"/>
  <c r="AA1388" i="3"/>
  <c r="Z1388" i="3"/>
  <c r="AG1387" i="3"/>
  <c r="AF1387" i="3"/>
  <c r="AE1387" i="3"/>
  <c r="AD1387" i="3"/>
  <c r="AC1387" i="3"/>
  <c r="AB1387" i="3"/>
  <c r="AA1387" i="3"/>
  <c r="Z1387" i="3"/>
  <c r="AG1386" i="3"/>
  <c r="AF1386" i="3"/>
  <c r="AE1386" i="3"/>
  <c r="AD1386" i="3"/>
  <c r="AC1386" i="3"/>
  <c r="AB1386" i="3"/>
  <c r="AA1386" i="3"/>
  <c r="Z1386" i="3"/>
  <c r="AG1385" i="3"/>
  <c r="AF1385" i="3"/>
  <c r="AE1385" i="3"/>
  <c r="AD1385" i="3"/>
  <c r="AC1385" i="3"/>
  <c r="AB1385" i="3"/>
  <c r="AA1385" i="3"/>
  <c r="Z1385" i="3"/>
  <c r="AG1384" i="3"/>
  <c r="AF1384" i="3"/>
  <c r="AE1384" i="3"/>
  <c r="AD1384" i="3"/>
  <c r="AC1384" i="3"/>
  <c r="AB1384" i="3"/>
  <c r="AA1384" i="3"/>
  <c r="Z1384" i="3"/>
  <c r="AG1383" i="3"/>
  <c r="AF1383" i="3"/>
  <c r="AE1383" i="3"/>
  <c r="AD1383" i="3"/>
  <c r="AC1383" i="3"/>
  <c r="AB1383" i="3"/>
  <c r="AA1383" i="3"/>
  <c r="Z1383" i="3"/>
  <c r="AG1382" i="3"/>
  <c r="AF1382" i="3"/>
  <c r="AE1382" i="3"/>
  <c r="AD1382" i="3"/>
  <c r="AC1382" i="3"/>
  <c r="AB1382" i="3"/>
  <c r="AA1382" i="3"/>
  <c r="Z1382" i="3"/>
  <c r="AG1381" i="3"/>
  <c r="AF1381" i="3"/>
  <c r="AE1381" i="3"/>
  <c r="AD1381" i="3"/>
  <c r="AC1381" i="3"/>
  <c r="AB1381" i="3"/>
  <c r="AA1381" i="3"/>
  <c r="Z1381" i="3"/>
  <c r="AG1380" i="3"/>
  <c r="AF1380" i="3"/>
  <c r="AE1380" i="3"/>
  <c r="AD1380" i="3"/>
  <c r="AC1380" i="3"/>
  <c r="AB1380" i="3"/>
  <c r="AA1380" i="3"/>
  <c r="Z1380" i="3"/>
  <c r="AG1379" i="3"/>
  <c r="AF1379" i="3"/>
  <c r="AE1379" i="3"/>
  <c r="AD1379" i="3"/>
  <c r="AC1379" i="3"/>
  <c r="AB1379" i="3"/>
  <c r="AA1379" i="3"/>
  <c r="Z1379" i="3"/>
  <c r="AG1378" i="3"/>
  <c r="AF1378" i="3"/>
  <c r="AE1378" i="3"/>
  <c r="AD1378" i="3"/>
  <c r="AC1378" i="3"/>
  <c r="AB1378" i="3"/>
  <c r="AA1378" i="3"/>
  <c r="Z1378" i="3"/>
  <c r="AG1377" i="3"/>
  <c r="AF1377" i="3"/>
  <c r="AE1377" i="3"/>
  <c r="AD1377" i="3"/>
  <c r="AC1377" i="3"/>
  <c r="AB1377" i="3"/>
  <c r="AA1377" i="3"/>
  <c r="Z1377" i="3"/>
  <c r="AG1376" i="3"/>
  <c r="AF1376" i="3"/>
  <c r="AE1376" i="3"/>
  <c r="AD1376" i="3"/>
  <c r="AC1376" i="3"/>
  <c r="AB1376" i="3"/>
  <c r="AA1376" i="3"/>
  <c r="Z1376" i="3"/>
  <c r="AG1375" i="3"/>
  <c r="AF1375" i="3"/>
  <c r="AE1375" i="3"/>
  <c r="AD1375" i="3"/>
  <c r="AC1375" i="3"/>
  <c r="AB1375" i="3"/>
  <c r="AA1375" i="3"/>
  <c r="Z1375" i="3"/>
  <c r="AG1374" i="3"/>
  <c r="AF1374" i="3"/>
  <c r="AE1374" i="3"/>
  <c r="AD1374" i="3"/>
  <c r="AC1374" i="3"/>
  <c r="AB1374" i="3"/>
  <c r="AA1374" i="3"/>
  <c r="Z1374" i="3"/>
  <c r="AG1373" i="3"/>
  <c r="AF1373" i="3"/>
  <c r="AE1373" i="3"/>
  <c r="AD1373" i="3"/>
  <c r="AC1373" i="3"/>
  <c r="AB1373" i="3"/>
  <c r="AA1373" i="3"/>
  <c r="Z1373" i="3"/>
  <c r="AG1372" i="3"/>
  <c r="AF1372" i="3"/>
  <c r="AE1372" i="3"/>
  <c r="AD1372" i="3"/>
  <c r="AC1372" i="3"/>
  <c r="AB1372" i="3"/>
  <c r="AA1372" i="3"/>
  <c r="Z1372" i="3"/>
  <c r="AG1371" i="3"/>
  <c r="AF1371" i="3"/>
  <c r="AE1371" i="3"/>
  <c r="AD1371" i="3"/>
  <c r="AC1371" i="3"/>
  <c r="AB1371" i="3"/>
  <c r="AA1371" i="3"/>
  <c r="Z1371" i="3"/>
  <c r="AG1370" i="3"/>
  <c r="AF1370" i="3"/>
  <c r="AE1370" i="3"/>
  <c r="AD1370" i="3"/>
  <c r="AC1370" i="3"/>
  <c r="AB1370" i="3"/>
  <c r="AA1370" i="3"/>
  <c r="Z1370" i="3"/>
  <c r="AG1369" i="3"/>
  <c r="AF1369" i="3"/>
  <c r="AE1369" i="3"/>
  <c r="AD1369" i="3"/>
  <c r="AC1369" i="3"/>
  <c r="AB1369" i="3"/>
  <c r="AA1369" i="3"/>
  <c r="Z1369" i="3"/>
  <c r="AG1368" i="3"/>
  <c r="AF1368" i="3"/>
  <c r="AE1368" i="3"/>
  <c r="AD1368" i="3"/>
  <c r="AC1368" i="3"/>
  <c r="AB1368" i="3"/>
  <c r="AA1368" i="3"/>
  <c r="Z1368" i="3"/>
  <c r="AG1367" i="3"/>
  <c r="AF1367" i="3"/>
  <c r="AE1367" i="3"/>
  <c r="AD1367" i="3"/>
  <c r="AC1367" i="3"/>
  <c r="AB1367" i="3"/>
  <c r="AA1367" i="3"/>
  <c r="Z1367" i="3"/>
  <c r="AG1366" i="3"/>
  <c r="AF1366" i="3"/>
  <c r="AE1366" i="3"/>
  <c r="AD1366" i="3"/>
  <c r="AC1366" i="3"/>
  <c r="AB1366" i="3"/>
  <c r="AA1366" i="3"/>
  <c r="Z1366" i="3"/>
  <c r="AG1365" i="3"/>
  <c r="AF1365" i="3"/>
  <c r="AE1365" i="3"/>
  <c r="AD1365" i="3"/>
  <c r="AC1365" i="3"/>
  <c r="AB1365" i="3"/>
  <c r="AA1365" i="3"/>
  <c r="Z1365" i="3"/>
  <c r="AG1364" i="3"/>
  <c r="AF1364" i="3"/>
  <c r="AE1364" i="3"/>
  <c r="AD1364" i="3"/>
  <c r="AC1364" i="3"/>
  <c r="AB1364" i="3"/>
  <c r="AA1364" i="3"/>
  <c r="Z1364" i="3"/>
  <c r="AG1363" i="3"/>
  <c r="AF1363" i="3"/>
  <c r="AE1363" i="3"/>
  <c r="AD1363" i="3"/>
  <c r="AC1363" i="3"/>
  <c r="AB1363" i="3"/>
  <c r="AA1363" i="3"/>
  <c r="Z1363" i="3"/>
  <c r="AG1362" i="3"/>
  <c r="AF1362" i="3"/>
  <c r="AE1362" i="3"/>
  <c r="AD1362" i="3"/>
  <c r="AC1362" i="3"/>
  <c r="AB1362" i="3"/>
  <c r="AA1362" i="3"/>
  <c r="Z1362" i="3"/>
  <c r="AG1361" i="3"/>
  <c r="AF1361" i="3"/>
  <c r="AE1361" i="3"/>
  <c r="AD1361" i="3"/>
  <c r="AC1361" i="3"/>
  <c r="AB1361" i="3"/>
  <c r="AA1361" i="3"/>
  <c r="Z1361" i="3"/>
  <c r="AG1360" i="3"/>
  <c r="AF1360" i="3"/>
  <c r="AE1360" i="3"/>
  <c r="AD1360" i="3"/>
  <c r="AC1360" i="3"/>
  <c r="AB1360" i="3"/>
  <c r="AA1360" i="3"/>
  <c r="Z1360" i="3"/>
  <c r="AG1359" i="3"/>
  <c r="AF1359" i="3"/>
  <c r="AE1359" i="3"/>
  <c r="AD1359" i="3"/>
  <c r="AC1359" i="3"/>
  <c r="AB1359" i="3"/>
  <c r="AA1359" i="3"/>
  <c r="Z1359" i="3"/>
  <c r="AG1358" i="3"/>
  <c r="AF1358" i="3"/>
  <c r="AE1358" i="3"/>
  <c r="AD1358" i="3"/>
  <c r="AC1358" i="3"/>
  <c r="AB1358" i="3"/>
  <c r="AA1358" i="3"/>
  <c r="Z1358" i="3"/>
  <c r="AG1357" i="3"/>
  <c r="AF1357" i="3"/>
  <c r="AE1357" i="3"/>
  <c r="AD1357" i="3"/>
  <c r="AC1357" i="3"/>
  <c r="AB1357" i="3"/>
  <c r="AA1357" i="3"/>
  <c r="Z1357" i="3"/>
  <c r="AG1356" i="3"/>
  <c r="AF1356" i="3"/>
  <c r="AE1356" i="3"/>
  <c r="AD1356" i="3"/>
  <c r="AC1356" i="3"/>
  <c r="AB1356" i="3"/>
  <c r="AA1356" i="3"/>
  <c r="Z1356" i="3"/>
  <c r="AG1355" i="3"/>
  <c r="AF1355" i="3"/>
  <c r="AE1355" i="3"/>
  <c r="AD1355" i="3"/>
  <c r="AC1355" i="3"/>
  <c r="AB1355" i="3"/>
  <c r="AA1355" i="3"/>
  <c r="Z1355" i="3"/>
  <c r="AG1354" i="3"/>
  <c r="AF1354" i="3"/>
  <c r="AE1354" i="3"/>
  <c r="AD1354" i="3"/>
  <c r="AC1354" i="3"/>
  <c r="AB1354" i="3"/>
  <c r="AA1354" i="3"/>
  <c r="Z1354" i="3"/>
  <c r="AG1353" i="3"/>
  <c r="AF1353" i="3"/>
  <c r="AE1353" i="3"/>
  <c r="AD1353" i="3"/>
  <c r="AC1353" i="3"/>
  <c r="AB1353" i="3"/>
  <c r="AA1353" i="3"/>
  <c r="Z1353" i="3"/>
  <c r="AG1352" i="3"/>
  <c r="AF1352" i="3"/>
  <c r="AE1352" i="3"/>
  <c r="AD1352" i="3"/>
  <c r="AC1352" i="3"/>
  <c r="AB1352" i="3"/>
  <c r="AA1352" i="3"/>
  <c r="Z1352" i="3"/>
  <c r="AG1351" i="3"/>
  <c r="AF1351" i="3"/>
  <c r="AE1351" i="3"/>
  <c r="AD1351" i="3"/>
  <c r="AC1351" i="3"/>
  <c r="AB1351" i="3"/>
  <c r="AA1351" i="3"/>
  <c r="Z1351" i="3"/>
  <c r="AG1350" i="3"/>
  <c r="AF1350" i="3"/>
  <c r="AE1350" i="3"/>
  <c r="AD1350" i="3"/>
  <c r="AC1350" i="3"/>
  <c r="AB1350" i="3"/>
  <c r="AA1350" i="3"/>
  <c r="Z1350" i="3"/>
  <c r="AG1349" i="3"/>
  <c r="AF1349" i="3"/>
  <c r="AE1349" i="3"/>
  <c r="AD1349" i="3"/>
  <c r="AC1349" i="3"/>
  <c r="AB1349" i="3"/>
  <c r="AA1349" i="3"/>
  <c r="Z1349" i="3"/>
  <c r="AG1348" i="3"/>
  <c r="AF1348" i="3"/>
  <c r="AE1348" i="3"/>
  <c r="AD1348" i="3"/>
  <c r="AC1348" i="3"/>
  <c r="AB1348" i="3"/>
  <c r="AA1348" i="3"/>
  <c r="Z1348" i="3"/>
  <c r="AG1347" i="3"/>
  <c r="AF1347" i="3"/>
  <c r="AE1347" i="3"/>
  <c r="AD1347" i="3"/>
  <c r="AC1347" i="3"/>
  <c r="AB1347" i="3"/>
  <c r="AA1347" i="3"/>
  <c r="Z1347" i="3"/>
  <c r="AG1346" i="3"/>
  <c r="AF1346" i="3"/>
  <c r="AE1346" i="3"/>
  <c r="AD1346" i="3"/>
  <c r="AC1346" i="3"/>
  <c r="AB1346" i="3"/>
  <c r="AA1346" i="3"/>
  <c r="Z1346" i="3"/>
  <c r="AG1345" i="3"/>
  <c r="AF1345" i="3"/>
  <c r="AE1345" i="3"/>
  <c r="AD1345" i="3"/>
  <c r="AC1345" i="3"/>
  <c r="AB1345" i="3"/>
  <c r="AA1345" i="3"/>
  <c r="Z1345" i="3"/>
  <c r="AG1344" i="3"/>
  <c r="AF1344" i="3"/>
  <c r="AE1344" i="3"/>
  <c r="AD1344" i="3"/>
  <c r="AC1344" i="3"/>
  <c r="AB1344" i="3"/>
  <c r="AA1344" i="3"/>
  <c r="Z1344" i="3"/>
  <c r="AG1343" i="3"/>
  <c r="AF1343" i="3"/>
  <c r="AE1343" i="3"/>
  <c r="AD1343" i="3"/>
  <c r="AC1343" i="3"/>
  <c r="AB1343" i="3"/>
  <c r="AA1343" i="3"/>
  <c r="Z1343" i="3"/>
  <c r="AG1342" i="3"/>
  <c r="AF1342" i="3"/>
  <c r="AE1342" i="3"/>
  <c r="AD1342" i="3"/>
  <c r="AC1342" i="3"/>
  <c r="AB1342" i="3"/>
  <c r="AA1342" i="3"/>
  <c r="Z1342" i="3"/>
  <c r="AG1341" i="3"/>
  <c r="AF1341" i="3"/>
  <c r="AE1341" i="3"/>
  <c r="AD1341" i="3"/>
  <c r="AC1341" i="3"/>
  <c r="AB1341" i="3"/>
  <c r="AA1341" i="3"/>
  <c r="Z1341" i="3"/>
  <c r="AG1340" i="3"/>
  <c r="AF1340" i="3"/>
  <c r="AE1340" i="3"/>
  <c r="AD1340" i="3"/>
  <c r="AC1340" i="3"/>
  <c r="AB1340" i="3"/>
  <c r="AA1340" i="3"/>
  <c r="Z1340" i="3"/>
  <c r="AG1339" i="3"/>
  <c r="AF1339" i="3"/>
  <c r="AE1339" i="3"/>
  <c r="AD1339" i="3"/>
  <c r="AC1339" i="3"/>
  <c r="AB1339" i="3"/>
  <c r="AA1339" i="3"/>
  <c r="Z1339" i="3"/>
  <c r="AG1338" i="3"/>
  <c r="AF1338" i="3"/>
  <c r="AE1338" i="3"/>
  <c r="AD1338" i="3"/>
  <c r="AC1338" i="3"/>
  <c r="AB1338" i="3"/>
  <c r="AA1338" i="3"/>
  <c r="Z1338" i="3"/>
  <c r="AG1337" i="3"/>
  <c r="AF1337" i="3"/>
  <c r="AE1337" i="3"/>
  <c r="AD1337" i="3"/>
  <c r="AC1337" i="3"/>
  <c r="AB1337" i="3"/>
  <c r="AA1337" i="3"/>
  <c r="Z1337" i="3"/>
  <c r="AG1336" i="3"/>
  <c r="AF1336" i="3"/>
  <c r="AE1336" i="3"/>
  <c r="AD1336" i="3"/>
  <c r="AC1336" i="3"/>
  <c r="AB1336" i="3"/>
  <c r="AA1336" i="3"/>
  <c r="Z1336" i="3"/>
  <c r="AG1335" i="3"/>
  <c r="AF1335" i="3"/>
  <c r="AE1335" i="3"/>
  <c r="AD1335" i="3"/>
  <c r="AC1335" i="3"/>
  <c r="AB1335" i="3"/>
  <c r="AA1335" i="3"/>
  <c r="Z1335" i="3"/>
  <c r="AG1334" i="3"/>
  <c r="AF1334" i="3"/>
  <c r="AE1334" i="3"/>
  <c r="AD1334" i="3"/>
  <c r="AC1334" i="3"/>
  <c r="AB1334" i="3"/>
  <c r="AA1334" i="3"/>
  <c r="Z1334" i="3"/>
  <c r="AG1333" i="3"/>
  <c r="AF1333" i="3"/>
  <c r="AE1333" i="3"/>
  <c r="AD1333" i="3"/>
  <c r="AC1333" i="3"/>
  <c r="AB1333" i="3"/>
  <c r="AA1333" i="3"/>
  <c r="Z1333" i="3"/>
  <c r="AG1332" i="3"/>
  <c r="AF1332" i="3"/>
  <c r="AE1332" i="3"/>
  <c r="AD1332" i="3"/>
  <c r="AC1332" i="3"/>
  <c r="AB1332" i="3"/>
  <c r="AA1332" i="3"/>
  <c r="Z1332" i="3"/>
  <c r="AG1331" i="3"/>
  <c r="AF1331" i="3"/>
  <c r="AE1331" i="3"/>
  <c r="AD1331" i="3"/>
  <c r="AC1331" i="3"/>
  <c r="AB1331" i="3"/>
  <c r="AA1331" i="3"/>
  <c r="Z1331" i="3"/>
  <c r="AG1330" i="3"/>
  <c r="AF1330" i="3"/>
  <c r="AE1330" i="3"/>
  <c r="AD1330" i="3"/>
  <c r="AC1330" i="3"/>
  <c r="AB1330" i="3"/>
  <c r="AA1330" i="3"/>
  <c r="Z1330" i="3"/>
  <c r="AG1329" i="3"/>
  <c r="AF1329" i="3"/>
  <c r="AE1329" i="3"/>
  <c r="AD1329" i="3"/>
  <c r="AC1329" i="3"/>
  <c r="AB1329" i="3"/>
  <c r="AA1329" i="3"/>
  <c r="Z1329" i="3"/>
  <c r="AG1328" i="3"/>
  <c r="AF1328" i="3"/>
  <c r="AE1328" i="3"/>
  <c r="AD1328" i="3"/>
  <c r="AC1328" i="3"/>
  <c r="AB1328" i="3"/>
  <c r="AA1328" i="3"/>
  <c r="Z1328" i="3"/>
  <c r="AG1327" i="3"/>
  <c r="AF1327" i="3"/>
  <c r="AE1327" i="3"/>
  <c r="AD1327" i="3"/>
  <c r="AC1327" i="3"/>
  <c r="AB1327" i="3"/>
  <c r="AA1327" i="3"/>
  <c r="Z1327" i="3"/>
  <c r="AG1326" i="3"/>
  <c r="AF1326" i="3"/>
  <c r="AE1326" i="3"/>
  <c r="AD1326" i="3"/>
  <c r="AC1326" i="3"/>
  <c r="AB1326" i="3"/>
  <c r="AA1326" i="3"/>
  <c r="Z1326" i="3"/>
  <c r="AG1325" i="3"/>
  <c r="AF1325" i="3"/>
  <c r="AE1325" i="3"/>
  <c r="AD1325" i="3"/>
  <c r="AC1325" i="3"/>
  <c r="AB1325" i="3"/>
  <c r="AA1325" i="3"/>
  <c r="Z1325" i="3"/>
  <c r="AG1324" i="3"/>
  <c r="AF1324" i="3"/>
  <c r="AE1324" i="3"/>
  <c r="AD1324" i="3"/>
  <c r="AC1324" i="3"/>
  <c r="AB1324" i="3"/>
  <c r="AA1324" i="3"/>
  <c r="Z1324" i="3"/>
  <c r="AG1323" i="3"/>
  <c r="AF1323" i="3"/>
  <c r="AE1323" i="3"/>
  <c r="AD1323" i="3"/>
  <c r="AC1323" i="3"/>
  <c r="AB1323" i="3"/>
  <c r="AA1323" i="3"/>
  <c r="Z1323" i="3"/>
  <c r="AG1322" i="3"/>
  <c r="AF1322" i="3"/>
  <c r="AE1322" i="3"/>
  <c r="AD1322" i="3"/>
  <c r="AC1322" i="3"/>
  <c r="AB1322" i="3"/>
  <c r="AA1322" i="3"/>
  <c r="Z1322" i="3"/>
  <c r="AG1321" i="3"/>
  <c r="AF1321" i="3"/>
  <c r="AE1321" i="3"/>
  <c r="AD1321" i="3"/>
  <c r="AC1321" i="3"/>
  <c r="AB1321" i="3"/>
  <c r="AA1321" i="3"/>
  <c r="Z1321" i="3"/>
  <c r="AG1320" i="3"/>
  <c r="AF1320" i="3"/>
  <c r="AE1320" i="3"/>
  <c r="AD1320" i="3"/>
  <c r="AC1320" i="3"/>
  <c r="AB1320" i="3"/>
  <c r="AA1320" i="3"/>
  <c r="Z1320" i="3"/>
  <c r="AG1319" i="3"/>
  <c r="AF1319" i="3"/>
  <c r="AE1319" i="3"/>
  <c r="AD1319" i="3"/>
  <c r="AC1319" i="3"/>
  <c r="AB1319" i="3"/>
  <c r="AA1319" i="3"/>
  <c r="Z1319" i="3"/>
  <c r="AG1318" i="3"/>
  <c r="AF1318" i="3"/>
  <c r="AE1318" i="3"/>
  <c r="AD1318" i="3"/>
  <c r="AC1318" i="3"/>
  <c r="AB1318" i="3"/>
  <c r="AA1318" i="3"/>
  <c r="Z1318" i="3"/>
  <c r="AG1317" i="3"/>
  <c r="AF1317" i="3"/>
  <c r="AE1317" i="3"/>
  <c r="AD1317" i="3"/>
  <c r="AC1317" i="3"/>
  <c r="AB1317" i="3"/>
  <c r="AA1317" i="3"/>
  <c r="Z1317" i="3"/>
  <c r="AG1316" i="3"/>
  <c r="AF1316" i="3"/>
  <c r="AE1316" i="3"/>
  <c r="AD1316" i="3"/>
  <c r="AC1316" i="3"/>
  <c r="AB1316" i="3"/>
  <c r="AA1316" i="3"/>
  <c r="Z1316" i="3"/>
  <c r="AG1315" i="3"/>
  <c r="AF1315" i="3"/>
  <c r="AE1315" i="3"/>
  <c r="AD1315" i="3"/>
  <c r="AC1315" i="3"/>
  <c r="AB1315" i="3"/>
  <c r="AA1315" i="3"/>
  <c r="Z1315" i="3"/>
  <c r="AG1314" i="3"/>
  <c r="AF1314" i="3"/>
  <c r="AE1314" i="3"/>
  <c r="AD1314" i="3"/>
  <c r="AC1314" i="3"/>
  <c r="AB1314" i="3"/>
  <c r="AA1314" i="3"/>
  <c r="Z1314" i="3"/>
  <c r="AG1313" i="3"/>
  <c r="AF1313" i="3"/>
  <c r="AE1313" i="3"/>
  <c r="AD1313" i="3"/>
  <c r="AC1313" i="3"/>
  <c r="AB1313" i="3"/>
  <c r="AA1313" i="3"/>
  <c r="Z1313" i="3"/>
  <c r="AG1312" i="3"/>
  <c r="AF1312" i="3"/>
  <c r="AE1312" i="3"/>
  <c r="AD1312" i="3"/>
  <c r="AC1312" i="3"/>
  <c r="AB1312" i="3"/>
  <c r="AA1312" i="3"/>
  <c r="Z1312" i="3"/>
  <c r="AG1311" i="3"/>
  <c r="AF1311" i="3"/>
  <c r="AE1311" i="3"/>
  <c r="AD1311" i="3"/>
  <c r="AC1311" i="3"/>
  <c r="AB1311" i="3"/>
  <c r="AA1311" i="3"/>
  <c r="Z1311" i="3"/>
  <c r="AG1310" i="3"/>
  <c r="AF1310" i="3"/>
  <c r="AE1310" i="3"/>
  <c r="AD1310" i="3"/>
  <c r="AC1310" i="3"/>
  <c r="AB1310" i="3"/>
  <c r="AA1310" i="3"/>
  <c r="Z1310" i="3"/>
  <c r="AG1309" i="3"/>
  <c r="AF1309" i="3"/>
  <c r="AE1309" i="3"/>
  <c r="AD1309" i="3"/>
  <c r="AC1309" i="3"/>
  <c r="AB1309" i="3"/>
  <c r="AA1309" i="3"/>
  <c r="Z1309" i="3"/>
  <c r="AG1308" i="3"/>
  <c r="AF1308" i="3"/>
  <c r="AE1308" i="3"/>
  <c r="AD1308" i="3"/>
  <c r="AC1308" i="3"/>
  <c r="AB1308" i="3"/>
  <c r="AA1308" i="3"/>
  <c r="Z1308" i="3"/>
  <c r="AG1307" i="3"/>
  <c r="AF1307" i="3"/>
  <c r="AE1307" i="3"/>
  <c r="AD1307" i="3"/>
  <c r="AC1307" i="3"/>
  <c r="AB1307" i="3"/>
  <c r="AA1307" i="3"/>
  <c r="Z1307" i="3"/>
  <c r="AG1306" i="3"/>
  <c r="AF1306" i="3"/>
  <c r="AE1306" i="3"/>
  <c r="AD1306" i="3"/>
  <c r="AC1306" i="3"/>
  <c r="AB1306" i="3"/>
  <c r="AA1306" i="3"/>
  <c r="Z1306" i="3"/>
  <c r="AG1305" i="3"/>
  <c r="AF1305" i="3"/>
  <c r="AE1305" i="3"/>
  <c r="AD1305" i="3"/>
  <c r="AC1305" i="3"/>
  <c r="AB1305" i="3"/>
  <c r="AA1305" i="3"/>
  <c r="Z1305" i="3"/>
  <c r="AG1304" i="3"/>
  <c r="AF1304" i="3"/>
  <c r="AE1304" i="3"/>
  <c r="AD1304" i="3"/>
  <c r="AC1304" i="3"/>
  <c r="AB1304" i="3"/>
  <c r="AA1304" i="3"/>
  <c r="Z1304" i="3"/>
  <c r="AG1303" i="3"/>
  <c r="AF1303" i="3"/>
  <c r="AE1303" i="3"/>
  <c r="AD1303" i="3"/>
  <c r="AC1303" i="3"/>
  <c r="AB1303" i="3"/>
  <c r="AA1303" i="3"/>
  <c r="Z1303" i="3"/>
  <c r="AG1302" i="3"/>
  <c r="AF1302" i="3"/>
  <c r="AE1302" i="3"/>
  <c r="AD1302" i="3"/>
  <c r="AC1302" i="3"/>
  <c r="AB1302" i="3"/>
  <c r="AA1302" i="3"/>
  <c r="Z1302" i="3"/>
  <c r="AG1301" i="3"/>
  <c r="AF1301" i="3"/>
  <c r="AE1301" i="3"/>
  <c r="AD1301" i="3"/>
  <c r="AC1301" i="3"/>
  <c r="AB1301" i="3"/>
  <c r="AA1301" i="3"/>
  <c r="Z1301" i="3"/>
  <c r="AG1300" i="3"/>
  <c r="AF1300" i="3"/>
  <c r="AE1300" i="3"/>
  <c r="AD1300" i="3"/>
  <c r="AC1300" i="3"/>
  <c r="AB1300" i="3"/>
  <c r="AA1300" i="3"/>
  <c r="Z1300" i="3"/>
  <c r="AG1299" i="3"/>
  <c r="AF1299" i="3"/>
  <c r="AE1299" i="3"/>
  <c r="AD1299" i="3"/>
  <c r="AC1299" i="3"/>
  <c r="AB1299" i="3"/>
  <c r="AA1299" i="3"/>
  <c r="Z1299" i="3"/>
  <c r="AG1298" i="3"/>
  <c r="AF1298" i="3"/>
  <c r="AE1298" i="3"/>
  <c r="AD1298" i="3"/>
  <c r="AC1298" i="3"/>
  <c r="AB1298" i="3"/>
  <c r="AA1298" i="3"/>
  <c r="Z1298" i="3"/>
  <c r="AG1297" i="3"/>
  <c r="AF1297" i="3"/>
  <c r="AE1297" i="3"/>
  <c r="AD1297" i="3"/>
  <c r="AC1297" i="3"/>
  <c r="AB1297" i="3"/>
  <c r="AA1297" i="3"/>
  <c r="Z1297" i="3"/>
  <c r="AG1296" i="3"/>
  <c r="AF1296" i="3"/>
  <c r="AE1296" i="3"/>
  <c r="AD1296" i="3"/>
  <c r="AC1296" i="3"/>
  <c r="AB1296" i="3"/>
  <c r="AA1296" i="3"/>
  <c r="Z1296" i="3"/>
  <c r="AG1295" i="3"/>
  <c r="AF1295" i="3"/>
  <c r="AE1295" i="3"/>
  <c r="AD1295" i="3"/>
  <c r="AC1295" i="3"/>
  <c r="AB1295" i="3"/>
  <c r="AA1295" i="3"/>
  <c r="Z1295" i="3"/>
  <c r="AG1294" i="3"/>
  <c r="AF1294" i="3"/>
  <c r="AE1294" i="3"/>
  <c r="AD1294" i="3"/>
  <c r="AC1294" i="3"/>
  <c r="AB1294" i="3"/>
  <c r="AA1294" i="3"/>
  <c r="Z1294" i="3"/>
  <c r="AG1293" i="3"/>
  <c r="AF1293" i="3"/>
  <c r="AE1293" i="3"/>
  <c r="AD1293" i="3"/>
  <c r="AC1293" i="3"/>
  <c r="AB1293" i="3"/>
  <c r="AA1293" i="3"/>
  <c r="Z1293" i="3"/>
  <c r="AG1292" i="3"/>
  <c r="AF1292" i="3"/>
  <c r="AE1292" i="3"/>
  <c r="AD1292" i="3"/>
  <c r="AC1292" i="3"/>
  <c r="AB1292" i="3"/>
  <c r="AA1292" i="3"/>
  <c r="Z1292" i="3"/>
  <c r="AG1291" i="3"/>
  <c r="AF1291" i="3"/>
  <c r="AE1291" i="3"/>
  <c r="AD1291" i="3"/>
  <c r="AC1291" i="3"/>
  <c r="AB1291" i="3"/>
  <c r="AA1291" i="3"/>
  <c r="Z1291" i="3"/>
  <c r="AG1290" i="3"/>
  <c r="AF1290" i="3"/>
  <c r="AE1290" i="3"/>
  <c r="AD1290" i="3"/>
  <c r="AC1290" i="3"/>
  <c r="AB1290" i="3"/>
  <c r="AA1290" i="3"/>
  <c r="Z1290" i="3"/>
  <c r="AG1289" i="3"/>
  <c r="AF1289" i="3"/>
  <c r="AE1289" i="3"/>
  <c r="AD1289" i="3"/>
  <c r="AC1289" i="3"/>
  <c r="AB1289" i="3"/>
  <c r="AA1289" i="3"/>
  <c r="Z1289" i="3"/>
  <c r="AG1288" i="3"/>
  <c r="AF1288" i="3"/>
  <c r="AE1288" i="3"/>
  <c r="AD1288" i="3"/>
  <c r="AC1288" i="3"/>
  <c r="AB1288" i="3"/>
  <c r="AA1288" i="3"/>
  <c r="Z1288" i="3"/>
  <c r="AG1287" i="3"/>
  <c r="AF1287" i="3"/>
  <c r="AE1287" i="3"/>
  <c r="AD1287" i="3"/>
  <c r="AC1287" i="3"/>
  <c r="AB1287" i="3"/>
  <c r="AA1287" i="3"/>
  <c r="Z1287" i="3"/>
  <c r="AG1286" i="3"/>
  <c r="AF1286" i="3"/>
  <c r="AE1286" i="3"/>
  <c r="AD1286" i="3"/>
  <c r="AC1286" i="3"/>
  <c r="AB1286" i="3"/>
  <c r="AA1286" i="3"/>
  <c r="Z1286" i="3"/>
  <c r="AG1285" i="3"/>
  <c r="AF1285" i="3"/>
  <c r="AE1285" i="3"/>
  <c r="AD1285" i="3"/>
  <c r="AC1285" i="3"/>
  <c r="AB1285" i="3"/>
  <c r="AA1285" i="3"/>
  <c r="Z1285" i="3"/>
  <c r="AG1284" i="3"/>
  <c r="AF1284" i="3"/>
  <c r="AE1284" i="3"/>
  <c r="AD1284" i="3"/>
  <c r="AC1284" i="3"/>
  <c r="AB1284" i="3"/>
  <c r="AA1284" i="3"/>
  <c r="Z1284" i="3"/>
  <c r="AG1283" i="3"/>
  <c r="AF1283" i="3"/>
  <c r="AE1283" i="3"/>
  <c r="AD1283" i="3"/>
  <c r="AC1283" i="3"/>
  <c r="AB1283" i="3"/>
  <c r="AA1283" i="3"/>
  <c r="Z1283" i="3"/>
  <c r="AG1282" i="3"/>
  <c r="AF1282" i="3"/>
  <c r="AE1282" i="3"/>
  <c r="AD1282" i="3"/>
  <c r="AC1282" i="3"/>
  <c r="AB1282" i="3"/>
  <c r="AA1282" i="3"/>
  <c r="Z1282" i="3"/>
  <c r="AG1281" i="3"/>
  <c r="AF1281" i="3"/>
  <c r="AE1281" i="3"/>
  <c r="AD1281" i="3"/>
  <c r="AC1281" i="3"/>
  <c r="AB1281" i="3"/>
  <c r="AA1281" i="3"/>
  <c r="Z1281" i="3"/>
  <c r="AG1280" i="3"/>
  <c r="AF1280" i="3"/>
  <c r="AE1280" i="3"/>
  <c r="AD1280" i="3"/>
  <c r="AC1280" i="3"/>
  <c r="AB1280" i="3"/>
  <c r="AA1280" i="3"/>
  <c r="Z1280" i="3"/>
  <c r="AG1279" i="3"/>
  <c r="AF1279" i="3"/>
  <c r="AE1279" i="3"/>
  <c r="AD1279" i="3"/>
  <c r="AC1279" i="3"/>
  <c r="AB1279" i="3"/>
  <c r="AA1279" i="3"/>
  <c r="Z1279" i="3"/>
  <c r="AG1278" i="3"/>
  <c r="AF1278" i="3"/>
  <c r="AE1278" i="3"/>
  <c r="AD1278" i="3"/>
  <c r="AC1278" i="3"/>
  <c r="AB1278" i="3"/>
  <c r="AA1278" i="3"/>
  <c r="Z1278" i="3"/>
  <c r="AG1277" i="3"/>
  <c r="AF1277" i="3"/>
  <c r="AE1277" i="3"/>
  <c r="AD1277" i="3"/>
  <c r="AC1277" i="3"/>
  <c r="AB1277" i="3"/>
  <c r="AA1277" i="3"/>
  <c r="Z1277" i="3"/>
  <c r="AG1276" i="3"/>
  <c r="AF1276" i="3"/>
  <c r="AE1276" i="3"/>
  <c r="AD1276" i="3"/>
  <c r="AC1276" i="3"/>
  <c r="AB1276" i="3"/>
  <c r="AA1276" i="3"/>
  <c r="Z1276" i="3"/>
  <c r="AG1275" i="3"/>
  <c r="AF1275" i="3"/>
  <c r="AE1275" i="3"/>
  <c r="AD1275" i="3"/>
  <c r="AC1275" i="3"/>
  <c r="AB1275" i="3"/>
  <c r="AA1275" i="3"/>
  <c r="Z1275" i="3"/>
  <c r="AG1274" i="3"/>
  <c r="AF1274" i="3"/>
  <c r="AE1274" i="3"/>
  <c r="AD1274" i="3"/>
  <c r="AC1274" i="3"/>
  <c r="AB1274" i="3"/>
  <c r="AA1274" i="3"/>
  <c r="Z1274" i="3"/>
  <c r="AG1273" i="3"/>
  <c r="AF1273" i="3"/>
  <c r="AE1273" i="3"/>
  <c r="AD1273" i="3"/>
  <c r="AC1273" i="3"/>
  <c r="AB1273" i="3"/>
  <c r="AA1273" i="3"/>
  <c r="Z1273" i="3"/>
  <c r="AG1272" i="3"/>
  <c r="AF1272" i="3"/>
  <c r="AE1272" i="3"/>
  <c r="AD1272" i="3"/>
  <c r="AC1272" i="3"/>
  <c r="AB1272" i="3"/>
  <c r="AA1272" i="3"/>
  <c r="Z1272" i="3"/>
  <c r="AG1271" i="3"/>
  <c r="AF1271" i="3"/>
  <c r="AE1271" i="3"/>
  <c r="AD1271" i="3"/>
  <c r="AC1271" i="3"/>
  <c r="AB1271" i="3"/>
  <c r="AA1271" i="3"/>
  <c r="Z1271" i="3"/>
  <c r="AG1270" i="3"/>
  <c r="AF1270" i="3"/>
  <c r="AE1270" i="3"/>
  <c r="AD1270" i="3"/>
  <c r="AC1270" i="3"/>
  <c r="AB1270" i="3"/>
  <c r="AA1270" i="3"/>
  <c r="Z1270" i="3"/>
  <c r="AG1269" i="3"/>
  <c r="AF1269" i="3"/>
  <c r="AE1269" i="3"/>
  <c r="AD1269" i="3"/>
  <c r="AC1269" i="3"/>
  <c r="AB1269" i="3"/>
  <c r="AA1269" i="3"/>
  <c r="Z1269" i="3"/>
  <c r="AG1268" i="3"/>
  <c r="AF1268" i="3"/>
  <c r="AE1268" i="3"/>
  <c r="AD1268" i="3"/>
  <c r="AC1268" i="3"/>
  <c r="AB1268" i="3"/>
  <c r="AA1268" i="3"/>
  <c r="Z1268" i="3"/>
  <c r="AG1267" i="3"/>
  <c r="AF1267" i="3"/>
  <c r="AE1267" i="3"/>
  <c r="AD1267" i="3"/>
  <c r="AC1267" i="3"/>
  <c r="AB1267" i="3"/>
  <c r="AA1267" i="3"/>
  <c r="Z1267" i="3"/>
  <c r="AG1266" i="3"/>
  <c r="AF1266" i="3"/>
  <c r="AE1266" i="3"/>
  <c r="AD1266" i="3"/>
  <c r="AC1266" i="3"/>
  <c r="AB1266" i="3"/>
  <c r="AA1266" i="3"/>
  <c r="Z1266" i="3"/>
  <c r="AG1265" i="3"/>
  <c r="AF1265" i="3"/>
  <c r="AE1265" i="3"/>
  <c r="AD1265" i="3"/>
  <c r="AC1265" i="3"/>
  <c r="AB1265" i="3"/>
  <c r="AA1265" i="3"/>
  <c r="Z1265" i="3"/>
  <c r="AG1264" i="3"/>
  <c r="AF1264" i="3"/>
  <c r="AE1264" i="3"/>
  <c r="AD1264" i="3"/>
  <c r="AC1264" i="3"/>
  <c r="AB1264" i="3"/>
  <c r="AA1264" i="3"/>
  <c r="Z1264" i="3"/>
  <c r="AG1263" i="3"/>
  <c r="AF1263" i="3"/>
  <c r="AE1263" i="3"/>
  <c r="AD1263" i="3"/>
  <c r="AC1263" i="3"/>
  <c r="AB1263" i="3"/>
  <c r="AA1263" i="3"/>
  <c r="Z1263" i="3"/>
  <c r="AG1262" i="3"/>
  <c r="AF1262" i="3"/>
  <c r="AE1262" i="3"/>
  <c r="AD1262" i="3"/>
  <c r="AC1262" i="3"/>
  <c r="AB1262" i="3"/>
  <c r="AA1262" i="3"/>
  <c r="Z1262" i="3"/>
  <c r="AG1261" i="3"/>
  <c r="AF1261" i="3"/>
  <c r="AE1261" i="3"/>
  <c r="AD1261" i="3"/>
  <c r="AC1261" i="3"/>
  <c r="AB1261" i="3"/>
  <c r="AA1261" i="3"/>
  <c r="Z1261" i="3"/>
  <c r="AG1260" i="3"/>
  <c r="AF1260" i="3"/>
  <c r="AE1260" i="3"/>
  <c r="AD1260" i="3"/>
  <c r="AC1260" i="3"/>
  <c r="AB1260" i="3"/>
  <c r="AA1260" i="3"/>
  <c r="Z1260" i="3"/>
  <c r="AG1259" i="3"/>
  <c r="AF1259" i="3"/>
  <c r="AE1259" i="3"/>
  <c r="AD1259" i="3"/>
  <c r="AC1259" i="3"/>
  <c r="AB1259" i="3"/>
  <c r="AA1259" i="3"/>
  <c r="Z1259" i="3"/>
  <c r="AG1258" i="3"/>
  <c r="AF1258" i="3"/>
  <c r="AE1258" i="3"/>
  <c r="AD1258" i="3"/>
  <c r="AC1258" i="3"/>
  <c r="AB1258" i="3"/>
  <c r="AA1258" i="3"/>
  <c r="Z1258" i="3"/>
  <c r="AG1257" i="3"/>
  <c r="AF1257" i="3"/>
  <c r="AE1257" i="3"/>
  <c r="AD1257" i="3"/>
  <c r="AC1257" i="3"/>
  <c r="AB1257" i="3"/>
  <c r="AA1257" i="3"/>
  <c r="Z1257" i="3"/>
  <c r="AG1256" i="3"/>
  <c r="AF1256" i="3"/>
  <c r="AE1256" i="3"/>
  <c r="AD1256" i="3"/>
  <c r="AC1256" i="3"/>
  <c r="AB1256" i="3"/>
  <c r="AA1256" i="3"/>
  <c r="Z1256" i="3"/>
  <c r="AG1255" i="3"/>
  <c r="AF1255" i="3"/>
  <c r="AE1255" i="3"/>
  <c r="AD1255" i="3"/>
  <c r="AC1255" i="3"/>
  <c r="AB1255" i="3"/>
  <c r="AA1255" i="3"/>
  <c r="Z1255" i="3"/>
  <c r="AG1254" i="3"/>
  <c r="AF1254" i="3"/>
  <c r="AE1254" i="3"/>
  <c r="AD1254" i="3"/>
  <c r="AC1254" i="3"/>
  <c r="AB1254" i="3"/>
  <c r="AA1254" i="3"/>
  <c r="Z1254" i="3"/>
  <c r="AG1253" i="3"/>
  <c r="AF1253" i="3"/>
  <c r="AE1253" i="3"/>
  <c r="AD1253" i="3"/>
  <c r="AC1253" i="3"/>
  <c r="AB1253" i="3"/>
  <c r="AA1253" i="3"/>
  <c r="Z1253" i="3"/>
  <c r="AG1252" i="3"/>
  <c r="AF1252" i="3"/>
  <c r="AE1252" i="3"/>
  <c r="AD1252" i="3"/>
  <c r="AC1252" i="3"/>
  <c r="AB1252" i="3"/>
  <c r="AA1252" i="3"/>
  <c r="Z1252" i="3"/>
  <c r="AG1251" i="3"/>
  <c r="AF1251" i="3"/>
  <c r="AE1251" i="3"/>
  <c r="AD1251" i="3"/>
  <c r="AC1251" i="3"/>
  <c r="AB1251" i="3"/>
  <c r="AA1251" i="3"/>
  <c r="Z1251" i="3"/>
  <c r="AG1250" i="3"/>
  <c r="AF1250" i="3"/>
  <c r="AE1250" i="3"/>
  <c r="AD1250" i="3"/>
  <c r="AC1250" i="3"/>
  <c r="AB1250" i="3"/>
  <c r="AA1250" i="3"/>
  <c r="Z1250" i="3"/>
  <c r="AG1249" i="3"/>
  <c r="AF1249" i="3"/>
  <c r="AE1249" i="3"/>
  <c r="AD1249" i="3"/>
  <c r="AC1249" i="3"/>
  <c r="AB1249" i="3"/>
  <c r="AA1249" i="3"/>
  <c r="Z1249" i="3"/>
  <c r="AG1248" i="3"/>
  <c r="AF1248" i="3"/>
  <c r="AE1248" i="3"/>
  <c r="AD1248" i="3"/>
  <c r="AC1248" i="3"/>
  <c r="AB1248" i="3"/>
  <c r="AA1248" i="3"/>
  <c r="Z1248" i="3"/>
  <c r="AG1247" i="3"/>
  <c r="AF1247" i="3"/>
  <c r="AE1247" i="3"/>
  <c r="AD1247" i="3"/>
  <c r="AC1247" i="3"/>
  <c r="AB1247" i="3"/>
  <c r="AA1247" i="3"/>
  <c r="Z1247" i="3"/>
  <c r="AG1246" i="3"/>
  <c r="AF1246" i="3"/>
  <c r="AE1246" i="3"/>
  <c r="AD1246" i="3"/>
  <c r="AC1246" i="3"/>
  <c r="AB1246" i="3"/>
  <c r="AA1246" i="3"/>
  <c r="Z1246" i="3"/>
  <c r="AG1245" i="3"/>
  <c r="AF1245" i="3"/>
  <c r="AE1245" i="3"/>
  <c r="AD1245" i="3"/>
  <c r="AC1245" i="3"/>
  <c r="AB1245" i="3"/>
  <c r="AA1245" i="3"/>
  <c r="Z1245" i="3"/>
  <c r="AG1244" i="3"/>
  <c r="AF1244" i="3"/>
  <c r="AE1244" i="3"/>
  <c r="AD1244" i="3"/>
  <c r="AC1244" i="3"/>
  <c r="AB1244" i="3"/>
  <c r="AA1244" i="3"/>
  <c r="Z1244" i="3"/>
  <c r="AG1243" i="3"/>
  <c r="AF1243" i="3"/>
  <c r="AE1243" i="3"/>
  <c r="AD1243" i="3"/>
  <c r="AC1243" i="3"/>
  <c r="AB1243" i="3"/>
  <c r="AA1243" i="3"/>
  <c r="Z1243" i="3"/>
  <c r="AG1242" i="3"/>
  <c r="AF1242" i="3"/>
  <c r="AE1242" i="3"/>
  <c r="AD1242" i="3"/>
  <c r="AC1242" i="3"/>
  <c r="AB1242" i="3"/>
  <c r="AA1242" i="3"/>
  <c r="Z1242" i="3"/>
  <c r="AG1241" i="3"/>
  <c r="AF1241" i="3"/>
  <c r="AE1241" i="3"/>
  <c r="AD1241" i="3"/>
  <c r="AC1241" i="3"/>
  <c r="AB1241" i="3"/>
  <c r="AA1241" i="3"/>
  <c r="Z1241" i="3"/>
  <c r="AG1240" i="3"/>
  <c r="AF1240" i="3"/>
  <c r="AE1240" i="3"/>
  <c r="AD1240" i="3"/>
  <c r="AC1240" i="3"/>
  <c r="AB1240" i="3"/>
  <c r="AA1240" i="3"/>
  <c r="Z1240" i="3"/>
  <c r="AG1239" i="3"/>
  <c r="AF1239" i="3"/>
  <c r="AE1239" i="3"/>
  <c r="AD1239" i="3"/>
  <c r="AC1239" i="3"/>
  <c r="AB1239" i="3"/>
  <c r="AA1239" i="3"/>
  <c r="Z1239" i="3"/>
  <c r="AG1238" i="3"/>
  <c r="AF1238" i="3"/>
  <c r="AE1238" i="3"/>
  <c r="AD1238" i="3"/>
  <c r="AC1238" i="3"/>
  <c r="AB1238" i="3"/>
  <c r="AA1238" i="3"/>
  <c r="Z1238" i="3"/>
  <c r="AG1237" i="3"/>
  <c r="AF1237" i="3"/>
  <c r="AE1237" i="3"/>
  <c r="AD1237" i="3"/>
  <c r="AC1237" i="3"/>
  <c r="AB1237" i="3"/>
  <c r="AA1237" i="3"/>
  <c r="Z1237" i="3"/>
  <c r="AG1236" i="3"/>
  <c r="AF1236" i="3"/>
  <c r="AE1236" i="3"/>
  <c r="AD1236" i="3"/>
  <c r="AC1236" i="3"/>
  <c r="AB1236" i="3"/>
  <c r="AA1236" i="3"/>
  <c r="Z1236" i="3"/>
  <c r="AG1235" i="3"/>
  <c r="AF1235" i="3"/>
  <c r="AE1235" i="3"/>
  <c r="AD1235" i="3"/>
  <c r="AC1235" i="3"/>
  <c r="AB1235" i="3"/>
  <c r="AA1235" i="3"/>
  <c r="Z1235" i="3"/>
  <c r="AG1234" i="3"/>
  <c r="AF1234" i="3"/>
  <c r="AE1234" i="3"/>
  <c r="AD1234" i="3"/>
  <c r="AC1234" i="3"/>
  <c r="AB1234" i="3"/>
  <c r="AA1234" i="3"/>
  <c r="Z1234" i="3"/>
  <c r="AG1233" i="3"/>
  <c r="AF1233" i="3"/>
  <c r="AE1233" i="3"/>
  <c r="AD1233" i="3"/>
  <c r="AC1233" i="3"/>
  <c r="AB1233" i="3"/>
  <c r="AA1233" i="3"/>
  <c r="Z1233" i="3"/>
  <c r="AG1232" i="3"/>
  <c r="AF1232" i="3"/>
  <c r="AE1232" i="3"/>
  <c r="AD1232" i="3"/>
  <c r="AC1232" i="3"/>
  <c r="AB1232" i="3"/>
  <c r="AA1232" i="3"/>
  <c r="Z1232" i="3"/>
  <c r="AG1231" i="3"/>
  <c r="AF1231" i="3"/>
  <c r="AE1231" i="3"/>
  <c r="AD1231" i="3"/>
  <c r="AC1231" i="3"/>
  <c r="AB1231" i="3"/>
  <c r="AA1231" i="3"/>
  <c r="Z1231" i="3"/>
  <c r="AG1230" i="3"/>
  <c r="AF1230" i="3"/>
  <c r="AE1230" i="3"/>
  <c r="AD1230" i="3"/>
  <c r="AC1230" i="3"/>
  <c r="AB1230" i="3"/>
  <c r="AA1230" i="3"/>
  <c r="Z1230" i="3"/>
  <c r="AG1229" i="3"/>
  <c r="AF1229" i="3"/>
  <c r="AE1229" i="3"/>
  <c r="AD1229" i="3"/>
  <c r="AC1229" i="3"/>
  <c r="AB1229" i="3"/>
  <c r="AA1229" i="3"/>
  <c r="Z1229" i="3"/>
  <c r="AG1228" i="3"/>
  <c r="AF1228" i="3"/>
  <c r="AE1228" i="3"/>
  <c r="AD1228" i="3"/>
  <c r="AC1228" i="3"/>
  <c r="AB1228" i="3"/>
  <c r="AA1228" i="3"/>
  <c r="Z1228" i="3"/>
  <c r="AG1227" i="3"/>
  <c r="AF1227" i="3"/>
  <c r="AE1227" i="3"/>
  <c r="AD1227" i="3"/>
  <c r="AC1227" i="3"/>
  <c r="AB1227" i="3"/>
  <c r="AA1227" i="3"/>
  <c r="Z1227" i="3"/>
  <c r="AG1226" i="3"/>
  <c r="AF1226" i="3"/>
  <c r="AE1226" i="3"/>
  <c r="AD1226" i="3"/>
  <c r="AC1226" i="3"/>
  <c r="AB1226" i="3"/>
  <c r="AA1226" i="3"/>
  <c r="Z1226" i="3"/>
  <c r="AG1225" i="3"/>
  <c r="AF1225" i="3"/>
  <c r="AE1225" i="3"/>
  <c r="AD1225" i="3"/>
  <c r="AC1225" i="3"/>
  <c r="AB1225" i="3"/>
  <c r="AA1225" i="3"/>
  <c r="Z1225" i="3"/>
  <c r="AG1224" i="3"/>
  <c r="AF1224" i="3"/>
  <c r="AE1224" i="3"/>
  <c r="AD1224" i="3"/>
  <c r="AC1224" i="3"/>
  <c r="AB1224" i="3"/>
  <c r="AA1224" i="3"/>
  <c r="Z1224" i="3"/>
  <c r="AG1223" i="3"/>
  <c r="AF1223" i="3"/>
  <c r="AE1223" i="3"/>
  <c r="AD1223" i="3"/>
  <c r="AC1223" i="3"/>
  <c r="AB1223" i="3"/>
  <c r="AA1223" i="3"/>
  <c r="Z1223" i="3"/>
  <c r="AG1222" i="3"/>
  <c r="AF1222" i="3"/>
  <c r="AE1222" i="3"/>
  <c r="AD1222" i="3"/>
  <c r="AC1222" i="3"/>
  <c r="AB1222" i="3"/>
  <c r="AA1222" i="3"/>
  <c r="Z1222" i="3"/>
  <c r="AG1221" i="3"/>
  <c r="AF1221" i="3"/>
  <c r="AE1221" i="3"/>
  <c r="AD1221" i="3"/>
  <c r="AC1221" i="3"/>
  <c r="AB1221" i="3"/>
  <c r="AA1221" i="3"/>
  <c r="Z1221" i="3"/>
  <c r="AG1220" i="3"/>
  <c r="AF1220" i="3"/>
  <c r="AE1220" i="3"/>
  <c r="AD1220" i="3"/>
  <c r="AC1220" i="3"/>
  <c r="AB1220" i="3"/>
  <c r="AA1220" i="3"/>
  <c r="Z1220" i="3"/>
  <c r="AG1219" i="3"/>
  <c r="AF1219" i="3"/>
  <c r="AE1219" i="3"/>
  <c r="AD1219" i="3"/>
  <c r="AC1219" i="3"/>
  <c r="AB1219" i="3"/>
  <c r="AA1219" i="3"/>
  <c r="Z1219" i="3"/>
  <c r="AG1218" i="3"/>
  <c r="AF1218" i="3"/>
  <c r="AE1218" i="3"/>
  <c r="AD1218" i="3"/>
  <c r="AC1218" i="3"/>
  <c r="AB1218" i="3"/>
  <c r="AA1218" i="3"/>
  <c r="Z1218" i="3"/>
  <c r="AG1217" i="3"/>
  <c r="AF1217" i="3"/>
  <c r="AE1217" i="3"/>
  <c r="AD1217" i="3"/>
  <c r="AC1217" i="3"/>
  <c r="AB1217" i="3"/>
  <c r="AA1217" i="3"/>
  <c r="Z1217" i="3"/>
  <c r="AG1216" i="3"/>
  <c r="AF1216" i="3"/>
  <c r="AE1216" i="3"/>
  <c r="AD1216" i="3"/>
  <c r="AC1216" i="3"/>
  <c r="AB1216" i="3"/>
  <c r="AA1216" i="3"/>
  <c r="Z1216" i="3"/>
  <c r="AG1215" i="3"/>
  <c r="AF1215" i="3"/>
  <c r="AE1215" i="3"/>
  <c r="AD1215" i="3"/>
  <c r="AC1215" i="3"/>
  <c r="AB1215" i="3"/>
  <c r="AA1215" i="3"/>
  <c r="Z1215" i="3"/>
  <c r="AG1214" i="3"/>
  <c r="AF1214" i="3"/>
  <c r="AE1214" i="3"/>
  <c r="AD1214" i="3"/>
  <c r="AC1214" i="3"/>
  <c r="AB1214" i="3"/>
  <c r="AA1214" i="3"/>
  <c r="Z1214" i="3"/>
  <c r="AG1213" i="3"/>
  <c r="AF1213" i="3"/>
  <c r="AE1213" i="3"/>
  <c r="AD1213" i="3"/>
  <c r="AC1213" i="3"/>
  <c r="AB1213" i="3"/>
  <c r="AA1213" i="3"/>
  <c r="Z1213" i="3"/>
  <c r="AG1212" i="3"/>
  <c r="AF1212" i="3"/>
  <c r="AE1212" i="3"/>
  <c r="AD1212" i="3"/>
  <c r="AC1212" i="3"/>
  <c r="AB1212" i="3"/>
  <c r="AA1212" i="3"/>
  <c r="Z1212" i="3"/>
  <c r="AG1211" i="3"/>
  <c r="AF1211" i="3"/>
  <c r="AE1211" i="3"/>
  <c r="AD1211" i="3"/>
  <c r="AC1211" i="3"/>
  <c r="AB1211" i="3"/>
  <c r="AA1211" i="3"/>
  <c r="Z1211" i="3"/>
  <c r="AG1210" i="3"/>
  <c r="AF1210" i="3"/>
  <c r="AE1210" i="3"/>
  <c r="AD1210" i="3"/>
  <c r="AC1210" i="3"/>
  <c r="AB1210" i="3"/>
  <c r="AA1210" i="3"/>
  <c r="Z1210" i="3"/>
  <c r="AG1209" i="3"/>
  <c r="AF1209" i="3"/>
  <c r="AE1209" i="3"/>
  <c r="AD1209" i="3"/>
  <c r="AC1209" i="3"/>
  <c r="AB1209" i="3"/>
  <c r="AA1209" i="3"/>
  <c r="Z1209" i="3"/>
  <c r="AG1208" i="3"/>
  <c r="AF1208" i="3"/>
  <c r="AE1208" i="3"/>
  <c r="AD1208" i="3"/>
  <c r="AC1208" i="3"/>
  <c r="AB1208" i="3"/>
  <c r="AA1208" i="3"/>
  <c r="Z1208" i="3"/>
  <c r="AG1207" i="3"/>
  <c r="AF1207" i="3"/>
  <c r="AE1207" i="3"/>
  <c r="AD1207" i="3"/>
  <c r="AC1207" i="3"/>
  <c r="AB1207" i="3"/>
  <c r="AA1207" i="3"/>
  <c r="Z1207" i="3"/>
  <c r="AG1206" i="3"/>
  <c r="AF1206" i="3"/>
  <c r="AE1206" i="3"/>
  <c r="AD1206" i="3"/>
  <c r="AC1206" i="3"/>
  <c r="AB1206" i="3"/>
  <c r="AA1206" i="3"/>
  <c r="Z1206" i="3"/>
  <c r="AG1205" i="3"/>
  <c r="AF1205" i="3"/>
  <c r="AE1205" i="3"/>
  <c r="AD1205" i="3"/>
  <c r="AC1205" i="3"/>
  <c r="AB1205" i="3"/>
  <c r="AA1205" i="3"/>
  <c r="Z1205" i="3"/>
  <c r="AG1204" i="3"/>
  <c r="AF1204" i="3"/>
  <c r="AE1204" i="3"/>
  <c r="AD1204" i="3"/>
  <c r="AC1204" i="3"/>
  <c r="AB1204" i="3"/>
  <c r="AA1204" i="3"/>
  <c r="Z1204" i="3"/>
  <c r="AG1203" i="3"/>
  <c r="AF1203" i="3"/>
  <c r="AE1203" i="3"/>
  <c r="AD1203" i="3"/>
  <c r="AC1203" i="3"/>
  <c r="AB1203" i="3"/>
  <c r="AA1203" i="3"/>
  <c r="Z1203" i="3"/>
  <c r="AG1202" i="3"/>
  <c r="AF1202" i="3"/>
  <c r="AE1202" i="3"/>
  <c r="AD1202" i="3"/>
  <c r="AC1202" i="3"/>
  <c r="AB1202" i="3"/>
  <c r="AA1202" i="3"/>
  <c r="Z1202" i="3"/>
  <c r="AG1201" i="3"/>
  <c r="AF1201" i="3"/>
  <c r="AE1201" i="3"/>
  <c r="AD1201" i="3"/>
  <c r="AC1201" i="3"/>
  <c r="AB1201" i="3"/>
  <c r="AA1201" i="3"/>
  <c r="Z1201" i="3"/>
  <c r="AG1200" i="3"/>
  <c r="AF1200" i="3"/>
  <c r="AE1200" i="3"/>
  <c r="AD1200" i="3"/>
  <c r="AC1200" i="3"/>
  <c r="AB1200" i="3"/>
  <c r="AA1200" i="3"/>
  <c r="Z1200" i="3"/>
  <c r="AG1199" i="3"/>
  <c r="AF1199" i="3"/>
  <c r="AE1199" i="3"/>
  <c r="AD1199" i="3"/>
  <c r="AC1199" i="3"/>
  <c r="AB1199" i="3"/>
  <c r="AA1199" i="3"/>
  <c r="Z1199" i="3"/>
  <c r="AG1198" i="3"/>
  <c r="AF1198" i="3"/>
  <c r="AE1198" i="3"/>
  <c r="AD1198" i="3"/>
  <c r="AC1198" i="3"/>
  <c r="AB1198" i="3"/>
  <c r="AA1198" i="3"/>
  <c r="Z1198" i="3"/>
  <c r="AG1197" i="3"/>
  <c r="AF1197" i="3"/>
  <c r="AE1197" i="3"/>
  <c r="AD1197" i="3"/>
  <c r="AC1197" i="3"/>
  <c r="AB1197" i="3"/>
  <c r="AA1197" i="3"/>
  <c r="Z1197" i="3"/>
  <c r="AG1196" i="3"/>
  <c r="AF1196" i="3"/>
  <c r="AE1196" i="3"/>
  <c r="AD1196" i="3"/>
  <c r="AC1196" i="3"/>
  <c r="AB1196" i="3"/>
  <c r="AA1196" i="3"/>
  <c r="Z1196" i="3"/>
  <c r="AG1195" i="3"/>
  <c r="AF1195" i="3"/>
  <c r="AE1195" i="3"/>
  <c r="AD1195" i="3"/>
  <c r="AC1195" i="3"/>
  <c r="AB1195" i="3"/>
  <c r="AA1195" i="3"/>
  <c r="Z1195" i="3"/>
  <c r="AG1194" i="3"/>
  <c r="AF1194" i="3"/>
  <c r="AE1194" i="3"/>
  <c r="AD1194" i="3"/>
  <c r="AC1194" i="3"/>
  <c r="AB1194" i="3"/>
  <c r="AA1194" i="3"/>
  <c r="Z1194" i="3"/>
  <c r="AG1193" i="3"/>
  <c r="AF1193" i="3"/>
  <c r="AE1193" i="3"/>
  <c r="AD1193" i="3"/>
  <c r="AC1193" i="3"/>
  <c r="AB1193" i="3"/>
  <c r="AA1193" i="3"/>
  <c r="Z1193" i="3"/>
  <c r="AG1192" i="3"/>
  <c r="AF1192" i="3"/>
  <c r="AE1192" i="3"/>
  <c r="AD1192" i="3"/>
  <c r="AC1192" i="3"/>
  <c r="AB1192" i="3"/>
  <c r="AA1192" i="3"/>
  <c r="Z1192" i="3"/>
  <c r="AG1191" i="3"/>
  <c r="AF1191" i="3"/>
  <c r="AE1191" i="3"/>
  <c r="AD1191" i="3"/>
  <c r="AC1191" i="3"/>
  <c r="AB1191" i="3"/>
  <c r="AA1191" i="3"/>
  <c r="Z1191" i="3"/>
  <c r="AG1190" i="3"/>
  <c r="AF1190" i="3"/>
  <c r="AE1190" i="3"/>
  <c r="AD1190" i="3"/>
  <c r="AC1190" i="3"/>
  <c r="AB1190" i="3"/>
  <c r="AA1190" i="3"/>
  <c r="Z1190" i="3"/>
  <c r="AG1189" i="3"/>
  <c r="AF1189" i="3"/>
  <c r="AE1189" i="3"/>
  <c r="AD1189" i="3"/>
  <c r="AC1189" i="3"/>
  <c r="AB1189" i="3"/>
  <c r="AA1189" i="3"/>
  <c r="Z1189" i="3"/>
  <c r="AG1188" i="3"/>
  <c r="AF1188" i="3"/>
  <c r="AE1188" i="3"/>
  <c r="AD1188" i="3"/>
  <c r="AC1188" i="3"/>
  <c r="AB1188" i="3"/>
  <c r="AA1188" i="3"/>
  <c r="Z1188" i="3"/>
  <c r="AG1187" i="3"/>
  <c r="AF1187" i="3"/>
  <c r="AE1187" i="3"/>
  <c r="AD1187" i="3"/>
  <c r="AC1187" i="3"/>
  <c r="AB1187" i="3"/>
  <c r="AA1187" i="3"/>
  <c r="Z1187" i="3"/>
  <c r="AG1186" i="3"/>
  <c r="AF1186" i="3"/>
  <c r="AE1186" i="3"/>
  <c r="AD1186" i="3"/>
  <c r="AC1186" i="3"/>
  <c r="AB1186" i="3"/>
  <c r="AA1186" i="3"/>
  <c r="Z1186" i="3"/>
  <c r="AG1185" i="3"/>
  <c r="AF1185" i="3"/>
  <c r="AE1185" i="3"/>
  <c r="AD1185" i="3"/>
  <c r="AC1185" i="3"/>
  <c r="AB1185" i="3"/>
  <c r="AA1185" i="3"/>
  <c r="Z1185" i="3"/>
  <c r="AG1184" i="3"/>
  <c r="AF1184" i="3"/>
  <c r="AE1184" i="3"/>
  <c r="AD1184" i="3"/>
  <c r="AC1184" i="3"/>
  <c r="AB1184" i="3"/>
  <c r="AA1184" i="3"/>
  <c r="Z1184" i="3"/>
  <c r="AG1183" i="3"/>
  <c r="AF1183" i="3"/>
  <c r="AE1183" i="3"/>
  <c r="AD1183" i="3"/>
  <c r="AC1183" i="3"/>
  <c r="AB1183" i="3"/>
  <c r="AA1183" i="3"/>
  <c r="Z1183" i="3"/>
  <c r="AG1182" i="3"/>
  <c r="AF1182" i="3"/>
  <c r="AE1182" i="3"/>
  <c r="AD1182" i="3"/>
  <c r="AC1182" i="3"/>
  <c r="AB1182" i="3"/>
  <c r="AA1182" i="3"/>
  <c r="Z1182" i="3"/>
  <c r="AG1181" i="3"/>
  <c r="AF1181" i="3"/>
  <c r="AE1181" i="3"/>
  <c r="AD1181" i="3"/>
  <c r="AC1181" i="3"/>
  <c r="AB1181" i="3"/>
  <c r="AA1181" i="3"/>
  <c r="Z1181" i="3"/>
  <c r="AG1180" i="3"/>
  <c r="AF1180" i="3"/>
  <c r="AE1180" i="3"/>
  <c r="AD1180" i="3"/>
  <c r="AC1180" i="3"/>
  <c r="AB1180" i="3"/>
  <c r="AA1180" i="3"/>
  <c r="Z1180" i="3"/>
  <c r="AG1179" i="3"/>
  <c r="AF1179" i="3"/>
  <c r="AE1179" i="3"/>
  <c r="AD1179" i="3"/>
  <c r="AC1179" i="3"/>
  <c r="AB1179" i="3"/>
  <c r="AA1179" i="3"/>
  <c r="Z1179" i="3"/>
  <c r="AG1178" i="3"/>
  <c r="AF1178" i="3"/>
  <c r="AE1178" i="3"/>
  <c r="AD1178" i="3"/>
  <c r="AC1178" i="3"/>
  <c r="AB1178" i="3"/>
  <c r="AA1178" i="3"/>
  <c r="Z1178" i="3"/>
  <c r="AG1177" i="3"/>
  <c r="AF1177" i="3"/>
  <c r="AE1177" i="3"/>
  <c r="AD1177" i="3"/>
  <c r="AC1177" i="3"/>
  <c r="AB1177" i="3"/>
  <c r="AA1177" i="3"/>
  <c r="Z1177" i="3"/>
  <c r="AG1176" i="3"/>
  <c r="AF1176" i="3"/>
  <c r="AE1176" i="3"/>
  <c r="AD1176" i="3"/>
  <c r="AC1176" i="3"/>
  <c r="AB1176" i="3"/>
  <c r="AA1176" i="3"/>
  <c r="Z1176" i="3"/>
  <c r="AG1175" i="3"/>
  <c r="AF1175" i="3"/>
  <c r="AE1175" i="3"/>
  <c r="AD1175" i="3"/>
  <c r="AC1175" i="3"/>
  <c r="AB1175" i="3"/>
  <c r="AA1175" i="3"/>
  <c r="Z1175" i="3"/>
  <c r="AG1174" i="3"/>
  <c r="AF1174" i="3"/>
  <c r="AE1174" i="3"/>
  <c r="AD1174" i="3"/>
  <c r="AC1174" i="3"/>
  <c r="AB1174" i="3"/>
  <c r="AA1174" i="3"/>
  <c r="Z1174" i="3"/>
  <c r="AG1173" i="3"/>
  <c r="AF1173" i="3"/>
  <c r="AE1173" i="3"/>
  <c r="AD1173" i="3"/>
  <c r="AC1173" i="3"/>
  <c r="AB1173" i="3"/>
  <c r="AA1173" i="3"/>
  <c r="Z1173" i="3"/>
  <c r="AG1172" i="3"/>
  <c r="AF1172" i="3"/>
  <c r="AE1172" i="3"/>
  <c r="AD1172" i="3"/>
  <c r="AC1172" i="3"/>
  <c r="AB1172" i="3"/>
  <c r="AA1172" i="3"/>
  <c r="Z1172" i="3"/>
  <c r="AG1171" i="3"/>
  <c r="AF1171" i="3"/>
  <c r="AE1171" i="3"/>
  <c r="AD1171" i="3"/>
  <c r="AC1171" i="3"/>
  <c r="AB1171" i="3"/>
  <c r="AA1171" i="3"/>
  <c r="Z1171" i="3"/>
  <c r="AG1170" i="3"/>
  <c r="AF1170" i="3"/>
  <c r="AE1170" i="3"/>
  <c r="AD1170" i="3"/>
  <c r="AC1170" i="3"/>
  <c r="AB1170" i="3"/>
  <c r="AA1170" i="3"/>
  <c r="Z1170" i="3"/>
  <c r="AG1169" i="3"/>
  <c r="AF1169" i="3"/>
  <c r="AE1169" i="3"/>
  <c r="AD1169" i="3"/>
  <c r="AC1169" i="3"/>
  <c r="AB1169" i="3"/>
  <c r="AA1169" i="3"/>
  <c r="Z1169" i="3"/>
  <c r="AG1168" i="3"/>
  <c r="AF1168" i="3"/>
  <c r="AE1168" i="3"/>
  <c r="AD1168" i="3"/>
  <c r="AC1168" i="3"/>
  <c r="AB1168" i="3"/>
  <c r="AA1168" i="3"/>
  <c r="Z1168" i="3"/>
  <c r="AG1167" i="3"/>
  <c r="AF1167" i="3"/>
  <c r="AE1167" i="3"/>
  <c r="AD1167" i="3"/>
  <c r="AC1167" i="3"/>
  <c r="AB1167" i="3"/>
  <c r="AA1167" i="3"/>
  <c r="Z1167" i="3"/>
  <c r="AG1166" i="3"/>
  <c r="AF1166" i="3"/>
  <c r="AE1166" i="3"/>
  <c r="AD1166" i="3"/>
  <c r="AC1166" i="3"/>
  <c r="AB1166" i="3"/>
  <c r="AA1166" i="3"/>
  <c r="Z1166" i="3"/>
  <c r="AG1165" i="3"/>
  <c r="AF1165" i="3"/>
  <c r="AE1165" i="3"/>
  <c r="AD1165" i="3"/>
  <c r="AC1165" i="3"/>
  <c r="AB1165" i="3"/>
  <c r="AA1165" i="3"/>
  <c r="Z1165" i="3"/>
  <c r="AG1164" i="3"/>
  <c r="AF1164" i="3"/>
  <c r="AE1164" i="3"/>
  <c r="AD1164" i="3"/>
  <c r="AC1164" i="3"/>
  <c r="AB1164" i="3"/>
  <c r="AA1164" i="3"/>
  <c r="Z1164" i="3"/>
  <c r="AG1163" i="3"/>
  <c r="AF1163" i="3"/>
  <c r="AE1163" i="3"/>
  <c r="AD1163" i="3"/>
  <c r="AC1163" i="3"/>
  <c r="AB1163" i="3"/>
  <c r="AA1163" i="3"/>
  <c r="Z1163" i="3"/>
  <c r="AG1162" i="3"/>
  <c r="AF1162" i="3"/>
  <c r="AE1162" i="3"/>
  <c r="AD1162" i="3"/>
  <c r="AC1162" i="3"/>
  <c r="AB1162" i="3"/>
  <c r="AA1162" i="3"/>
  <c r="Z1162" i="3"/>
  <c r="AG1161" i="3"/>
  <c r="AF1161" i="3"/>
  <c r="AE1161" i="3"/>
  <c r="AD1161" i="3"/>
  <c r="AC1161" i="3"/>
  <c r="AB1161" i="3"/>
  <c r="AA1161" i="3"/>
  <c r="Z1161" i="3"/>
  <c r="AG1160" i="3"/>
  <c r="AF1160" i="3"/>
  <c r="AE1160" i="3"/>
  <c r="AD1160" i="3"/>
  <c r="AC1160" i="3"/>
  <c r="AB1160" i="3"/>
  <c r="AA1160" i="3"/>
  <c r="Z1160" i="3"/>
  <c r="AG1159" i="3"/>
  <c r="AF1159" i="3"/>
  <c r="AE1159" i="3"/>
  <c r="AD1159" i="3"/>
  <c r="AC1159" i="3"/>
  <c r="AB1159" i="3"/>
  <c r="AA1159" i="3"/>
  <c r="Z1159" i="3"/>
  <c r="AG1158" i="3"/>
  <c r="AF1158" i="3"/>
  <c r="AE1158" i="3"/>
  <c r="AD1158" i="3"/>
  <c r="AC1158" i="3"/>
  <c r="AB1158" i="3"/>
  <c r="AA1158" i="3"/>
  <c r="Z1158" i="3"/>
  <c r="AG1157" i="3"/>
  <c r="AF1157" i="3"/>
  <c r="AE1157" i="3"/>
  <c r="AD1157" i="3"/>
  <c r="AC1157" i="3"/>
  <c r="AB1157" i="3"/>
  <c r="AA1157" i="3"/>
  <c r="Z1157" i="3"/>
  <c r="AG1156" i="3"/>
  <c r="AF1156" i="3"/>
  <c r="AE1156" i="3"/>
  <c r="AD1156" i="3"/>
  <c r="AC1156" i="3"/>
  <c r="AB1156" i="3"/>
  <c r="AA1156" i="3"/>
  <c r="Z1156" i="3"/>
  <c r="AG1155" i="3"/>
  <c r="AF1155" i="3"/>
  <c r="AE1155" i="3"/>
  <c r="AD1155" i="3"/>
  <c r="AC1155" i="3"/>
  <c r="AB1155" i="3"/>
  <c r="AA1155" i="3"/>
  <c r="Z1155" i="3"/>
  <c r="AG1154" i="3"/>
  <c r="AF1154" i="3"/>
  <c r="AE1154" i="3"/>
  <c r="AD1154" i="3"/>
  <c r="AC1154" i="3"/>
  <c r="AB1154" i="3"/>
  <c r="AA1154" i="3"/>
  <c r="Z1154" i="3"/>
  <c r="AG1153" i="3"/>
  <c r="AF1153" i="3"/>
  <c r="AE1153" i="3"/>
  <c r="AD1153" i="3"/>
  <c r="AC1153" i="3"/>
  <c r="AB1153" i="3"/>
  <c r="AA1153" i="3"/>
  <c r="Z1153" i="3"/>
  <c r="AG1152" i="3"/>
  <c r="AF1152" i="3"/>
  <c r="AE1152" i="3"/>
  <c r="AD1152" i="3"/>
  <c r="AC1152" i="3"/>
  <c r="AB1152" i="3"/>
  <c r="AA1152" i="3"/>
  <c r="Z1152" i="3"/>
  <c r="AG1151" i="3"/>
  <c r="AF1151" i="3"/>
  <c r="AE1151" i="3"/>
  <c r="AD1151" i="3"/>
  <c r="AC1151" i="3"/>
  <c r="AB1151" i="3"/>
  <c r="AA1151" i="3"/>
  <c r="Z1151" i="3"/>
  <c r="AG1150" i="3"/>
  <c r="AF1150" i="3"/>
  <c r="AE1150" i="3"/>
  <c r="AD1150" i="3"/>
  <c r="AC1150" i="3"/>
  <c r="AB1150" i="3"/>
  <c r="AA1150" i="3"/>
  <c r="Z1150" i="3"/>
  <c r="AG1149" i="3"/>
  <c r="AF1149" i="3"/>
  <c r="AE1149" i="3"/>
  <c r="AD1149" i="3"/>
  <c r="AC1149" i="3"/>
  <c r="AB1149" i="3"/>
  <c r="AA1149" i="3"/>
  <c r="Z1149" i="3"/>
  <c r="AG1148" i="3"/>
  <c r="AF1148" i="3"/>
  <c r="AE1148" i="3"/>
  <c r="AD1148" i="3"/>
  <c r="AC1148" i="3"/>
  <c r="AB1148" i="3"/>
  <c r="AA1148" i="3"/>
  <c r="Z1148" i="3"/>
  <c r="AG1147" i="3"/>
  <c r="AF1147" i="3"/>
  <c r="AE1147" i="3"/>
  <c r="AD1147" i="3"/>
  <c r="AC1147" i="3"/>
  <c r="AB1147" i="3"/>
  <c r="AA1147" i="3"/>
  <c r="Z1147" i="3"/>
  <c r="AG1146" i="3"/>
  <c r="AF1146" i="3"/>
  <c r="AE1146" i="3"/>
  <c r="AD1146" i="3"/>
  <c r="AC1146" i="3"/>
  <c r="AB1146" i="3"/>
  <c r="AA1146" i="3"/>
  <c r="Z1146" i="3"/>
  <c r="AG1145" i="3"/>
  <c r="AF1145" i="3"/>
  <c r="AE1145" i="3"/>
  <c r="AD1145" i="3"/>
  <c r="AC1145" i="3"/>
  <c r="AB1145" i="3"/>
  <c r="AA1145" i="3"/>
  <c r="Z1145" i="3"/>
  <c r="AG1144" i="3"/>
  <c r="AF1144" i="3"/>
  <c r="AE1144" i="3"/>
  <c r="AD1144" i="3"/>
  <c r="AC1144" i="3"/>
  <c r="AB1144" i="3"/>
  <c r="AA1144" i="3"/>
  <c r="Z1144" i="3"/>
  <c r="AG1143" i="3"/>
  <c r="AF1143" i="3"/>
  <c r="AE1143" i="3"/>
  <c r="AD1143" i="3"/>
  <c r="AC1143" i="3"/>
  <c r="AB1143" i="3"/>
  <c r="AA1143" i="3"/>
  <c r="Z1143" i="3"/>
  <c r="AG1142" i="3"/>
  <c r="AF1142" i="3"/>
  <c r="AE1142" i="3"/>
  <c r="AD1142" i="3"/>
  <c r="AC1142" i="3"/>
  <c r="AB1142" i="3"/>
  <c r="AA1142" i="3"/>
  <c r="Z1142" i="3"/>
  <c r="AG1141" i="3"/>
  <c r="AF1141" i="3"/>
  <c r="AE1141" i="3"/>
  <c r="AD1141" i="3"/>
  <c r="AC1141" i="3"/>
  <c r="AB1141" i="3"/>
  <c r="AA1141" i="3"/>
  <c r="Z1141" i="3"/>
  <c r="AG1140" i="3"/>
  <c r="AF1140" i="3"/>
  <c r="AE1140" i="3"/>
  <c r="AD1140" i="3"/>
  <c r="AC1140" i="3"/>
  <c r="AB1140" i="3"/>
  <c r="AA1140" i="3"/>
  <c r="Z1140" i="3"/>
  <c r="AG1139" i="3"/>
  <c r="AF1139" i="3"/>
  <c r="AE1139" i="3"/>
  <c r="AD1139" i="3"/>
  <c r="AC1139" i="3"/>
  <c r="AB1139" i="3"/>
  <c r="AA1139" i="3"/>
  <c r="Z1139" i="3"/>
  <c r="AG1138" i="3"/>
  <c r="AF1138" i="3"/>
  <c r="AE1138" i="3"/>
  <c r="AD1138" i="3"/>
  <c r="AC1138" i="3"/>
  <c r="AB1138" i="3"/>
  <c r="AA1138" i="3"/>
  <c r="Z1138" i="3"/>
  <c r="AG1137" i="3"/>
  <c r="AF1137" i="3"/>
  <c r="AE1137" i="3"/>
  <c r="AD1137" i="3"/>
  <c r="AC1137" i="3"/>
  <c r="AB1137" i="3"/>
  <c r="AA1137" i="3"/>
  <c r="Z1137" i="3"/>
  <c r="AG1136" i="3"/>
  <c r="AF1136" i="3"/>
  <c r="AE1136" i="3"/>
  <c r="AD1136" i="3"/>
  <c r="AC1136" i="3"/>
  <c r="AB1136" i="3"/>
  <c r="AA1136" i="3"/>
  <c r="Z1136" i="3"/>
  <c r="AG1135" i="3"/>
  <c r="AF1135" i="3"/>
  <c r="AE1135" i="3"/>
  <c r="AD1135" i="3"/>
  <c r="AC1135" i="3"/>
  <c r="AB1135" i="3"/>
  <c r="AA1135" i="3"/>
  <c r="Z1135" i="3"/>
  <c r="AG1134" i="3"/>
  <c r="AF1134" i="3"/>
  <c r="AE1134" i="3"/>
  <c r="AD1134" i="3"/>
  <c r="AC1134" i="3"/>
  <c r="AB1134" i="3"/>
  <c r="AA1134" i="3"/>
  <c r="Z1134" i="3"/>
  <c r="AG1133" i="3"/>
  <c r="AF1133" i="3"/>
  <c r="AE1133" i="3"/>
  <c r="AD1133" i="3"/>
  <c r="AC1133" i="3"/>
  <c r="AB1133" i="3"/>
  <c r="AA1133" i="3"/>
  <c r="Z1133" i="3"/>
  <c r="AG1132" i="3"/>
  <c r="AF1132" i="3"/>
  <c r="AE1132" i="3"/>
  <c r="AD1132" i="3"/>
  <c r="AC1132" i="3"/>
  <c r="AB1132" i="3"/>
  <c r="AA1132" i="3"/>
  <c r="Z1132" i="3"/>
  <c r="AG1131" i="3"/>
  <c r="AF1131" i="3"/>
  <c r="AE1131" i="3"/>
  <c r="AD1131" i="3"/>
  <c r="AC1131" i="3"/>
  <c r="AB1131" i="3"/>
  <c r="AA1131" i="3"/>
  <c r="Z1131" i="3"/>
  <c r="AG1130" i="3"/>
  <c r="AF1130" i="3"/>
  <c r="AE1130" i="3"/>
  <c r="AD1130" i="3"/>
  <c r="AC1130" i="3"/>
  <c r="AB1130" i="3"/>
  <c r="AA1130" i="3"/>
  <c r="Z1130" i="3"/>
  <c r="AG1129" i="3"/>
  <c r="AF1129" i="3"/>
  <c r="AE1129" i="3"/>
  <c r="AD1129" i="3"/>
  <c r="AC1129" i="3"/>
  <c r="AB1129" i="3"/>
  <c r="AA1129" i="3"/>
  <c r="Z1129" i="3"/>
  <c r="AG1128" i="3"/>
  <c r="AF1128" i="3"/>
  <c r="AE1128" i="3"/>
  <c r="AD1128" i="3"/>
  <c r="AC1128" i="3"/>
  <c r="AB1128" i="3"/>
  <c r="AA1128" i="3"/>
  <c r="Z1128" i="3"/>
  <c r="AG1127" i="3"/>
  <c r="AF1127" i="3"/>
  <c r="AE1127" i="3"/>
  <c r="AD1127" i="3"/>
  <c r="AC1127" i="3"/>
  <c r="AB1127" i="3"/>
  <c r="AA1127" i="3"/>
  <c r="Z1127" i="3"/>
  <c r="AG1126" i="3"/>
  <c r="AF1126" i="3"/>
  <c r="AE1126" i="3"/>
  <c r="AD1126" i="3"/>
  <c r="AC1126" i="3"/>
  <c r="AB1126" i="3"/>
  <c r="AA1126" i="3"/>
  <c r="Z1126" i="3"/>
  <c r="AG1125" i="3"/>
  <c r="AF1125" i="3"/>
  <c r="AE1125" i="3"/>
  <c r="AD1125" i="3"/>
  <c r="AC1125" i="3"/>
  <c r="AB1125" i="3"/>
  <c r="AA1125" i="3"/>
  <c r="Z1125" i="3"/>
  <c r="AG1124" i="3"/>
  <c r="AF1124" i="3"/>
  <c r="AE1124" i="3"/>
  <c r="AD1124" i="3"/>
  <c r="AC1124" i="3"/>
  <c r="AB1124" i="3"/>
  <c r="AA1124" i="3"/>
  <c r="Z1124" i="3"/>
  <c r="AG1123" i="3"/>
  <c r="AF1123" i="3"/>
  <c r="AE1123" i="3"/>
  <c r="AD1123" i="3"/>
  <c r="AC1123" i="3"/>
  <c r="AB1123" i="3"/>
  <c r="AA1123" i="3"/>
  <c r="Z1123" i="3"/>
  <c r="AG1122" i="3"/>
  <c r="AF1122" i="3"/>
  <c r="AE1122" i="3"/>
  <c r="AD1122" i="3"/>
  <c r="AC1122" i="3"/>
  <c r="AB1122" i="3"/>
  <c r="AA1122" i="3"/>
  <c r="Z1122" i="3"/>
  <c r="AG1121" i="3"/>
  <c r="AF1121" i="3"/>
  <c r="AE1121" i="3"/>
  <c r="AD1121" i="3"/>
  <c r="AC1121" i="3"/>
  <c r="AB1121" i="3"/>
  <c r="AA1121" i="3"/>
  <c r="Z1121" i="3"/>
  <c r="AG1120" i="3"/>
  <c r="AF1120" i="3"/>
  <c r="AE1120" i="3"/>
  <c r="AD1120" i="3"/>
  <c r="AC1120" i="3"/>
  <c r="AB1120" i="3"/>
  <c r="AA1120" i="3"/>
  <c r="Z1120" i="3"/>
  <c r="AG1119" i="3"/>
  <c r="AF1119" i="3"/>
  <c r="AE1119" i="3"/>
  <c r="AD1119" i="3"/>
  <c r="AC1119" i="3"/>
  <c r="AB1119" i="3"/>
  <c r="AA1119" i="3"/>
  <c r="Z1119" i="3"/>
  <c r="AG1118" i="3"/>
  <c r="AF1118" i="3"/>
  <c r="AE1118" i="3"/>
  <c r="AD1118" i="3"/>
  <c r="AC1118" i="3"/>
  <c r="AB1118" i="3"/>
  <c r="AA1118" i="3"/>
  <c r="Z1118" i="3"/>
  <c r="AG1117" i="3"/>
  <c r="AF1117" i="3"/>
  <c r="AE1117" i="3"/>
  <c r="AD1117" i="3"/>
  <c r="AC1117" i="3"/>
  <c r="AB1117" i="3"/>
  <c r="AA1117" i="3"/>
  <c r="Z1117" i="3"/>
  <c r="AG1116" i="3"/>
  <c r="AF1116" i="3"/>
  <c r="AE1116" i="3"/>
  <c r="AD1116" i="3"/>
  <c r="AC1116" i="3"/>
  <c r="AB1116" i="3"/>
  <c r="AA1116" i="3"/>
  <c r="Z1116" i="3"/>
  <c r="AG1115" i="3"/>
  <c r="AF1115" i="3"/>
  <c r="AE1115" i="3"/>
  <c r="AD1115" i="3"/>
  <c r="AC1115" i="3"/>
  <c r="AB1115" i="3"/>
  <c r="AA1115" i="3"/>
  <c r="Z1115" i="3"/>
  <c r="AG1114" i="3"/>
  <c r="AF1114" i="3"/>
  <c r="AE1114" i="3"/>
  <c r="AD1114" i="3"/>
  <c r="AC1114" i="3"/>
  <c r="AB1114" i="3"/>
  <c r="AA1114" i="3"/>
  <c r="Z1114" i="3"/>
  <c r="AG1113" i="3"/>
  <c r="AF1113" i="3"/>
  <c r="AE1113" i="3"/>
  <c r="AD1113" i="3"/>
  <c r="AC1113" i="3"/>
  <c r="AB1113" i="3"/>
  <c r="AA1113" i="3"/>
  <c r="Z1113" i="3"/>
  <c r="AG1112" i="3"/>
  <c r="AF1112" i="3"/>
  <c r="AE1112" i="3"/>
  <c r="AD1112" i="3"/>
  <c r="AC1112" i="3"/>
  <c r="AB1112" i="3"/>
  <c r="AA1112" i="3"/>
  <c r="Z1112" i="3"/>
  <c r="AG1111" i="3"/>
  <c r="AF1111" i="3"/>
  <c r="AE1111" i="3"/>
  <c r="AD1111" i="3"/>
  <c r="AC1111" i="3"/>
  <c r="AB1111" i="3"/>
  <c r="AA1111" i="3"/>
  <c r="Z1111" i="3"/>
  <c r="AG1110" i="3"/>
  <c r="AF1110" i="3"/>
  <c r="AE1110" i="3"/>
  <c r="AD1110" i="3"/>
  <c r="AC1110" i="3"/>
  <c r="AB1110" i="3"/>
  <c r="AA1110" i="3"/>
  <c r="Z1110" i="3"/>
  <c r="AG1109" i="3"/>
  <c r="AF1109" i="3"/>
  <c r="AE1109" i="3"/>
  <c r="AD1109" i="3"/>
  <c r="AC1109" i="3"/>
  <c r="AB1109" i="3"/>
  <c r="AA1109" i="3"/>
  <c r="Z1109" i="3"/>
  <c r="AG1108" i="3"/>
  <c r="AF1108" i="3"/>
  <c r="AE1108" i="3"/>
  <c r="AD1108" i="3"/>
  <c r="AC1108" i="3"/>
  <c r="AB1108" i="3"/>
  <c r="AA1108" i="3"/>
  <c r="Z1108" i="3"/>
  <c r="AG1107" i="3"/>
  <c r="AF1107" i="3"/>
  <c r="AE1107" i="3"/>
  <c r="AD1107" i="3"/>
  <c r="AC1107" i="3"/>
  <c r="AB1107" i="3"/>
  <c r="AA1107" i="3"/>
  <c r="Z1107" i="3"/>
  <c r="AG1106" i="3"/>
  <c r="AF1106" i="3"/>
  <c r="AE1106" i="3"/>
  <c r="AD1106" i="3"/>
  <c r="AC1106" i="3"/>
  <c r="AB1106" i="3"/>
  <c r="AA1106" i="3"/>
  <c r="Z1106" i="3"/>
  <c r="AG1105" i="3"/>
  <c r="AF1105" i="3"/>
  <c r="AE1105" i="3"/>
  <c r="AD1105" i="3"/>
  <c r="AC1105" i="3"/>
  <c r="AB1105" i="3"/>
  <c r="AA1105" i="3"/>
  <c r="Z1105" i="3"/>
  <c r="AG1104" i="3"/>
  <c r="AF1104" i="3"/>
  <c r="AE1104" i="3"/>
  <c r="AD1104" i="3"/>
  <c r="AC1104" i="3"/>
  <c r="AB1104" i="3"/>
  <c r="AA1104" i="3"/>
  <c r="Z1104" i="3"/>
  <c r="AG1103" i="3"/>
  <c r="AF1103" i="3"/>
  <c r="AE1103" i="3"/>
  <c r="AD1103" i="3"/>
  <c r="AC1103" i="3"/>
  <c r="AB1103" i="3"/>
  <c r="AA1103" i="3"/>
  <c r="Z1103" i="3"/>
  <c r="AG1102" i="3"/>
  <c r="AF1102" i="3"/>
  <c r="AE1102" i="3"/>
  <c r="AD1102" i="3"/>
  <c r="AC1102" i="3"/>
  <c r="AB1102" i="3"/>
  <c r="AA1102" i="3"/>
  <c r="Z1102" i="3"/>
  <c r="AG1101" i="3"/>
  <c r="AF1101" i="3"/>
  <c r="AE1101" i="3"/>
  <c r="AD1101" i="3"/>
  <c r="AC1101" i="3"/>
  <c r="AB1101" i="3"/>
  <c r="AA1101" i="3"/>
  <c r="Z1101" i="3"/>
  <c r="AG1100" i="3"/>
  <c r="AF1100" i="3"/>
  <c r="AE1100" i="3"/>
  <c r="AD1100" i="3"/>
  <c r="AC1100" i="3"/>
  <c r="AB1100" i="3"/>
  <c r="AA1100" i="3"/>
  <c r="Z1100" i="3"/>
  <c r="AG1099" i="3"/>
  <c r="AF1099" i="3"/>
  <c r="AE1099" i="3"/>
  <c r="AD1099" i="3"/>
  <c r="AC1099" i="3"/>
  <c r="AB1099" i="3"/>
  <c r="AA1099" i="3"/>
  <c r="Z1099" i="3"/>
  <c r="AG1098" i="3"/>
  <c r="AF1098" i="3"/>
  <c r="AE1098" i="3"/>
  <c r="AD1098" i="3"/>
  <c r="AC1098" i="3"/>
  <c r="AB1098" i="3"/>
  <c r="AA1098" i="3"/>
  <c r="Z1098" i="3"/>
  <c r="AG1097" i="3"/>
  <c r="AF1097" i="3"/>
  <c r="AE1097" i="3"/>
  <c r="AD1097" i="3"/>
  <c r="AC1097" i="3"/>
  <c r="AB1097" i="3"/>
  <c r="AA1097" i="3"/>
  <c r="Z1097" i="3"/>
  <c r="AG1096" i="3"/>
  <c r="AF1096" i="3"/>
  <c r="AE1096" i="3"/>
  <c r="AD1096" i="3"/>
  <c r="AC1096" i="3"/>
  <c r="AB1096" i="3"/>
  <c r="AA1096" i="3"/>
  <c r="Z1096" i="3"/>
  <c r="AG1095" i="3"/>
  <c r="AF1095" i="3"/>
  <c r="AE1095" i="3"/>
  <c r="AD1095" i="3"/>
  <c r="AC1095" i="3"/>
  <c r="AB1095" i="3"/>
  <c r="AA1095" i="3"/>
  <c r="Z1095" i="3"/>
  <c r="AG1094" i="3"/>
  <c r="AF1094" i="3"/>
  <c r="AE1094" i="3"/>
  <c r="AD1094" i="3"/>
  <c r="AC1094" i="3"/>
  <c r="AB1094" i="3"/>
  <c r="AA1094" i="3"/>
  <c r="Z1094" i="3"/>
  <c r="AG1093" i="3"/>
  <c r="AF1093" i="3"/>
  <c r="AE1093" i="3"/>
  <c r="AD1093" i="3"/>
  <c r="AC1093" i="3"/>
  <c r="AB1093" i="3"/>
  <c r="AA1093" i="3"/>
  <c r="Z1093" i="3"/>
  <c r="AG1092" i="3"/>
  <c r="AF1092" i="3"/>
  <c r="AE1092" i="3"/>
  <c r="AD1092" i="3"/>
  <c r="AC1092" i="3"/>
  <c r="AB1092" i="3"/>
  <c r="AA1092" i="3"/>
  <c r="Z1092" i="3"/>
  <c r="AG1091" i="3"/>
  <c r="AF1091" i="3"/>
  <c r="AE1091" i="3"/>
  <c r="AD1091" i="3"/>
  <c r="AC1091" i="3"/>
  <c r="AB1091" i="3"/>
  <c r="AA1091" i="3"/>
  <c r="Z1091" i="3"/>
  <c r="AG1090" i="3"/>
  <c r="AF1090" i="3"/>
  <c r="AE1090" i="3"/>
  <c r="AD1090" i="3"/>
  <c r="AC1090" i="3"/>
  <c r="AB1090" i="3"/>
  <c r="AA1090" i="3"/>
  <c r="Z1090" i="3"/>
  <c r="AG1089" i="3"/>
  <c r="AF1089" i="3"/>
  <c r="AE1089" i="3"/>
  <c r="AD1089" i="3"/>
  <c r="AC1089" i="3"/>
  <c r="AB1089" i="3"/>
  <c r="AA1089" i="3"/>
  <c r="Z1089" i="3"/>
  <c r="AG1088" i="3"/>
  <c r="AF1088" i="3"/>
  <c r="AE1088" i="3"/>
  <c r="AD1088" i="3"/>
  <c r="AC1088" i="3"/>
  <c r="AB1088" i="3"/>
  <c r="AA1088" i="3"/>
  <c r="Z1088" i="3"/>
  <c r="AG1087" i="3"/>
  <c r="AF1087" i="3"/>
  <c r="AE1087" i="3"/>
  <c r="AD1087" i="3"/>
  <c r="AC1087" i="3"/>
  <c r="AB1087" i="3"/>
  <c r="AA1087" i="3"/>
  <c r="Z1087" i="3"/>
  <c r="AG1086" i="3"/>
  <c r="AF1086" i="3"/>
  <c r="AE1086" i="3"/>
  <c r="AD1086" i="3"/>
  <c r="AC1086" i="3"/>
  <c r="AB1086" i="3"/>
  <c r="AA1086" i="3"/>
  <c r="Z1086" i="3"/>
  <c r="AG1085" i="3"/>
  <c r="AF1085" i="3"/>
  <c r="AE1085" i="3"/>
  <c r="AD1085" i="3"/>
  <c r="AC1085" i="3"/>
  <c r="AB1085" i="3"/>
  <c r="AA1085" i="3"/>
  <c r="Z1085" i="3"/>
  <c r="AG1084" i="3"/>
  <c r="AF1084" i="3"/>
  <c r="AE1084" i="3"/>
  <c r="AD1084" i="3"/>
  <c r="AC1084" i="3"/>
  <c r="AB1084" i="3"/>
  <c r="AA1084" i="3"/>
  <c r="Z1084" i="3"/>
  <c r="AG1083" i="3"/>
  <c r="AF1083" i="3"/>
  <c r="AE1083" i="3"/>
  <c r="AD1083" i="3"/>
  <c r="AC1083" i="3"/>
  <c r="AB1083" i="3"/>
  <c r="AA1083" i="3"/>
  <c r="Z1083" i="3"/>
  <c r="AG1082" i="3"/>
  <c r="AF1082" i="3"/>
  <c r="AE1082" i="3"/>
  <c r="AD1082" i="3"/>
  <c r="AC1082" i="3"/>
  <c r="AB1082" i="3"/>
  <c r="AA1082" i="3"/>
  <c r="Z1082" i="3"/>
  <c r="AG1081" i="3"/>
  <c r="AF1081" i="3"/>
  <c r="AE1081" i="3"/>
  <c r="AD1081" i="3"/>
  <c r="AC1081" i="3"/>
  <c r="AB1081" i="3"/>
  <c r="AA1081" i="3"/>
  <c r="Z1081" i="3"/>
  <c r="AG1080" i="3"/>
  <c r="AF1080" i="3"/>
  <c r="AE1080" i="3"/>
  <c r="AD1080" i="3"/>
  <c r="AC1080" i="3"/>
  <c r="AB1080" i="3"/>
  <c r="AA1080" i="3"/>
  <c r="Z1080" i="3"/>
  <c r="AG1079" i="3"/>
  <c r="AF1079" i="3"/>
  <c r="AE1079" i="3"/>
  <c r="AD1079" i="3"/>
  <c r="AC1079" i="3"/>
  <c r="AB1079" i="3"/>
  <c r="AA1079" i="3"/>
  <c r="Z1079" i="3"/>
  <c r="AG1078" i="3"/>
  <c r="AF1078" i="3"/>
  <c r="AE1078" i="3"/>
  <c r="AD1078" i="3"/>
  <c r="AC1078" i="3"/>
  <c r="AB1078" i="3"/>
  <c r="AA1078" i="3"/>
  <c r="Z1078" i="3"/>
  <c r="AG1077" i="3"/>
  <c r="AF1077" i="3"/>
  <c r="AE1077" i="3"/>
  <c r="AD1077" i="3"/>
  <c r="AC1077" i="3"/>
  <c r="AB1077" i="3"/>
  <c r="AA1077" i="3"/>
  <c r="Z1077" i="3"/>
  <c r="AG1076" i="3"/>
  <c r="AF1076" i="3"/>
  <c r="AE1076" i="3"/>
  <c r="AD1076" i="3"/>
  <c r="AC1076" i="3"/>
  <c r="AB1076" i="3"/>
  <c r="AA1076" i="3"/>
  <c r="Z1076" i="3"/>
  <c r="AG1075" i="3"/>
  <c r="AF1075" i="3"/>
  <c r="AE1075" i="3"/>
  <c r="AD1075" i="3"/>
  <c r="AC1075" i="3"/>
  <c r="AB1075" i="3"/>
  <c r="AA1075" i="3"/>
  <c r="Z1075" i="3"/>
  <c r="AG1074" i="3"/>
  <c r="AF1074" i="3"/>
  <c r="AE1074" i="3"/>
  <c r="AD1074" i="3"/>
  <c r="AC1074" i="3"/>
  <c r="AB1074" i="3"/>
  <c r="AA1074" i="3"/>
  <c r="Z1074" i="3"/>
  <c r="AG1073" i="3"/>
  <c r="AF1073" i="3"/>
  <c r="AE1073" i="3"/>
  <c r="AD1073" i="3"/>
  <c r="AC1073" i="3"/>
  <c r="AB1073" i="3"/>
  <c r="AA1073" i="3"/>
  <c r="Z1073" i="3"/>
  <c r="AG1072" i="3"/>
  <c r="AF1072" i="3"/>
  <c r="AE1072" i="3"/>
  <c r="AD1072" i="3"/>
  <c r="AC1072" i="3"/>
  <c r="AB1072" i="3"/>
  <c r="AA1072" i="3"/>
  <c r="Z1072" i="3"/>
  <c r="AG1071" i="3"/>
  <c r="AF1071" i="3"/>
  <c r="AE1071" i="3"/>
  <c r="AD1071" i="3"/>
  <c r="AC1071" i="3"/>
  <c r="AB1071" i="3"/>
  <c r="AA1071" i="3"/>
  <c r="Z1071" i="3"/>
  <c r="AG1070" i="3"/>
  <c r="AF1070" i="3"/>
  <c r="AE1070" i="3"/>
  <c r="AD1070" i="3"/>
  <c r="AC1070" i="3"/>
  <c r="AB1070" i="3"/>
  <c r="AA1070" i="3"/>
  <c r="Z1070" i="3"/>
  <c r="AG1069" i="3"/>
  <c r="AF1069" i="3"/>
  <c r="AE1069" i="3"/>
  <c r="AD1069" i="3"/>
  <c r="AC1069" i="3"/>
  <c r="AB1069" i="3"/>
  <c r="AA1069" i="3"/>
  <c r="Z1069" i="3"/>
  <c r="AG1068" i="3"/>
  <c r="AF1068" i="3"/>
  <c r="AE1068" i="3"/>
  <c r="AD1068" i="3"/>
  <c r="AC1068" i="3"/>
  <c r="AB1068" i="3"/>
  <c r="AA1068" i="3"/>
  <c r="Z1068" i="3"/>
  <c r="AG1067" i="3"/>
  <c r="AF1067" i="3"/>
  <c r="AE1067" i="3"/>
  <c r="AD1067" i="3"/>
  <c r="AC1067" i="3"/>
  <c r="AB1067" i="3"/>
  <c r="AA1067" i="3"/>
  <c r="Z1067" i="3"/>
  <c r="AG1066" i="3"/>
  <c r="AF1066" i="3"/>
  <c r="AE1066" i="3"/>
  <c r="AD1066" i="3"/>
  <c r="AC1066" i="3"/>
  <c r="AB1066" i="3"/>
  <c r="AA1066" i="3"/>
  <c r="Z1066" i="3"/>
  <c r="AG1065" i="3"/>
  <c r="AF1065" i="3"/>
  <c r="AE1065" i="3"/>
  <c r="AD1065" i="3"/>
  <c r="AC1065" i="3"/>
  <c r="AB1065" i="3"/>
  <c r="AA1065" i="3"/>
  <c r="Z1065" i="3"/>
  <c r="AG1064" i="3"/>
  <c r="AF1064" i="3"/>
  <c r="AE1064" i="3"/>
  <c r="AD1064" i="3"/>
  <c r="AC1064" i="3"/>
  <c r="AB1064" i="3"/>
  <c r="AA1064" i="3"/>
  <c r="Z1064" i="3"/>
  <c r="AG1063" i="3"/>
  <c r="AF1063" i="3"/>
  <c r="AE1063" i="3"/>
  <c r="AD1063" i="3"/>
  <c r="AC1063" i="3"/>
  <c r="AB1063" i="3"/>
  <c r="AA1063" i="3"/>
  <c r="Z1063" i="3"/>
  <c r="AG1062" i="3"/>
  <c r="AF1062" i="3"/>
  <c r="AE1062" i="3"/>
  <c r="AD1062" i="3"/>
  <c r="AC1062" i="3"/>
  <c r="AB1062" i="3"/>
  <c r="AA1062" i="3"/>
  <c r="Z1062" i="3"/>
  <c r="AG1061" i="3"/>
  <c r="AF1061" i="3"/>
  <c r="AE1061" i="3"/>
  <c r="AD1061" i="3"/>
  <c r="AC1061" i="3"/>
  <c r="AB1061" i="3"/>
  <c r="AA1061" i="3"/>
  <c r="Z1061" i="3"/>
  <c r="AG1060" i="3"/>
  <c r="AF1060" i="3"/>
  <c r="AE1060" i="3"/>
  <c r="AD1060" i="3"/>
  <c r="AC1060" i="3"/>
  <c r="AB1060" i="3"/>
  <c r="AA1060" i="3"/>
  <c r="Z1060" i="3"/>
  <c r="AG1059" i="3"/>
  <c r="AF1059" i="3"/>
  <c r="AE1059" i="3"/>
  <c r="AD1059" i="3"/>
  <c r="AC1059" i="3"/>
  <c r="AB1059" i="3"/>
  <c r="AA1059" i="3"/>
  <c r="Z1059" i="3"/>
  <c r="AG1058" i="3"/>
  <c r="AF1058" i="3"/>
  <c r="AE1058" i="3"/>
  <c r="AD1058" i="3"/>
  <c r="AC1058" i="3"/>
  <c r="AB1058" i="3"/>
  <c r="AA1058" i="3"/>
  <c r="Z1058" i="3"/>
  <c r="AG1057" i="3"/>
  <c r="AF1057" i="3"/>
  <c r="AE1057" i="3"/>
  <c r="AD1057" i="3"/>
  <c r="AC1057" i="3"/>
  <c r="AB1057" i="3"/>
  <c r="AA1057" i="3"/>
  <c r="Z1057" i="3"/>
  <c r="AG1056" i="3"/>
  <c r="AF1056" i="3"/>
  <c r="AE1056" i="3"/>
  <c r="AD1056" i="3"/>
  <c r="AC1056" i="3"/>
  <c r="AB1056" i="3"/>
  <c r="AA1056" i="3"/>
  <c r="Z1056" i="3"/>
  <c r="AG1055" i="3"/>
  <c r="AF1055" i="3"/>
  <c r="AE1055" i="3"/>
  <c r="AD1055" i="3"/>
  <c r="AC1055" i="3"/>
  <c r="AB1055" i="3"/>
  <c r="AA1055" i="3"/>
  <c r="Z1055" i="3"/>
  <c r="AG1054" i="3"/>
  <c r="AF1054" i="3"/>
  <c r="AE1054" i="3"/>
  <c r="AD1054" i="3"/>
  <c r="AC1054" i="3"/>
  <c r="AB1054" i="3"/>
  <c r="AA1054" i="3"/>
  <c r="Z1054" i="3"/>
  <c r="AG1053" i="3"/>
  <c r="AF1053" i="3"/>
  <c r="AE1053" i="3"/>
  <c r="AD1053" i="3"/>
  <c r="AC1053" i="3"/>
  <c r="AB1053" i="3"/>
  <c r="AA1053" i="3"/>
  <c r="Z1053" i="3"/>
  <c r="AG1052" i="3"/>
  <c r="AF1052" i="3"/>
  <c r="AE1052" i="3"/>
  <c r="AD1052" i="3"/>
  <c r="AC1052" i="3"/>
  <c r="AB1052" i="3"/>
  <c r="AA1052" i="3"/>
  <c r="Z1052" i="3"/>
  <c r="AG1051" i="3"/>
  <c r="AF1051" i="3"/>
  <c r="AE1051" i="3"/>
  <c r="AD1051" i="3"/>
  <c r="AC1051" i="3"/>
  <c r="AB1051" i="3"/>
  <c r="AA1051" i="3"/>
  <c r="Z1051" i="3"/>
  <c r="AG1050" i="3"/>
  <c r="AF1050" i="3"/>
  <c r="AE1050" i="3"/>
  <c r="AD1050" i="3"/>
  <c r="AC1050" i="3"/>
  <c r="AB1050" i="3"/>
  <c r="AA1050" i="3"/>
  <c r="Z1050" i="3"/>
  <c r="AG1049" i="3"/>
  <c r="AF1049" i="3"/>
  <c r="AE1049" i="3"/>
  <c r="AD1049" i="3"/>
  <c r="AC1049" i="3"/>
  <c r="AB1049" i="3"/>
  <c r="AA1049" i="3"/>
  <c r="Z1049" i="3"/>
  <c r="AG1048" i="3"/>
  <c r="AF1048" i="3"/>
  <c r="AE1048" i="3"/>
  <c r="AD1048" i="3"/>
  <c r="AC1048" i="3"/>
  <c r="AB1048" i="3"/>
  <c r="AA1048" i="3"/>
  <c r="Z1048" i="3"/>
  <c r="AG1047" i="3"/>
  <c r="AF1047" i="3"/>
  <c r="AE1047" i="3"/>
  <c r="AD1047" i="3"/>
  <c r="AC1047" i="3"/>
  <c r="AB1047" i="3"/>
  <c r="AA1047" i="3"/>
  <c r="Z1047" i="3"/>
  <c r="AG1046" i="3"/>
  <c r="AF1046" i="3"/>
  <c r="AE1046" i="3"/>
  <c r="AD1046" i="3"/>
  <c r="AC1046" i="3"/>
  <c r="AB1046" i="3"/>
  <c r="AA1046" i="3"/>
  <c r="Z1046" i="3"/>
  <c r="AG1045" i="3"/>
  <c r="AF1045" i="3"/>
  <c r="AE1045" i="3"/>
  <c r="AD1045" i="3"/>
  <c r="AC1045" i="3"/>
  <c r="AB1045" i="3"/>
  <c r="AA1045" i="3"/>
  <c r="Z1045" i="3"/>
  <c r="AG1044" i="3"/>
  <c r="AF1044" i="3"/>
  <c r="AE1044" i="3"/>
  <c r="AD1044" i="3"/>
  <c r="AC1044" i="3"/>
  <c r="AB1044" i="3"/>
  <c r="AA1044" i="3"/>
  <c r="Z1044" i="3"/>
  <c r="AG1043" i="3"/>
  <c r="AF1043" i="3"/>
  <c r="AE1043" i="3"/>
  <c r="AD1043" i="3"/>
  <c r="AC1043" i="3"/>
  <c r="AB1043" i="3"/>
  <c r="AA1043" i="3"/>
  <c r="Z1043" i="3"/>
  <c r="AG1042" i="3"/>
  <c r="AF1042" i="3"/>
  <c r="AE1042" i="3"/>
  <c r="AD1042" i="3"/>
  <c r="AC1042" i="3"/>
  <c r="AB1042" i="3"/>
  <c r="AA1042" i="3"/>
  <c r="Z1042" i="3"/>
  <c r="AG1041" i="3"/>
  <c r="AF1041" i="3"/>
  <c r="AE1041" i="3"/>
  <c r="AD1041" i="3"/>
  <c r="AC1041" i="3"/>
  <c r="AB1041" i="3"/>
  <c r="AA1041" i="3"/>
  <c r="Z1041" i="3"/>
  <c r="AG1040" i="3"/>
  <c r="AF1040" i="3"/>
  <c r="AE1040" i="3"/>
  <c r="AD1040" i="3"/>
  <c r="AC1040" i="3"/>
  <c r="AB1040" i="3"/>
  <c r="AA1040" i="3"/>
  <c r="Z1040" i="3"/>
  <c r="AG1039" i="3"/>
  <c r="AF1039" i="3"/>
  <c r="AE1039" i="3"/>
  <c r="AD1039" i="3"/>
  <c r="AC1039" i="3"/>
  <c r="AB1039" i="3"/>
  <c r="AA1039" i="3"/>
  <c r="Z1039" i="3"/>
  <c r="AG1038" i="3"/>
  <c r="AF1038" i="3"/>
  <c r="AE1038" i="3"/>
  <c r="AD1038" i="3"/>
  <c r="AC1038" i="3"/>
  <c r="AB1038" i="3"/>
  <c r="AA1038" i="3"/>
  <c r="Z1038" i="3"/>
  <c r="AG1037" i="3"/>
  <c r="AF1037" i="3"/>
  <c r="AE1037" i="3"/>
  <c r="AD1037" i="3"/>
  <c r="AC1037" i="3"/>
  <c r="AB1037" i="3"/>
  <c r="AA1037" i="3"/>
  <c r="Z1037" i="3"/>
  <c r="AG1036" i="3"/>
  <c r="AF1036" i="3"/>
  <c r="AE1036" i="3"/>
  <c r="AD1036" i="3"/>
  <c r="AC1036" i="3"/>
  <c r="AB1036" i="3"/>
  <c r="AA1036" i="3"/>
  <c r="Z1036" i="3"/>
  <c r="AG1035" i="3"/>
  <c r="AF1035" i="3"/>
  <c r="AE1035" i="3"/>
  <c r="AD1035" i="3"/>
  <c r="AC1035" i="3"/>
  <c r="AB1035" i="3"/>
  <c r="AA1035" i="3"/>
  <c r="Z1035" i="3"/>
  <c r="AG1034" i="3"/>
  <c r="AF1034" i="3"/>
  <c r="AE1034" i="3"/>
  <c r="AD1034" i="3"/>
  <c r="AC1034" i="3"/>
  <c r="AB1034" i="3"/>
  <c r="AA1034" i="3"/>
  <c r="Z1034" i="3"/>
  <c r="AG1033" i="3"/>
  <c r="AF1033" i="3"/>
  <c r="AE1033" i="3"/>
  <c r="AD1033" i="3"/>
  <c r="AC1033" i="3"/>
  <c r="AB1033" i="3"/>
  <c r="AA1033" i="3"/>
  <c r="Z1033" i="3"/>
  <c r="AG1032" i="3"/>
  <c r="AF1032" i="3"/>
  <c r="AE1032" i="3"/>
  <c r="AD1032" i="3"/>
  <c r="AC1032" i="3"/>
  <c r="AB1032" i="3"/>
  <c r="AA1032" i="3"/>
  <c r="Z1032" i="3"/>
  <c r="AG1031" i="3"/>
  <c r="AF1031" i="3"/>
  <c r="AE1031" i="3"/>
  <c r="AD1031" i="3"/>
  <c r="AC1031" i="3"/>
  <c r="AB1031" i="3"/>
  <c r="AA1031" i="3"/>
  <c r="Z1031" i="3"/>
  <c r="AG1030" i="3"/>
  <c r="AF1030" i="3"/>
  <c r="AE1030" i="3"/>
  <c r="AD1030" i="3"/>
  <c r="AC1030" i="3"/>
  <c r="AB1030" i="3"/>
  <c r="AA1030" i="3"/>
  <c r="Z1030" i="3"/>
  <c r="AG1029" i="3"/>
  <c r="AF1029" i="3"/>
  <c r="AE1029" i="3"/>
  <c r="AD1029" i="3"/>
  <c r="AC1029" i="3"/>
  <c r="AB1029" i="3"/>
  <c r="AA1029" i="3"/>
  <c r="Z1029" i="3"/>
  <c r="AG1028" i="3"/>
  <c r="AF1028" i="3"/>
  <c r="AE1028" i="3"/>
  <c r="AD1028" i="3"/>
  <c r="AC1028" i="3"/>
  <c r="AB1028" i="3"/>
  <c r="AA1028" i="3"/>
  <c r="Z1028" i="3"/>
  <c r="AG1027" i="3"/>
  <c r="AF1027" i="3"/>
  <c r="AE1027" i="3"/>
  <c r="AD1027" i="3"/>
  <c r="AC1027" i="3"/>
  <c r="AB1027" i="3"/>
  <c r="AA1027" i="3"/>
  <c r="Z1027" i="3"/>
  <c r="AG1026" i="3"/>
  <c r="AF1026" i="3"/>
  <c r="AE1026" i="3"/>
  <c r="AD1026" i="3"/>
  <c r="AC1026" i="3"/>
  <c r="AB1026" i="3"/>
  <c r="AA1026" i="3"/>
  <c r="Z1026" i="3"/>
  <c r="AG1025" i="3"/>
  <c r="AF1025" i="3"/>
  <c r="AE1025" i="3"/>
  <c r="AD1025" i="3"/>
  <c r="AC1025" i="3"/>
  <c r="AB1025" i="3"/>
  <c r="AA1025" i="3"/>
  <c r="Z1025" i="3"/>
  <c r="AG1024" i="3"/>
  <c r="AF1024" i="3"/>
  <c r="AE1024" i="3"/>
  <c r="AD1024" i="3"/>
  <c r="AC1024" i="3"/>
  <c r="AB1024" i="3"/>
  <c r="AA1024" i="3"/>
  <c r="Z1024" i="3"/>
  <c r="AG1023" i="3"/>
  <c r="AF1023" i="3"/>
  <c r="AE1023" i="3"/>
  <c r="AD1023" i="3"/>
  <c r="AC1023" i="3"/>
  <c r="AB1023" i="3"/>
  <c r="AA1023" i="3"/>
  <c r="Z1023" i="3"/>
  <c r="AG1022" i="3"/>
  <c r="AF1022" i="3"/>
  <c r="AE1022" i="3"/>
  <c r="AD1022" i="3"/>
  <c r="AC1022" i="3"/>
  <c r="AB1022" i="3"/>
  <c r="AA1022" i="3"/>
  <c r="Z1022" i="3"/>
  <c r="AG1021" i="3"/>
  <c r="AF1021" i="3"/>
  <c r="AE1021" i="3"/>
  <c r="AD1021" i="3"/>
  <c r="AC1021" i="3"/>
  <c r="AB1021" i="3"/>
  <c r="AA1021" i="3"/>
  <c r="Z1021" i="3"/>
  <c r="AG1020" i="3"/>
  <c r="AF1020" i="3"/>
  <c r="AE1020" i="3"/>
  <c r="AD1020" i="3"/>
  <c r="AC1020" i="3"/>
  <c r="AB1020" i="3"/>
  <c r="AA1020" i="3"/>
  <c r="Z1020" i="3"/>
  <c r="AG1019" i="3"/>
  <c r="AF1019" i="3"/>
  <c r="AE1019" i="3"/>
  <c r="AD1019" i="3"/>
  <c r="AC1019" i="3"/>
  <c r="AB1019" i="3"/>
  <c r="AA1019" i="3"/>
  <c r="Z1019" i="3"/>
  <c r="AG1018" i="3"/>
  <c r="AF1018" i="3"/>
  <c r="AE1018" i="3"/>
  <c r="AD1018" i="3"/>
  <c r="AC1018" i="3"/>
  <c r="AB1018" i="3"/>
  <c r="AA1018" i="3"/>
  <c r="Z1018" i="3"/>
  <c r="AG1017" i="3"/>
  <c r="AF1017" i="3"/>
  <c r="AE1017" i="3"/>
  <c r="AD1017" i="3"/>
  <c r="AC1017" i="3"/>
  <c r="AB1017" i="3"/>
  <c r="AA1017" i="3"/>
  <c r="Z1017" i="3"/>
  <c r="AG1016" i="3"/>
  <c r="AF1016" i="3"/>
  <c r="AE1016" i="3"/>
  <c r="AD1016" i="3"/>
  <c r="AC1016" i="3"/>
  <c r="AB1016" i="3"/>
  <c r="AA1016" i="3"/>
  <c r="Z1016" i="3"/>
  <c r="AG1015" i="3"/>
  <c r="AF1015" i="3"/>
  <c r="AE1015" i="3"/>
  <c r="AD1015" i="3"/>
  <c r="AC1015" i="3"/>
  <c r="AB1015" i="3"/>
  <c r="AA1015" i="3"/>
  <c r="Z1015" i="3"/>
  <c r="AG1014" i="3"/>
  <c r="AF1014" i="3"/>
  <c r="AE1014" i="3"/>
  <c r="AD1014" i="3"/>
  <c r="AC1014" i="3"/>
  <c r="AB1014" i="3"/>
  <c r="AA1014" i="3"/>
  <c r="Z1014" i="3"/>
  <c r="AG1013" i="3"/>
  <c r="AF1013" i="3"/>
  <c r="AE1013" i="3"/>
  <c r="AD1013" i="3"/>
  <c r="AC1013" i="3"/>
  <c r="AB1013" i="3"/>
  <c r="AA1013" i="3"/>
  <c r="Z1013" i="3"/>
  <c r="AG1012" i="3"/>
  <c r="AF1012" i="3"/>
  <c r="AE1012" i="3"/>
  <c r="AD1012" i="3"/>
  <c r="AC1012" i="3"/>
  <c r="AB1012" i="3"/>
  <c r="AA1012" i="3"/>
  <c r="Z1012" i="3"/>
  <c r="AG1011" i="3"/>
  <c r="AF1011" i="3"/>
  <c r="AE1011" i="3"/>
  <c r="AD1011" i="3"/>
  <c r="AC1011" i="3"/>
  <c r="AB1011" i="3"/>
  <c r="AA1011" i="3"/>
  <c r="Z1011" i="3"/>
  <c r="AG1010" i="3"/>
  <c r="AF1010" i="3"/>
  <c r="AE1010" i="3"/>
  <c r="AD1010" i="3"/>
  <c r="AC1010" i="3"/>
  <c r="AB1010" i="3"/>
  <c r="AA1010" i="3"/>
  <c r="Z1010" i="3"/>
  <c r="AG1009" i="3"/>
  <c r="AF1009" i="3"/>
  <c r="AE1009" i="3"/>
  <c r="AD1009" i="3"/>
  <c r="AC1009" i="3"/>
  <c r="AB1009" i="3"/>
  <c r="AA1009" i="3"/>
  <c r="Z1009" i="3"/>
  <c r="AG1008" i="3"/>
  <c r="AF1008" i="3"/>
  <c r="AE1008" i="3"/>
  <c r="AD1008" i="3"/>
  <c r="AC1008" i="3"/>
  <c r="AB1008" i="3"/>
  <c r="AA1008" i="3"/>
  <c r="Z1008" i="3"/>
  <c r="AG1007" i="3"/>
  <c r="AF1007" i="3"/>
  <c r="AE1007" i="3"/>
  <c r="AD1007" i="3"/>
  <c r="AC1007" i="3"/>
  <c r="AB1007" i="3"/>
  <c r="AA1007" i="3"/>
  <c r="Z1007" i="3"/>
  <c r="AG1006" i="3"/>
  <c r="AF1006" i="3"/>
  <c r="AE1006" i="3"/>
  <c r="AD1006" i="3"/>
  <c r="AC1006" i="3"/>
  <c r="AB1006" i="3"/>
  <c r="AA1006" i="3"/>
  <c r="Z1006" i="3"/>
  <c r="AG1005" i="3"/>
  <c r="AF1005" i="3"/>
  <c r="AE1005" i="3"/>
  <c r="AD1005" i="3"/>
  <c r="AC1005" i="3"/>
  <c r="AB1005" i="3"/>
  <c r="AA1005" i="3"/>
  <c r="Z1005" i="3"/>
  <c r="AG1004" i="3"/>
  <c r="AF1004" i="3"/>
  <c r="AE1004" i="3"/>
  <c r="AD1004" i="3"/>
  <c r="AC1004" i="3"/>
  <c r="AB1004" i="3"/>
  <c r="AA1004" i="3"/>
  <c r="Z1004" i="3"/>
  <c r="AG1003" i="3"/>
  <c r="AF1003" i="3"/>
  <c r="AE1003" i="3"/>
  <c r="AD1003" i="3"/>
  <c r="AC1003" i="3"/>
  <c r="AB1003" i="3"/>
  <c r="AA1003" i="3"/>
  <c r="Z1003" i="3"/>
  <c r="AG1002" i="3"/>
  <c r="AF1002" i="3"/>
  <c r="AE1002" i="3"/>
  <c r="AD1002" i="3"/>
  <c r="AC1002" i="3"/>
  <c r="AB1002" i="3"/>
  <c r="AA1002" i="3"/>
  <c r="Z1002" i="3"/>
  <c r="AG1001" i="3"/>
  <c r="AF1001" i="3"/>
  <c r="AE1001" i="3"/>
  <c r="AD1001" i="3"/>
  <c r="AC1001" i="3"/>
  <c r="AB1001" i="3"/>
  <c r="AA1001" i="3"/>
  <c r="Z1001" i="3"/>
  <c r="AG1000" i="3"/>
  <c r="AF1000" i="3"/>
  <c r="AE1000" i="3"/>
  <c r="AD1000" i="3"/>
  <c r="AC1000" i="3"/>
  <c r="AB1000" i="3"/>
  <c r="AA1000" i="3"/>
  <c r="Z1000" i="3"/>
  <c r="AG999" i="3"/>
  <c r="AF999" i="3"/>
  <c r="AE999" i="3"/>
  <c r="AD999" i="3"/>
  <c r="AC999" i="3"/>
  <c r="AB999" i="3"/>
  <c r="AA999" i="3"/>
  <c r="Z999" i="3"/>
  <c r="AG998" i="3"/>
  <c r="AF998" i="3"/>
  <c r="AE998" i="3"/>
  <c r="AD998" i="3"/>
  <c r="AC998" i="3"/>
  <c r="AB998" i="3"/>
  <c r="AA998" i="3"/>
  <c r="Z998" i="3"/>
  <c r="AG997" i="3"/>
  <c r="AF997" i="3"/>
  <c r="AE997" i="3"/>
  <c r="AD997" i="3"/>
  <c r="AC997" i="3"/>
  <c r="AB997" i="3"/>
  <c r="AA997" i="3"/>
  <c r="Z997" i="3"/>
  <c r="AG996" i="3"/>
  <c r="AF996" i="3"/>
  <c r="AE996" i="3"/>
  <c r="AD996" i="3"/>
  <c r="AC996" i="3"/>
  <c r="AB996" i="3"/>
  <c r="AA996" i="3"/>
  <c r="Z996" i="3"/>
  <c r="AG995" i="3"/>
  <c r="AF995" i="3"/>
  <c r="AE995" i="3"/>
  <c r="AD995" i="3"/>
  <c r="AC995" i="3"/>
  <c r="AB995" i="3"/>
  <c r="AA995" i="3"/>
  <c r="Z995" i="3"/>
  <c r="AG994" i="3"/>
  <c r="AF994" i="3"/>
  <c r="AE994" i="3"/>
  <c r="AD994" i="3"/>
  <c r="AC994" i="3"/>
  <c r="AB994" i="3"/>
  <c r="AA994" i="3"/>
  <c r="Z994" i="3"/>
  <c r="AG993" i="3"/>
  <c r="AF993" i="3"/>
  <c r="AE993" i="3"/>
  <c r="AD993" i="3"/>
  <c r="AC993" i="3"/>
  <c r="AB993" i="3"/>
  <c r="AA993" i="3"/>
  <c r="Z993" i="3"/>
  <c r="AG992" i="3"/>
  <c r="AF992" i="3"/>
  <c r="AE992" i="3"/>
  <c r="AD992" i="3"/>
  <c r="AC992" i="3"/>
  <c r="AB992" i="3"/>
  <c r="AA992" i="3"/>
  <c r="Z992" i="3"/>
  <c r="AG991" i="3"/>
  <c r="AF991" i="3"/>
  <c r="AE991" i="3"/>
  <c r="AD991" i="3"/>
  <c r="AC991" i="3"/>
  <c r="AB991" i="3"/>
  <c r="AA991" i="3"/>
  <c r="Z991" i="3"/>
  <c r="AG990" i="3"/>
  <c r="AF990" i="3"/>
  <c r="AE990" i="3"/>
  <c r="AD990" i="3"/>
  <c r="AC990" i="3"/>
  <c r="AB990" i="3"/>
  <c r="AA990" i="3"/>
  <c r="Z990" i="3"/>
  <c r="AG989" i="3"/>
  <c r="AF989" i="3"/>
  <c r="AE989" i="3"/>
  <c r="AD989" i="3"/>
  <c r="AC989" i="3"/>
  <c r="AB989" i="3"/>
  <c r="AA989" i="3"/>
  <c r="Z989" i="3"/>
  <c r="AG988" i="3"/>
  <c r="AF988" i="3"/>
  <c r="AE988" i="3"/>
  <c r="AD988" i="3"/>
  <c r="AC988" i="3"/>
  <c r="AB988" i="3"/>
  <c r="AA988" i="3"/>
  <c r="Z988" i="3"/>
  <c r="AG987" i="3"/>
  <c r="AF987" i="3"/>
  <c r="AE987" i="3"/>
  <c r="AD987" i="3"/>
  <c r="AC987" i="3"/>
  <c r="AB987" i="3"/>
  <c r="AA987" i="3"/>
  <c r="Z987" i="3"/>
  <c r="AG986" i="3"/>
  <c r="AF986" i="3"/>
  <c r="AE986" i="3"/>
  <c r="AD986" i="3"/>
  <c r="AC986" i="3"/>
  <c r="AB986" i="3"/>
  <c r="AA986" i="3"/>
  <c r="Z986" i="3"/>
  <c r="AG985" i="3"/>
  <c r="AF985" i="3"/>
  <c r="AE985" i="3"/>
  <c r="AD985" i="3"/>
  <c r="AC985" i="3"/>
  <c r="AB985" i="3"/>
  <c r="AA985" i="3"/>
  <c r="Z985" i="3"/>
  <c r="AG984" i="3"/>
  <c r="AF984" i="3"/>
  <c r="AE984" i="3"/>
  <c r="AD984" i="3"/>
  <c r="AC984" i="3"/>
  <c r="AB984" i="3"/>
  <c r="AA984" i="3"/>
  <c r="Z984" i="3"/>
  <c r="AG983" i="3"/>
  <c r="AF983" i="3"/>
  <c r="AE983" i="3"/>
  <c r="AD983" i="3"/>
  <c r="AC983" i="3"/>
  <c r="AB983" i="3"/>
  <c r="AA983" i="3"/>
  <c r="Z983" i="3"/>
  <c r="AG982" i="3"/>
  <c r="AF982" i="3"/>
  <c r="AE982" i="3"/>
  <c r="AD982" i="3"/>
  <c r="AC982" i="3"/>
  <c r="AB982" i="3"/>
  <c r="AA982" i="3"/>
  <c r="Z982" i="3"/>
  <c r="AG981" i="3"/>
  <c r="AF981" i="3"/>
  <c r="AE981" i="3"/>
  <c r="AD981" i="3"/>
  <c r="AC981" i="3"/>
  <c r="AB981" i="3"/>
  <c r="AA981" i="3"/>
  <c r="Z981" i="3"/>
  <c r="AG980" i="3"/>
  <c r="AF980" i="3"/>
  <c r="AE980" i="3"/>
  <c r="AD980" i="3"/>
  <c r="AC980" i="3"/>
  <c r="AB980" i="3"/>
  <c r="AA980" i="3"/>
  <c r="Z980" i="3"/>
  <c r="AG979" i="3"/>
  <c r="AF979" i="3"/>
  <c r="AE979" i="3"/>
  <c r="AD979" i="3"/>
  <c r="AC979" i="3"/>
  <c r="AB979" i="3"/>
  <c r="AA979" i="3"/>
  <c r="Z979" i="3"/>
  <c r="AG978" i="3"/>
  <c r="AF978" i="3"/>
  <c r="AE978" i="3"/>
  <c r="AD978" i="3"/>
  <c r="AC978" i="3"/>
  <c r="AB978" i="3"/>
  <c r="AA978" i="3"/>
  <c r="Z978" i="3"/>
  <c r="AG977" i="3"/>
  <c r="AF977" i="3"/>
  <c r="AE977" i="3"/>
  <c r="AD977" i="3"/>
  <c r="AC977" i="3"/>
  <c r="AB977" i="3"/>
  <c r="AA977" i="3"/>
  <c r="Z977" i="3"/>
  <c r="AG976" i="3"/>
  <c r="AF976" i="3"/>
  <c r="AE976" i="3"/>
  <c r="AD976" i="3"/>
  <c r="AC976" i="3"/>
  <c r="AB976" i="3"/>
  <c r="AA976" i="3"/>
  <c r="Z976" i="3"/>
  <c r="AG975" i="3"/>
  <c r="AF975" i="3"/>
  <c r="AE975" i="3"/>
  <c r="AD975" i="3"/>
  <c r="AC975" i="3"/>
  <c r="AB975" i="3"/>
  <c r="AA975" i="3"/>
  <c r="Z975" i="3"/>
  <c r="AG974" i="3"/>
  <c r="AF974" i="3"/>
  <c r="AE974" i="3"/>
  <c r="AD974" i="3"/>
  <c r="AC974" i="3"/>
  <c r="AB974" i="3"/>
  <c r="AA974" i="3"/>
  <c r="Z974" i="3"/>
  <c r="AG973" i="3"/>
  <c r="AF973" i="3"/>
  <c r="AE973" i="3"/>
  <c r="AD973" i="3"/>
  <c r="AC973" i="3"/>
  <c r="AB973" i="3"/>
  <c r="AA973" i="3"/>
  <c r="Z973" i="3"/>
  <c r="AG972" i="3"/>
  <c r="AF972" i="3"/>
  <c r="AE972" i="3"/>
  <c r="AD972" i="3"/>
  <c r="AC972" i="3"/>
  <c r="AB972" i="3"/>
  <c r="AA972" i="3"/>
  <c r="Z972" i="3"/>
  <c r="AG971" i="3"/>
  <c r="AF971" i="3"/>
  <c r="AE971" i="3"/>
  <c r="AD971" i="3"/>
  <c r="AC971" i="3"/>
  <c r="AB971" i="3"/>
  <c r="AA971" i="3"/>
  <c r="Z971" i="3"/>
  <c r="AG970" i="3"/>
  <c r="AF970" i="3"/>
  <c r="AE970" i="3"/>
  <c r="AD970" i="3"/>
  <c r="AC970" i="3"/>
  <c r="AB970" i="3"/>
  <c r="AA970" i="3"/>
  <c r="Z970" i="3"/>
  <c r="AG969" i="3"/>
  <c r="AF969" i="3"/>
  <c r="AE969" i="3"/>
  <c r="AD969" i="3"/>
  <c r="AC969" i="3"/>
  <c r="AB969" i="3"/>
  <c r="AA969" i="3"/>
  <c r="Z969" i="3"/>
  <c r="AG968" i="3"/>
  <c r="AF968" i="3"/>
  <c r="AE968" i="3"/>
  <c r="AD968" i="3"/>
  <c r="AC968" i="3"/>
  <c r="AB968" i="3"/>
  <c r="AA968" i="3"/>
  <c r="Z968" i="3"/>
  <c r="AG967" i="3"/>
  <c r="AF967" i="3"/>
  <c r="AE967" i="3"/>
  <c r="AD967" i="3"/>
  <c r="AC967" i="3"/>
  <c r="AB967" i="3"/>
  <c r="AA967" i="3"/>
  <c r="Z967" i="3"/>
  <c r="AG966" i="3"/>
  <c r="AF966" i="3"/>
  <c r="AE966" i="3"/>
  <c r="AD966" i="3"/>
  <c r="AC966" i="3"/>
  <c r="AB966" i="3"/>
  <c r="AA966" i="3"/>
  <c r="Z966" i="3"/>
  <c r="AG965" i="3"/>
  <c r="AF965" i="3"/>
  <c r="AE965" i="3"/>
  <c r="AD965" i="3"/>
  <c r="AC965" i="3"/>
  <c r="AB965" i="3"/>
  <c r="AA965" i="3"/>
  <c r="Z965" i="3"/>
  <c r="AG964" i="3"/>
  <c r="AF964" i="3"/>
  <c r="AE964" i="3"/>
  <c r="AD964" i="3"/>
  <c r="AC964" i="3"/>
  <c r="AB964" i="3"/>
  <c r="AA964" i="3"/>
  <c r="Z964" i="3"/>
  <c r="AG963" i="3"/>
  <c r="AF963" i="3"/>
  <c r="AE963" i="3"/>
  <c r="AD963" i="3"/>
  <c r="AC963" i="3"/>
  <c r="AB963" i="3"/>
  <c r="AA963" i="3"/>
  <c r="Z963" i="3"/>
  <c r="AG962" i="3"/>
  <c r="AF962" i="3"/>
  <c r="AE962" i="3"/>
  <c r="AD962" i="3"/>
  <c r="AC962" i="3"/>
  <c r="AB962" i="3"/>
  <c r="AA962" i="3"/>
  <c r="Z962" i="3"/>
  <c r="AG961" i="3"/>
  <c r="AF961" i="3"/>
  <c r="AE961" i="3"/>
  <c r="AD961" i="3"/>
  <c r="AC961" i="3"/>
  <c r="AB961" i="3"/>
  <c r="AA961" i="3"/>
  <c r="Z961" i="3"/>
  <c r="AG960" i="3"/>
  <c r="AF960" i="3"/>
  <c r="AE960" i="3"/>
  <c r="AD960" i="3"/>
  <c r="AC960" i="3"/>
  <c r="AB960" i="3"/>
  <c r="AA960" i="3"/>
  <c r="Z960" i="3"/>
  <c r="AG959" i="3"/>
  <c r="AF959" i="3"/>
  <c r="AE959" i="3"/>
  <c r="AD959" i="3"/>
  <c r="AC959" i="3"/>
  <c r="AB959" i="3"/>
  <c r="AA959" i="3"/>
  <c r="Z959" i="3"/>
  <c r="AG958" i="3"/>
  <c r="AF958" i="3"/>
  <c r="AE958" i="3"/>
  <c r="AD958" i="3"/>
  <c r="AC958" i="3"/>
  <c r="AB958" i="3"/>
  <c r="AA958" i="3"/>
  <c r="Z958" i="3"/>
  <c r="AG957" i="3"/>
  <c r="AF957" i="3"/>
  <c r="AE957" i="3"/>
  <c r="AD957" i="3"/>
  <c r="AC957" i="3"/>
  <c r="AB957" i="3"/>
  <c r="AA957" i="3"/>
  <c r="Z957" i="3"/>
  <c r="AG956" i="3"/>
  <c r="AF956" i="3"/>
  <c r="AE956" i="3"/>
  <c r="AD956" i="3"/>
  <c r="AC956" i="3"/>
  <c r="AB956" i="3"/>
  <c r="AA956" i="3"/>
  <c r="Z956" i="3"/>
  <c r="AG955" i="3"/>
  <c r="AF955" i="3"/>
  <c r="AE955" i="3"/>
  <c r="AD955" i="3"/>
  <c r="AC955" i="3"/>
  <c r="AB955" i="3"/>
  <c r="AA955" i="3"/>
  <c r="Z955" i="3"/>
  <c r="AG954" i="3"/>
  <c r="AF954" i="3"/>
  <c r="AE954" i="3"/>
  <c r="AD954" i="3"/>
  <c r="AC954" i="3"/>
  <c r="AB954" i="3"/>
  <c r="AA954" i="3"/>
  <c r="Z954" i="3"/>
  <c r="AG953" i="3"/>
  <c r="AF953" i="3"/>
  <c r="AE953" i="3"/>
  <c r="AD953" i="3"/>
  <c r="AC953" i="3"/>
  <c r="AB953" i="3"/>
  <c r="AA953" i="3"/>
  <c r="Z953" i="3"/>
  <c r="AG952" i="3"/>
  <c r="AF952" i="3"/>
  <c r="AE952" i="3"/>
  <c r="AD952" i="3"/>
  <c r="AC952" i="3"/>
  <c r="AB952" i="3"/>
  <c r="AA952" i="3"/>
  <c r="Z952" i="3"/>
  <c r="AG951" i="3"/>
  <c r="AF951" i="3"/>
  <c r="AE951" i="3"/>
  <c r="AD951" i="3"/>
  <c r="AC951" i="3"/>
  <c r="AB951" i="3"/>
  <c r="AA951" i="3"/>
  <c r="Z951" i="3"/>
  <c r="AG950" i="3"/>
  <c r="AF950" i="3"/>
  <c r="AE950" i="3"/>
  <c r="AD950" i="3"/>
  <c r="AC950" i="3"/>
  <c r="AB950" i="3"/>
  <c r="AA950" i="3"/>
  <c r="Z950" i="3"/>
  <c r="AG949" i="3"/>
  <c r="AF949" i="3"/>
  <c r="AE949" i="3"/>
  <c r="AD949" i="3"/>
  <c r="AC949" i="3"/>
  <c r="AB949" i="3"/>
  <c r="AA949" i="3"/>
  <c r="Z949" i="3"/>
  <c r="AG948" i="3"/>
  <c r="AF948" i="3"/>
  <c r="AE948" i="3"/>
  <c r="AD948" i="3"/>
  <c r="AC948" i="3"/>
  <c r="AB948" i="3"/>
  <c r="AA948" i="3"/>
  <c r="Z948" i="3"/>
  <c r="AG947" i="3"/>
  <c r="AF947" i="3"/>
  <c r="AE947" i="3"/>
  <c r="AD947" i="3"/>
  <c r="AC947" i="3"/>
  <c r="AB947" i="3"/>
  <c r="AA947" i="3"/>
  <c r="Z947" i="3"/>
  <c r="AG946" i="3"/>
  <c r="AF946" i="3"/>
  <c r="AE946" i="3"/>
  <c r="AD946" i="3"/>
  <c r="AC946" i="3"/>
  <c r="AB946" i="3"/>
  <c r="AA946" i="3"/>
  <c r="Z946" i="3"/>
  <c r="AG945" i="3"/>
  <c r="AF945" i="3"/>
  <c r="AE945" i="3"/>
  <c r="AD945" i="3"/>
  <c r="AC945" i="3"/>
  <c r="AB945" i="3"/>
  <c r="AA945" i="3"/>
  <c r="Z945" i="3"/>
  <c r="AG944" i="3"/>
  <c r="AF944" i="3"/>
  <c r="AE944" i="3"/>
  <c r="AD944" i="3"/>
  <c r="AC944" i="3"/>
  <c r="AB944" i="3"/>
  <c r="AA944" i="3"/>
  <c r="Z944" i="3"/>
  <c r="AG943" i="3"/>
  <c r="AF943" i="3"/>
  <c r="AE943" i="3"/>
  <c r="AD943" i="3"/>
  <c r="AC943" i="3"/>
  <c r="AB943" i="3"/>
  <c r="AA943" i="3"/>
  <c r="Z943" i="3"/>
  <c r="AG942" i="3"/>
  <c r="AF942" i="3"/>
  <c r="AE942" i="3"/>
  <c r="AD942" i="3"/>
  <c r="AC942" i="3"/>
  <c r="AB942" i="3"/>
  <c r="AA942" i="3"/>
  <c r="Z942" i="3"/>
  <c r="AG941" i="3"/>
  <c r="AF941" i="3"/>
  <c r="AE941" i="3"/>
  <c r="AD941" i="3"/>
  <c r="AC941" i="3"/>
  <c r="AB941" i="3"/>
  <c r="AA941" i="3"/>
  <c r="Z941" i="3"/>
  <c r="AG940" i="3"/>
  <c r="AF940" i="3"/>
  <c r="AE940" i="3"/>
  <c r="AD940" i="3"/>
  <c r="AC940" i="3"/>
  <c r="AB940" i="3"/>
  <c r="AA940" i="3"/>
  <c r="Z940" i="3"/>
  <c r="AG939" i="3"/>
  <c r="AF939" i="3"/>
  <c r="AE939" i="3"/>
  <c r="AD939" i="3"/>
  <c r="AC939" i="3"/>
  <c r="AB939" i="3"/>
  <c r="AA939" i="3"/>
  <c r="Z939" i="3"/>
  <c r="AG938" i="3"/>
  <c r="AF938" i="3"/>
  <c r="AE938" i="3"/>
  <c r="AD938" i="3"/>
  <c r="AC938" i="3"/>
  <c r="AB938" i="3"/>
  <c r="AA938" i="3"/>
  <c r="Z938" i="3"/>
  <c r="AG937" i="3"/>
  <c r="AF937" i="3"/>
  <c r="AE937" i="3"/>
  <c r="AD937" i="3"/>
  <c r="AC937" i="3"/>
  <c r="AB937" i="3"/>
  <c r="AA937" i="3"/>
  <c r="Z937" i="3"/>
  <c r="AG936" i="3"/>
  <c r="AF936" i="3"/>
  <c r="AE936" i="3"/>
  <c r="AD936" i="3"/>
  <c r="AC936" i="3"/>
  <c r="AB936" i="3"/>
  <c r="AA936" i="3"/>
  <c r="Z936" i="3"/>
  <c r="AG935" i="3"/>
  <c r="AF935" i="3"/>
  <c r="AE935" i="3"/>
  <c r="AD935" i="3"/>
  <c r="AC935" i="3"/>
  <c r="AB935" i="3"/>
  <c r="AA935" i="3"/>
  <c r="Z935" i="3"/>
  <c r="AG934" i="3"/>
  <c r="AF934" i="3"/>
  <c r="AE934" i="3"/>
  <c r="AD934" i="3"/>
  <c r="AC934" i="3"/>
  <c r="AB934" i="3"/>
  <c r="AA934" i="3"/>
  <c r="Z934" i="3"/>
  <c r="AG933" i="3"/>
  <c r="AF933" i="3"/>
  <c r="AE933" i="3"/>
  <c r="AD933" i="3"/>
  <c r="AC933" i="3"/>
  <c r="AB933" i="3"/>
  <c r="AA933" i="3"/>
  <c r="Z933" i="3"/>
  <c r="AG932" i="3"/>
  <c r="AF932" i="3"/>
  <c r="AE932" i="3"/>
  <c r="AD932" i="3"/>
  <c r="AC932" i="3"/>
  <c r="AB932" i="3"/>
  <c r="AA932" i="3"/>
  <c r="Z932" i="3"/>
  <c r="AG931" i="3"/>
  <c r="AF931" i="3"/>
  <c r="AE931" i="3"/>
  <c r="AD931" i="3"/>
  <c r="AC931" i="3"/>
  <c r="AB931" i="3"/>
  <c r="AA931" i="3"/>
  <c r="Z931" i="3"/>
  <c r="AG930" i="3"/>
  <c r="AF930" i="3"/>
  <c r="AE930" i="3"/>
  <c r="AD930" i="3"/>
  <c r="AC930" i="3"/>
  <c r="AB930" i="3"/>
  <c r="AA930" i="3"/>
  <c r="Z930" i="3"/>
  <c r="AG929" i="3"/>
  <c r="AF929" i="3"/>
  <c r="AE929" i="3"/>
  <c r="AD929" i="3"/>
  <c r="AC929" i="3"/>
  <c r="AB929" i="3"/>
  <c r="AA929" i="3"/>
  <c r="Z929" i="3"/>
  <c r="AG928" i="3"/>
  <c r="AF928" i="3"/>
  <c r="AE928" i="3"/>
  <c r="AD928" i="3"/>
  <c r="AC928" i="3"/>
  <c r="AB928" i="3"/>
  <c r="AA928" i="3"/>
  <c r="Z928" i="3"/>
  <c r="AG927" i="3"/>
  <c r="AF927" i="3"/>
  <c r="AE927" i="3"/>
  <c r="AD927" i="3"/>
  <c r="AC927" i="3"/>
  <c r="AB927" i="3"/>
  <c r="AA927" i="3"/>
  <c r="Z927" i="3"/>
  <c r="AG926" i="3"/>
  <c r="AF926" i="3"/>
  <c r="AE926" i="3"/>
  <c r="AD926" i="3"/>
  <c r="AC926" i="3"/>
  <c r="AB926" i="3"/>
  <c r="AA926" i="3"/>
  <c r="Z926" i="3"/>
  <c r="AG925" i="3"/>
  <c r="AF925" i="3"/>
  <c r="AE925" i="3"/>
  <c r="AD925" i="3"/>
  <c r="AC925" i="3"/>
  <c r="AB925" i="3"/>
  <c r="AA925" i="3"/>
  <c r="Z925" i="3"/>
  <c r="AG924" i="3"/>
  <c r="AF924" i="3"/>
  <c r="AE924" i="3"/>
  <c r="AD924" i="3"/>
  <c r="AC924" i="3"/>
  <c r="AB924" i="3"/>
  <c r="AA924" i="3"/>
  <c r="Z924" i="3"/>
  <c r="AG923" i="3"/>
  <c r="AF923" i="3"/>
  <c r="AE923" i="3"/>
  <c r="AD923" i="3"/>
  <c r="AC923" i="3"/>
  <c r="AB923" i="3"/>
  <c r="AA923" i="3"/>
  <c r="Z923" i="3"/>
  <c r="AG922" i="3"/>
  <c r="AF922" i="3"/>
  <c r="AE922" i="3"/>
  <c r="AD922" i="3"/>
  <c r="AC922" i="3"/>
  <c r="AB922" i="3"/>
  <c r="AA922" i="3"/>
  <c r="Z922" i="3"/>
  <c r="AG921" i="3"/>
  <c r="AF921" i="3"/>
  <c r="AE921" i="3"/>
  <c r="AD921" i="3"/>
  <c r="AC921" i="3"/>
  <c r="AB921" i="3"/>
  <c r="AA921" i="3"/>
  <c r="Z921" i="3"/>
  <c r="AG920" i="3"/>
  <c r="AF920" i="3"/>
  <c r="AE920" i="3"/>
  <c r="AD920" i="3"/>
  <c r="AC920" i="3"/>
  <c r="AB920" i="3"/>
  <c r="AA920" i="3"/>
  <c r="Z920" i="3"/>
  <c r="AG919" i="3"/>
  <c r="AF919" i="3"/>
  <c r="AE919" i="3"/>
  <c r="AD919" i="3"/>
  <c r="AC919" i="3"/>
  <c r="AB919" i="3"/>
  <c r="AA919" i="3"/>
  <c r="Z919" i="3"/>
  <c r="AG918" i="3"/>
  <c r="AF918" i="3"/>
  <c r="AE918" i="3"/>
  <c r="AD918" i="3"/>
  <c r="AC918" i="3"/>
  <c r="AB918" i="3"/>
  <c r="AA918" i="3"/>
  <c r="Z918" i="3"/>
  <c r="AG917" i="3"/>
  <c r="AF917" i="3"/>
  <c r="AE917" i="3"/>
  <c r="AD917" i="3"/>
  <c r="AC917" i="3"/>
  <c r="AB917" i="3"/>
  <c r="AA917" i="3"/>
  <c r="Z917" i="3"/>
  <c r="AG916" i="3"/>
  <c r="AF916" i="3"/>
  <c r="AE916" i="3"/>
  <c r="AD916" i="3"/>
  <c r="AC916" i="3"/>
  <c r="AB916" i="3"/>
  <c r="AA916" i="3"/>
  <c r="Z916" i="3"/>
  <c r="AG915" i="3"/>
  <c r="AF915" i="3"/>
  <c r="AE915" i="3"/>
  <c r="AD915" i="3"/>
  <c r="AC915" i="3"/>
  <c r="AB915" i="3"/>
  <c r="AA915" i="3"/>
  <c r="Z915" i="3"/>
  <c r="AG914" i="3"/>
  <c r="AF914" i="3"/>
  <c r="AE914" i="3"/>
  <c r="AD914" i="3"/>
  <c r="AC914" i="3"/>
  <c r="AB914" i="3"/>
  <c r="AA914" i="3"/>
  <c r="Z914" i="3"/>
  <c r="AG913" i="3"/>
  <c r="AF913" i="3"/>
  <c r="AE913" i="3"/>
  <c r="AD913" i="3"/>
  <c r="AC913" i="3"/>
  <c r="AB913" i="3"/>
  <c r="AA913" i="3"/>
  <c r="Z913" i="3"/>
  <c r="AG912" i="3"/>
  <c r="AF912" i="3"/>
  <c r="AE912" i="3"/>
  <c r="AD912" i="3"/>
  <c r="AC912" i="3"/>
  <c r="AB912" i="3"/>
  <c r="AA912" i="3"/>
  <c r="Z912" i="3"/>
  <c r="AG911" i="3"/>
  <c r="AF911" i="3"/>
  <c r="AE911" i="3"/>
  <c r="AD911" i="3"/>
  <c r="AC911" i="3"/>
  <c r="AB911" i="3"/>
  <c r="AA911" i="3"/>
  <c r="Z911" i="3"/>
  <c r="AG910" i="3"/>
  <c r="AF910" i="3"/>
  <c r="AE910" i="3"/>
  <c r="AD910" i="3"/>
  <c r="AC910" i="3"/>
  <c r="AB910" i="3"/>
  <c r="AA910" i="3"/>
  <c r="Z910" i="3"/>
  <c r="AG909" i="3"/>
  <c r="AF909" i="3"/>
  <c r="AE909" i="3"/>
  <c r="AD909" i="3"/>
  <c r="AC909" i="3"/>
  <c r="AB909" i="3"/>
  <c r="AA909" i="3"/>
  <c r="Z909" i="3"/>
  <c r="AG908" i="3"/>
  <c r="AF908" i="3"/>
  <c r="AE908" i="3"/>
  <c r="AD908" i="3"/>
  <c r="AC908" i="3"/>
  <c r="AB908" i="3"/>
  <c r="AA908" i="3"/>
  <c r="Z908" i="3"/>
  <c r="AG907" i="3"/>
  <c r="AF907" i="3"/>
  <c r="AE907" i="3"/>
  <c r="AD907" i="3"/>
  <c r="AC907" i="3"/>
  <c r="AB907" i="3"/>
  <c r="AA907" i="3"/>
  <c r="Z907" i="3"/>
  <c r="AG906" i="3"/>
  <c r="AF906" i="3"/>
  <c r="AE906" i="3"/>
  <c r="AD906" i="3"/>
  <c r="AC906" i="3"/>
  <c r="AB906" i="3"/>
  <c r="AA906" i="3"/>
  <c r="Z906" i="3"/>
  <c r="AG905" i="3"/>
  <c r="AF905" i="3"/>
  <c r="AE905" i="3"/>
  <c r="AD905" i="3"/>
  <c r="AC905" i="3"/>
  <c r="AB905" i="3"/>
  <c r="AA905" i="3"/>
  <c r="Z905" i="3"/>
  <c r="AG904" i="3"/>
  <c r="AF904" i="3"/>
  <c r="AE904" i="3"/>
  <c r="AD904" i="3"/>
  <c r="AC904" i="3"/>
  <c r="AB904" i="3"/>
  <c r="AA904" i="3"/>
  <c r="Z904" i="3"/>
  <c r="AG903" i="3"/>
  <c r="AF903" i="3"/>
  <c r="AE903" i="3"/>
  <c r="AD903" i="3"/>
  <c r="AC903" i="3"/>
  <c r="AB903" i="3"/>
  <c r="AA903" i="3"/>
  <c r="Z903" i="3"/>
  <c r="AG902" i="3"/>
  <c r="AF902" i="3"/>
  <c r="AE902" i="3"/>
  <c r="AD902" i="3"/>
  <c r="AC902" i="3"/>
  <c r="AB902" i="3"/>
  <c r="AA902" i="3"/>
  <c r="Z902" i="3"/>
  <c r="AG901" i="3"/>
  <c r="AF901" i="3"/>
  <c r="AE901" i="3"/>
  <c r="AD901" i="3"/>
  <c r="AC901" i="3"/>
  <c r="AB901" i="3"/>
  <c r="AA901" i="3"/>
  <c r="Z901" i="3"/>
  <c r="AG900" i="3"/>
  <c r="AF900" i="3"/>
  <c r="AE900" i="3"/>
  <c r="AD900" i="3"/>
  <c r="AC900" i="3"/>
  <c r="AB900" i="3"/>
  <c r="AA900" i="3"/>
  <c r="Z900" i="3"/>
  <c r="AG899" i="3"/>
  <c r="AF899" i="3"/>
  <c r="AE899" i="3"/>
  <c r="AD899" i="3"/>
  <c r="AC899" i="3"/>
  <c r="AB899" i="3"/>
  <c r="AA899" i="3"/>
  <c r="Z899" i="3"/>
  <c r="AG898" i="3"/>
  <c r="AF898" i="3"/>
  <c r="AE898" i="3"/>
  <c r="AD898" i="3"/>
  <c r="AC898" i="3"/>
  <c r="AB898" i="3"/>
  <c r="AA898" i="3"/>
  <c r="Z898" i="3"/>
  <c r="AG897" i="3"/>
  <c r="AF897" i="3"/>
  <c r="AE897" i="3"/>
  <c r="AD897" i="3"/>
  <c r="AC897" i="3"/>
  <c r="AB897" i="3"/>
  <c r="AA897" i="3"/>
  <c r="Z897" i="3"/>
  <c r="AG896" i="3"/>
  <c r="AF896" i="3"/>
  <c r="AE896" i="3"/>
  <c r="AD896" i="3"/>
  <c r="AC896" i="3"/>
  <c r="AB896" i="3"/>
  <c r="AA896" i="3"/>
  <c r="Z896" i="3"/>
  <c r="AG895" i="3"/>
  <c r="AF895" i="3"/>
  <c r="AE895" i="3"/>
  <c r="AD895" i="3"/>
  <c r="AC895" i="3"/>
  <c r="AB895" i="3"/>
  <c r="AA895" i="3"/>
  <c r="Z895" i="3"/>
  <c r="AG894" i="3"/>
  <c r="AF894" i="3"/>
  <c r="AE894" i="3"/>
  <c r="AD894" i="3"/>
  <c r="AC894" i="3"/>
  <c r="AB894" i="3"/>
  <c r="AA894" i="3"/>
  <c r="Z894" i="3"/>
  <c r="AG893" i="3"/>
  <c r="AF893" i="3"/>
  <c r="AE893" i="3"/>
  <c r="AD893" i="3"/>
  <c r="AC893" i="3"/>
  <c r="AB893" i="3"/>
  <c r="AA893" i="3"/>
  <c r="Z893" i="3"/>
  <c r="AG892" i="3"/>
  <c r="AF892" i="3"/>
  <c r="AE892" i="3"/>
  <c r="AD892" i="3"/>
  <c r="AC892" i="3"/>
  <c r="AB892" i="3"/>
  <c r="AA892" i="3"/>
  <c r="Z892" i="3"/>
  <c r="AG891" i="3"/>
  <c r="AF891" i="3"/>
  <c r="AE891" i="3"/>
  <c r="AD891" i="3"/>
  <c r="AC891" i="3"/>
  <c r="AB891" i="3"/>
  <c r="AA891" i="3"/>
  <c r="Z891" i="3"/>
  <c r="AG890" i="3"/>
  <c r="AF890" i="3"/>
  <c r="AE890" i="3"/>
  <c r="AD890" i="3"/>
  <c r="AC890" i="3"/>
  <c r="AB890" i="3"/>
  <c r="AA890" i="3"/>
  <c r="Z890" i="3"/>
  <c r="AG889" i="3"/>
  <c r="AF889" i="3"/>
  <c r="AE889" i="3"/>
  <c r="AD889" i="3"/>
  <c r="AC889" i="3"/>
  <c r="AB889" i="3"/>
  <c r="AA889" i="3"/>
  <c r="Z889" i="3"/>
  <c r="AG888" i="3"/>
  <c r="AF888" i="3"/>
  <c r="AE888" i="3"/>
  <c r="AD888" i="3"/>
  <c r="AC888" i="3"/>
  <c r="AB888" i="3"/>
  <c r="AA888" i="3"/>
  <c r="Z888" i="3"/>
  <c r="AG887" i="3"/>
  <c r="AF887" i="3"/>
  <c r="AE887" i="3"/>
  <c r="AD887" i="3"/>
  <c r="AC887" i="3"/>
  <c r="AB887" i="3"/>
  <c r="AA887" i="3"/>
  <c r="Z887" i="3"/>
  <c r="AG886" i="3"/>
  <c r="AF886" i="3"/>
  <c r="AE886" i="3"/>
  <c r="AD886" i="3"/>
  <c r="AC886" i="3"/>
  <c r="AB886" i="3"/>
  <c r="AA886" i="3"/>
  <c r="Z886" i="3"/>
  <c r="AG885" i="3"/>
  <c r="AF885" i="3"/>
  <c r="AE885" i="3"/>
  <c r="AD885" i="3"/>
  <c r="AC885" i="3"/>
  <c r="AB885" i="3"/>
  <c r="AA885" i="3"/>
  <c r="Z885" i="3"/>
  <c r="AG884" i="3"/>
  <c r="AF884" i="3"/>
  <c r="AE884" i="3"/>
  <c r="AD884" i="3"/>
  <c r="AC884" i="3"/>
  <c r="AB884" i="3"/>
  <c r="AA884" i="3"/>
  <c r="Z884" i="3"/>
  <c r="AG883" i="3"/>
  <c r="AF883" i="3"/>
  <c r="AE883" i="3"/>
  <c r="AD883" i="3"/>
  <c r="AC883" i="3"/>
  <c r="AB883" i="3"/>
  <c r="AA883" i="3"/>
  <c r="Z883" i="3"/>
  <c r="AG882" i="3"/>
  <c r="AF882" i="3"/>
  <c r="AE882" i="3"/>
  <c r="AD882" i="3"/>
  <c r="AC882" i="3"/>
  <c r="AB882" i="3"/>
  <c r="AA882" i="3"/>
  <c r="Z882" i="3"/>
  <c r="AG881" i="3"/>
  <c r="AF881" i="3"/>
  <c r="AE881" i="3"/>
  <c r="AD881" i="3"/>
  <c r="AC881" i="3"/>
  <c r="AB881" i="3"/>
  <c r="AA881" i="3"/>
  <c r="Z881" i="3"/>
  <c r="AG880" i="3"/>
  <c r="AF880" i="3"/>
  <c r="AE880" i="3"/>
  <c r="AD880" i="3"/>
  <c r="AC880" i="3"/>
  <c r="AB880" i="3"/>
  <c r="AA880" i="3"/>
  <c r="Z880" i="3"/>
  <c r="AG879" i="3"/>
  <c r="AF879" i="3"/>
  <c r="AE879" i="3"/>
  <c r="AD879" i="3"/>
  <c r="AC879" i="3"/>
  <c r="AB879" i="3"/>
  <c r="AA879" i="3"/>
  <c r="Z879" i="3"/>
  <c r="AG878" i="3"/>
  <c r="AF878" i="3"/>
  <c r="AE878" i="3"/>
  <c r="AD878" i="3"/>
  <c r="AC878" i="3"/>
  <c r="AB878" i="3"/>
  <c r="AA878" i="3"/>
  <c r="Z878" i="3"/>
  <c r="AG877" i="3"/>
  <c r="AF877" i="3"/>
  <c r="AE877" i="3"/>
  <c r="AD877" i="3"/>
  <c r="AC877" i="3"/>
  <c r="AB877" i="3"/>
  <c r="AA877" i="3"/>
  <c r="Z877" i="3"/>
  <c r="AG876" i="3"/>
  <c r="AF876" i="3"/>
  <c r="AE876" i="3"/>
  <c r="AD876" i="3"/>
  <c r="AC876" i="3"/>
  <c r="AB876" i="3"/>
  <c r="AA876" i="3"/>
  <c r="Z876" i="3"/>
  <c r="AG875" i="3"/>
  <c r="AF875" i="3"/>
  <c r="AE875" i="3"/>
  <c r="AD875" i="3"/>
  <c r="AC875" i="3"/>
  <c r="AB875" i="3"/>
  <c r="AA875" i="3"/>
  <c r="Z875" i="3"/>
  <c r="AG874" i="3"/>
  <c r="AF874" i="3"/>
  <c r="AE874" i="3"/>
  <c r="AD874" i="3"/>
  <c r="AC874" i="3"/>
  <c r="AB874" i="3"/>
  <c r="AA874" i="3"/>
  <c r="Z874" i="3"/>
  <c r="AG873" i="3"/>
  <c r="AF873" i="3"/>
  <c r="AE873" i="3"/>
  <c r="AD873" i="3"/>
  <c r="AC873" i="3"/>
  <c r="AB873" i="3"/>
  <c r="AA873" i="3"/>
  <c r="Z873" i="3"/>
  <c r="AG872" i="3"/>
  <c r="AF872" i="3"/>
  <c r="AE872" i="3"/>
  <c r="AD872" i="3"/>
  <c r="AC872" i="3"/>
  <c r="AB872" i="3"/>
  <c r="AA872" i="3"/>
  <c r="Z872" i="3"/>
  <c r="AG871" i="3"/>
  <c r="AF871" i="3"/>
  <c r="AE871" i="3"/>
  <c r="AD871" i="3"/>
  <c r="AC871" i="3"/>
  <c r="AB871" i="3"/>
  <c r="AA871" i="3"/>
  <c r="Z871" i="3"/>
  <c r="AG870" i="3"/>
  <c r="AF870" i="3"/>
  <c r="AE870" i="3"/>
  <c r="AD870" i="3"/>
  <c r="AC870" i="3"/>
  <c r="AB870" i="3"/>
  <c r="AA870" i="3"/>
  <c r="Z870" i="3"/>
  <c r="AG869" i="3"/>
  <c r="AF869" i="3"/>
  <c r="AE869" i="3"/>
  <c r="AD869" i="3"/>
  <c r="AC869" i="3"/>
  <c r="AB869" i="3"/>
  <c r="AA869" i="3"/>
  <c r="Z869" i="3"/>
  <c r="AG868" i="3"/>
  <c r="AF868" i="3"/>
  <c r="AE868" i="3"/>
  <c r="AD868" i="3"/>
  <c r="AC868" i="3"/>
  <c r="AB868" i="3"/>
  <c r="AA868" i="3"/>
  <c r="Z868" i="3"/>
  <c r="AG867" i="3"/>
  <c r="AF867" i="3"/>
  <c r="AE867" i="3"/>
  <c r="AD867" i="3"/>
  <c r="AC867" i="3"/>
  <c r="AB867" i="3"/>
  <c r="AA867" i="3"/>
  <c r="Z867" i="3"/>
  <c r="AG866" i="3"/>
  <c r="AF866" i="3"/>
  <c r="AE866" i="3"/>
  <c r="AD866" i="3"/>
  <c r="AC866" i="3"/>
  <c r="AB866" i="3"/>
  <c r="AA866" i="3"/>
  <c r="Z866" i="3"/>
  <c r="AG865" i="3"/>
  <c r="AF865" i="3"/>
  <c r="AE865" i="3"/>
  <c r="AD865" i="3"/>
  <c r="AC865" i="3"/>
  <c r="AB865" i="3"/>
  <c r="AA865" i="3"/>
  <c r="Z865" i="3"/>
  <c r="AG864" i="3"/>
  <c r="AF864" i="3"/>
  <c r="AE864" i="3"/>
  <c r="AD864" i="3"/>
  <c r="AC864" i="3"/>
  <c r="AB864" i="3"/>
  <c r="AA864" i="3"/>
  <c r="Z864" i="3"/>
  <c r="AG863" i="3"/>
  <c r="AF863" i="3"/>
  <c r="AE863" i="3"/>
  <c r="AD863" i="3"/>
  <c r="AC863" i="3"/>
  <c r="AB863" i="3"/>
  <c r="AA863" i="3"/>
  <c r="Z863" i="3"/>
  <c r="AG862" i="3"/>
  <c r="AF862" i="3"/>
  <c r="AE862" i="3"/>
  <c r="AD862" i="3"/>
  <c r="AC862" i="3"/>
  <c r="AB862" i="3"/>
  <c r="AA862" i="3"/>
  <c r="Z862" i="3"/>
  <c r="AG861" i="3"/>
  <c r="AF861" i="3"/>
  <c r="AE861" i="3"/>
  <c r="AD861" i="3"/>
  <c r="AC861" i="3"/>
  <c r="AB861" i="3"/>
  <c r="AA861" i="3"/>
  <c r="Z861" i="3"/>
  <c r="AG860" i="3"/>
  <c r="AF860" i="3"/>
  <c r="AE860" i="3"/>
  <c r="AD860" i="3"/>
  <c r="AC860" i="3"/>
  <c r="AB860" i="3"/>
  <c r="AA860" i="3"/>
  <c r="Z860" i="3"/>
  <c r="AG859" i="3"/>
  <c r="AF859" i="3"/>
  <c r="AE859" i="3"/>
  <c r="AD859" i="3"/>
  <c r="AC859" i="3"/>
  <c r="AB859" i="3"/>
  <c r="AA859" i="3"/>
  <c r="Z859" i="3"/>
  <c r="AG858" i="3"/>
  <c r="AF858" i="3"/>
  <c r="AE858" i="3"/>
  <c r="AD858" i="3"/>
  <c r="AC858" i="3"/>
  <c r="AB858" i="3"/>
  <c r="AA858" i="3"/>
  <c r="Z858" i="3"/>
  <c r="AG857" i="3"/>
  <c r="AF857" i="3"/>
  <c r="AE857" i="3"/>
  <c r="AD857" i="3"/>
  <c r="AC857" i="3"/>
  <c r="AB857" i="3"/>
  <c r="AA857" i="3"/>
  <c r="Z857" i="3"/>
  <c r="AG856" i="3"/>
  <c r="AF856" i="3"/>
  <c r="AE856" i="3"/>
  <c r="AD856" i="3"/>
  <c r="AC856" i="3"/>
  <c r="AB856" i="3"/>
  <c r="AA856" i="3"/>
  <c r="Z856" i="3"/>
  <c r="AG855" i="3"/>
  <c r="AF855" i="3"/>
  <c r="AE855" i="3"/>
  <c r="AD855" i="3"/>
  <c r="AC855" i="3"/>
  <c r="AB855" i="3"/>
  <c r="AA855" i="3"/>
  <c r="Z855" i="3"/>
  <c r="AG854" i="3"/>
  <c r="AF854" i="3"/>
  <c r="AE854" i="3"/>
  <c r="AD854" i="3"/>
  <c r="AC854" i="3"/>
  <c r="AB854" i="3"/>
  <c r="AA854" i="3"/>
  <c r="Z854" i="3"/>
  <c r="AG853" i="3"/>
  <c r="AF853" i="3"/>
  <c r="AE853" i="3"/>
  <c r="AD853" i="3"/>
  <c r="AC853" i="3"/>
  <c r="AB853" i="3"/>
  <c r="AA853" i="3"/>
  <c r="Z853" i="3"/>
  <c r="AG852" i="3"/>
  <c r="AF852" i="3"/>
  <c r="AE852" i="3"/>
  <c r="AD852" i="3"/>
  <c r="AC852" i="3"/>
  <c r="AB852" i="3"/>
  <c r="AA852" i="3"/>
  <c r="Z852" i="3"/>
  <c r="AG851" i="3"/>
  <c r="AF851" i="3"/>
  <c r="AE851" i="3"/>
  <c r="AD851" i="3"/>
  <c r="AC851" i="3"/>
  <c r="AB851" i="3"/>
  <c r="AA851" i="3"/>
  <c r="Z851" i="3"/>
  <c r="AG850" i="3"/>
  <c r="AF850" i="3"/>
  <c r="AE850" i="3"/>
  <c r="AD850" i="3"/>
  <c r="AC850" i="3"/>
  <c r="AB850" i="3"/>
  <c r="AA850" i="3"/>
  <c r="Z850" i="3"/>
  <c r="AG849" i="3"/>
  <c r="AF849" i="3"/>
  <c r="AE849" i="3"/>
  <c r="AD849" i="3"/>
  <c r="AC849" i="3"/>
  <c r="AB849" i="3"/>
  <c r="AA849" i="3"/>
  <c r="Z849" i="3"/>
  <c r="AG848" i="3"/>
  <c r="AF848" i="3"/>
  <c r="AE848" i="3"/>
  <c r="AD848" i="3"/>
  <c r="AC848" i="3"/>
  <c r="AB848" i="3"/>
  <c r="AA848" i="3"/>
  <c r="Z848" i="3"/>
  <c r="AG847" i="3"/>
  <c r="AF847" i="3"/>
  <c r="AE847" i="3"/>
  <c r="AD847" i="3"/>
  <c r="AC847" i="3"/>
  <c r="AB847" i="3"/>
  <c r="AA847" i="3"/>
  <c r="Z847" i="3"/>
  <c r="AG846" i="3"/>
  <c r="AF846" i="3"/>
  <c r="AE846" i="3"/>
  <c r="AD846" i="3"/>
  <c r="AC846" i="3"/>
  <c r="AB846" i="3"/>
  <c r="AA846" i="3"/>
  <c r="Z846" i="3"/>
  <c r="AG845" i="3"/>
  <c r="AF845" i="3"/>
  <c r="AE845" i="3"/>
  <c r="AD845" i="3"/>
  <c r="AC845" i="3"/>
  <c r="AB845" i="3"/>
  <c r="AA845" i="3"/>
  <c r="Z845" i="3"/>
  <c r="AG844" i="3"/>
  <c r="AF844" i="3"/>
  <c r="AE844" i="3"/>
  <c r="AD844" i="3"/>
  <c r="AC844" i="3"/>
  <c r="AB844" i="3"/>
  <c r="AA844" i="3"/>
  <c r="Z844" i="3"/>
  <c r="AG843" i="3"/>
  <c r="AF843" i="3"/>
  <c r="AE843" i="3"/>
  <c r="AD843" i="3"/>
  <c r="AC843" i="3"/>
  <c r="AB843" i="3"/>
  <c r="AA843" i="3"/>
  <c r="Z843" i="3"/>
  <c r="AG842" i="3"/>
  <c r="AF842" i="3"/>
  <c r="AE842" i="3"/>
  <c r="AD842" i="3"/>
  <c r="AC842" i="3"/>
  <c r="AB842" i="3"/>
  <c r="AA842" i="3"/>
  <c r="Z842" i="3"/>
  <c r="AG841" i="3"/>
  <c r="AF841" i="3"/>
  <c r="AE841" i="3"/>
  <c r="AD841" i="3"/>
  <c r="AC841" i="3"/>
  <c r="AB841" i="3"/>
  <c r="AA841" i="3"/>
  <c r="Z841" i="3"/>
  <c r="AG840" i="3"/>
  <c r="AF840" i="3"/>
  <c r="AE840" i="3"/>
  <c r="AD840" i="3"/>
  <c r="AC840" i="3"/>
  <c r="AB840" i="3"/>
  <c r="AA840" i="3"/>
  <c r="Z840" i="3"/>
  <c r="AG839" i="3"/>
  <c r="AF839" i="3"/>
  <c r="AE839" i="3"/>
  <c r="AD839" i="3"/>
  <c r="AC839" i="3"/>
  <c r="AB839" i="3"/>
  <c r="AA839" i="3"/>
  <c r="Z839" i="3"/>
  <c r="AG838" i="3"/>
  <c r="AF838" i="3"/>
  <c r="AE838" i="3"/>
  <c r="AD838" i="3"/>
  <c r="AC838" i="3"/>
  <c r="AB838" i="3"/>
  <c r="AA838" i="3"/>
  <c r="Z838" i="3"/>
  <c r="AG837" i="3"/>
  <c r="AF837" i="3"/>
  <c r="AE837" i="3"/>
  <c r="AD837" i="3"/>
  <c r="AC837" i="3"/>
  <c r="AB837" i="3"/>
  <c r="AA837" i="3"/>
  <c r="Z837" i="3"/>
  <c r="AG836" i="3"/>
  <c r="AF836" i="3"/>
  <c r="AE836" i="3"/>
  <c r="AD836" i="3"/>
  <c r="AC836" i="3"/>
  <c r="AB836" i="3"/>
  <c r="AA836" i="3"/>
  <c r="Z836" i="3"/>
  <c r="AG835" i="3"/>
  <c r="AF835" i="3"/>
  <c r="AE835" i="3"/>
  <c r="AD835" i="3"/>
  <c r="AC835" i="3"/>
  <c r="AB835" i="3"/>
  <c r="AA835" i="3"/>
  <c r="Z835" i="3"/>
  <c r="AG834" i="3"/>
  <c r="AF834" i="3"/>
  <c r="AE834" i="3"/>
  <c r="AD834" i="3"/>
  <c r="AC834" i="3"/>
  <c r="AB834" i="3"/>
  <c r="AA834" i="3"/>
  <c r="Z834" i="3"/>
  <c r="AG833" i="3"/>
  <c r="AF833" i="3"/>
  <c r="AE833" i="3"/>
  <c r="AD833" i="3"/>
  <c r="AC833" i="3"/>
  <c r="AB833" i="3"/>
  <c r="AA833" i="3"/>
  <c r="Z833" i="3"/>
  <c r="AG832" i="3"/>
  <c r="AF832" i="3"/>
  <c r="AE832" i="3"/>
  <c r="AD832" i="3"/>
  <c r="AC832" i="3"/>
  <c r="AB832" i="3"/>
  <c r="AA832" i="3"/>
  <c r="Z832" i="3"/>
  <c r="AG831" i="3"/>
  <c r="AF831" i="3"/>
  <c r="AE831" i="3"/>
  <c r="AD831" i="3"/>
  <c r="AC831" i="3"/>
  <c r="AB831" i="3"/>
  <c r="AA831" i="3"/>
  <c r="Z831" i="3"/>
  <c r="AG830" i="3"/>
  <c r="AF830" i="3"/>
  <c r="AE830" i="3"/>
  <c r="AD830" i="3"/>
  <c r="AC830" i="3"/>
  <c r="AB830" i="3"/>
  <c r="AA830" i="3"/>
  <c r="Z830" i="3"/>
  <c r="AG829" i="3"/>
  <c r="AF829" i="3"/>
  <c r="AE829" i="3"/>
  <c r="AD829" i="3"/>
  <c r="AC829" i="3"/>
  <c r="AB829" i="3"/>
  <c r="AA829" i="3"/>
  <c r="Z829" i="3"/>
  <c r="AG828" i="3"/>
  <c r="AF828" i="3"/>
  <c r="AE828" i="3"/>
  <c r="AD828" i="3"/>
  <c r="AC828" i="3"/>
  <c r="AB828" i="3"/>
  <c r="AA828" i="3"/>
  <c r="Z828" i="3"/>
  <c r="AG827" i="3"/>
  <c r="AF827" i="3"/>
  <c r="AE827" i="3"/>
  <c r="AD827" i="3"/>
  <c r="AC827" i="3"/>
  <c r="AB827" i="3"/>
  <c r="AA827" i="3"/>
  <c r="Z827" i="3"/>
  <c r="AG826" i="3"/>
  <c r="AF826" i="3"/>
  <c r="AE826" i="3"/>
  <c r="AD826" i="3"/>
  <c r="AC826" i="3"/>
  <c r="AB826" i="3"/>
  <c r="AA826" i="3"/>
  <c r="Z826" i="3"/>
  <c r="AG825" i="3"/>
  <c r="AF825" i="3"/>
  <c r="AE825" i="3"/>
  <c r="AD825" i="3"/>
  <c r="AC825" i="3"/>
  <c r="AB825" i="3"/>
  <c r="AA825" i="3"/>
  <c r="Z825" i="3"/>
  <c r="AG824" i="3"/>
  <c r="AF824" i="3"/>
  <c r="AE824" i="3"/>
  <c r="AD824" i="3"/>
  <c r="AC824" i="3"/>
  <c r="AB824" i="3"/>
  <c r="AA824" i="3"/>
  <c r="Z824" i="3"/>
  <c r="AG823" i="3"/>
  <c r="AF823" i="3"/>
  <c r="AE823" i="3"/>
  <c r="AD823" i="3"/>
  <c r="AC823" i="3"/>
  <c r="AB823" i="3"/>
  <c r="AA823" i="3"/>
  <c r="Z823" i="3"/>
  <c r="AG822" i="3"/>
  <c r="AF822" i="3"/>
  <c r="AE822" i="3"/>
  <c r="AD822" i="3"/>
  <c r="AC822" i="3"/>
  <c r="AB822" i="3"/>
  <c r="AA822" i="3"/>
  <c r="Z822" i="3"/>
  <c r="AG821" i="3"/>
  <c r="AF821" i="3"/>
  <c r="AE821" i="3"/>
  <c r="AD821" i="3"/>
  <c r="AC821" i="3"/>
  <c r="AB821" i="3"/>
  <c r="AA821" i="3"/>
  <c r="Z821" i="3"/>
  <c r="AG820" i="3"/>
  <c r="AF820" i="3"/>
  <c r="AE820" i="3"/>
  <c r="AD820" i="3"/>
  <c r="AC820" i="3"/>
  <c r="AB820" i="3"/>
  <c r="AA820" i="3"/>
  <c r="Z820" i="3"/>
  <c r="AG819" i="3"/>
  <c r="AF819" i="3"/>
  <c r="AE819" i="3"/>
  <c r="AD819" i="3"/>
  <c r="AC819" i="3"/>
  <c r="AB819" i="3"/>
  <c r="AA819" i="3"/>
  <c r="Z819" i="3"/>
  <c r="AG818" i="3"/>
  <c r="AF818" i="3"/>
  <c r="AE818" i="3"/>
  <c r="AD818" i="3"/>
  <c r="AC818" i="3"/>
  <c r="AB818" i="3"/>
  <c r="AA818" i="3"/>
  <c r="Z818" i="3"/>
  <c r="AG817" i="3"/>
  <c r="AF817" i="3"/>
  <c r="AE817" i="3"/>
  <c r="AD817" i="3"/>
  <c r="AC817" i="3"/>
  <c r="AB817" i="3"/>
  <c r="AA817" i="3"/>
  <c r="Z817" i="3"/>
  <c r="AG816" i="3"/>
  <c r="AF816" i="3"/>
  <c r="AE816" i="3"/>
  <c r="AD816" i="3"/>
  <c r="AC816" i="3"/>
  <c r="AB816" i="3"/>
  <c r="AA816" i="3"/>
  <c r="Z816" i="3"/>
  <c r="AG815" i="3"/>
  <c r="AF815" i="3"/>
  <c r="AE815" i="3"/>
  <c r="AD815" i="3"/>
  <c r="AC815" i="3"/>
  <c r="AB815" i="3"/>
  <c r="AA815" i="3"/>
  <c r="Z815" i="3"/>
  <c r="AG814" i="3"/>
  <c r="AF814" i="3"/>
  <c r="AE814" i="3"/>
  <c r="AD814" i="3"/>
  <c r="AC814" i="3"/>
  <c r="AB814" i="3"/>
  <c r="AA814" i="3"/>
  <c r="Z814" i="3"/>
  <c r="AG813" i="3"/>
  <c r="AF813" i="3"/>
  <c r="AE813" i="3"/>
  <c r="AD813" i="3"/>
  <c r="AC813" i="3"/>
  <c r="AB813" i="3"/>
  <c r="AA813" i="3"/>
  <c r="Z813" i="3"/>
  <c r="AG812" i="3"/>
  <c r="AF812" i="3"/>
  <c r="AE812" i="3"/>
  <c r="AD812" i="3"/>
  <c r="AC812" i="3"/>
  <c r="AB812" i="3"/>
  <c r="AA812" i="3"/>
  <c r="Z812" i="3"/>
  <c r="AG811" i="3"/>
  <c r="AF811" i="3"/>
  <c r="AE811" i="3"/>
  <c r="AD811" i="3"/>
  <c r="AC811" i="3"/>
  <c r="AB811" i="3"/>
  <c r="AA811" i="3"/>
  <c r="Z811" i="3"/>
  <c r="AG810" i="3"/>
  <c r="AF810" i="3"/>
  <c r="AE810" i="3"/>
  <c r="AD810" i="3"/>
  <c r="AC810" i="3"/>
  <c r="AB810" i="3"/>
  <c r="AA810" i="3"/>
  <c r="Z810" i="3"/>
  <c r="AG809" i="3"/>
  <c r="AE809" i="3"/>
  <c r="AD809" i="3"/>
  <c r="AC809" i="3"/>
  <c r="AB809" i="3"/>
  <c r="AA809" i="3"/>
  <c r="Z809" i="3"/>
  <c r="AG808" i="3"/>
  <c r="AF808" i="3"/>
  <c r="AE808" i="3"/>
  <c r="AD808" i="3"/>
  <c r="AC808" i="3"/>
  <c r="AB808" i="3"/>
  <c r="AA808" i="3"/>
  <c r="Z808" i="3"/>
  <c r="AG807" i="3"/>
  <c r="AF807" i="3"/>
  <c r="AE807" i="3"/>
  <c r="AD807" i="3"/>
  <c r="AC807" i="3"/>
  <c r="AB807" i="3"/>
  <c r="AA807" i="3"/>
  <c r="Z807" i="3"/>
  <c r="AG806" i="3"/>
  <c r="AF806" i="3"/>
  <c r="AE806" i="3"/>
  <c r="AD806" i="3"/>
  <c r="AC806" i="3"/>
  <c r="AB806" i="3"/>
  <c r="AA806" i="3"/>
  <c r="Z806" i="3"/>
  <c r="AG805" i="3"/>
  <c r="AF805" i="3"/>
  <c r="AE805" i="3"/>
  <c r="AD805" i="3"/>
  <c r="AC805" i="3"/>
  <c r="AB805" i="3"/>
  <c r="AA805" i="3"/>
  <c r="Z805" i="3"/>
  <c r="AG804" i="3"/>
  <c r="AF804" i="3"/>
  <c r="AE804" i="3"/>
  <c r="AD804" i="3"/>
  <c r="AC804" i="3"/>
  <c r="AB804" i="3"/>
  <c r="AA804" i="3"/>
  <c r="Z804" i="3"/>
  <c r="AG803" i="3"/>
  <c r="AF803" i="3"/>
  <c r="AE803" i="3"/>
  <c r="AD803" i="3"/>
  <c r="AC803" i="3"/>
  <c r="AB803" i="3"/>
  <c r="AA803" i="3"/>
  <c r="Z803" i="3"/>
  <c r="AG802" i="3"/>
  <c r="AF802" i="3"/>
  <c r="AE802" i="3"/>
  <c r="AD802" i="3"/>
  <c r="AC802" i="3"/>
  <c r="AB802" i="3"/>
  <c r="AA802" i="3"/>
  <c r="Z802" i="3"/>
  <c r="AG801" i="3"/>
  <c r="AF801" i="3"/>
  <c r="AE801" i="3"/>
  <c r="AD801" i="3"/>
  <c r="AC801" i="3"/>
  <c r="AB801" i="3"/>
  <c r="AA801" i="3"/>
  <c r="Z801" i="3"/>
  <c r="AG800" i="3"/>
  <c r="AF800" i="3"/>
  <c r="AE800" i="3"/>
  <c r="AD800" i="3"/>
  <c r="AC800" i="3"/>
  <c r="AB800" i="3"/>
  <c r="AA800" i="3"/>
  <c r="Z800" i="3"/>
  <c r="AG799" i="3"/>
  <c r="AF799" i="3"/>
  <c r="AE799" i="3"/>
  <c r="AD799" i="3"/>
  <c r="AC799" i="3"/>
  <c r="AB799" i="3"/>
  <c r="AA799" i="3"/>
  <c r="Z799" i="3"/>
  <c r="AG798" i="3"/>
  <c r="AF798" i="3"/>
  <c r="AE798" i="3"/>
  <c r="AD798" i="3"/>
  <c r="AC798" i="3"/>
  <c r="AB798" i="3"/>
  <c r="AA798" i="3"/>
  <c r="Z798" i="3"/>
  <c r="AG797" i="3"/>
  <c r="AF797" i="3"/>
  <c r="AE797" i="3"/>
  <c r="AD797" i="3"/>
  <c r="AC797" i="3"/>
  <c r="AB797" i="3"/>
  <c r="AA797" i="3"/>
  <c r="Z797" i="3"/>
  <c r="AG796" i="3"/>
  <c r="AF796" i="3"/>
  <c r="AE796" i="3"/>
  <c r="AD796" i="3"/>
  <c r="AC796" i="3"/>
  <c r="AB796" i="3"/>
  <c r="AA796" i="3"/>
  <c r="Z796" i="3"/>
  <c r="AG795" i="3"/>
  <c r="AF795" i="3"/>
  <c r="AE795" i="3"/>
  <c r="AD795" i="3"/>
  <c r="AC795" i="3"/>
  <c r="AB795" i="3"/>
  <c r="AA795" i="3"/>
  <c r="Z795" i="3"/>
  <c r="AG794" i="3"/>
  <c r="AF794" i="3"/>
  <c r="AE794" i="3"/>
  <c r="AD794" i="3"/>
  <c r="AC794" i="3"/>
  <c r="AB794" i="3"/>
  <c r="AA794" i="3"/>
  <c r="Z794" i="3"/>
  <c r="AG793" i="3"/>
  <c r="AF793" i="3"/>
  <c r="AE793" i="3"/>
  <c r="AD793" i="3"/>
  <c r="AC793" i="3"/>
  <c r="AB793" i="3"/>
  <c r="AA793" i="3"/>
  <c r="Z793" i="3"/>
  <c r="AG792" i="3"/>
  <c r="AF792" i="3"/>
  <c r="AE792" i="3"/>
  <c r="AD792" i="3"/>
  <c r="AC792" i="3"/>
  <c r="AB792" i="3"/>
  <c r="AA792" i="3"/>
  <c r="Z792" i="3"/>
  <c r="AG791" i="3"/>
  <c r="AF791" i="3"/>
  <c r="AE791" i="3"/>
  <c r="AD791" i="3"/>
  <c r="AC791" i="3"/>
  <c r="AB791" i="3"/>
  <c r="AA791" i="3"/>
  <c r="Z791" i="3"/>
  <c r="AG790" i="3"/>
  <c r="AF790" i="3"/>
  <c r="AE790" i="3"/>
  <c r="AD790" i="3"/>
  <c r="AC790" i="3"/>
  <c r="AB790" i="3"/>
  <c r="AA790" i="3"/>
  <c r="Z790" i="3"/>
  <c r="AG789" i="3"/>
  <c r="AF789" i="3"/>
  <c r="AE789" i="3"/>
  <c r="AD789" i="3"/>
  <c r="AC789" i="3"/>
  <c r="AB789" i="3"/>
  <c r="AA789" i="3"/>
  <c r="Z789" i="3"/>
  <c r="AG788" i="3"/>
  <c r="AF788" i="3"/>
  <c r="AE788" i="3"/>
  <c r="AD788" i="3"/>
  <c r="AC788" i="3"/>
  <c r="AB788" i="3"/>
  <c r="AA788" i="3"/>
  <c r="Z788" i="3"/>
  <c r="AG787" i="3"/>
  <c r="AF787" i="3"/>
  <c r="AE787" i="3"/>
  <c r="AD787" i="3"/>
  <c r="AC787" i="3"/>
  <c r="AB787" i="3"/>
  <c r="AA787" i="3"/>
  <c r="Z787" i="3"/>
  <c r="AG786" i="3"/>
  <c r="AF786" i="3"/>
  <c r="AE786" i="3"/>
  <c r="AD786" i="3"/>
  <c r="AC786" i="3"/>
  <c r="AB786" i="3"/>
  <c r="AA786" i="3"/>
  <c r="Z786" i="3"/>
  <c r="AG785" i="3"/>
  <c r="AF785" i="3"/>
  <c r="AE785" i="3"/>
  <c r="AD785" i="3"/>
  <c r="AC785" i="3"/>
  <c r="AB785" i="3"/>
  <c r="AA785" i="3"/>
  <c r="Z785" i="3"/>
  <c r="AG784" i="3"/>
  <c r="AF784" i="3"/>
  <c r="AE784" i="3"/>
  <c r="AD784" i="3"/>
  <c r="AC784" i="3"/>
  <c r="AB784" i="3"/>
  <c r="AA784" i="3"/>
  <c r="Z784" i="3"/>
  <c r="AG783" i="3"/>
  <c r="AF783" i="3"/>
  <c r="AE783" i="3"/>
  <c r="AD783" i="3"/>
  <c r="AC783" i="3"/>
  <c r="AB783" i="3"/>
  <c r="AA783" i="3"/>
  <c r="Z783" i="3"/>
  <c r="AG782" i="3"/>
  <c r="AF782" i="3"/>
  <c r="AE782" i="3"/>
  <c r="AD782" i="3"/>
  <c r="AC782" i="3"/>
  <c r="AB782" i="3"/>
  <c r="AA782" i="3"/>
  <c r="Z782" i="3"/>
  <c r="AG781" i="3"/>
  <c r="AF781" i="3"/>
  <c r="AE781" i="3"/>
  <c r="AD781" i="3"/>
  <c r="AC781" i="3"/>
  <c r="AB781" i="3"/>
  <c r="AA781" i="3"/>
  <c r="Z781" i="3"/>
  <c r="AG780" i="3"/>
  <c r="AF780" i="3"/>
  <c r="AE780" i="3"/>
  <c r="AD780" i="3"/>
  <c r="AC780" i="3"/>
  <c r="AB780" i="3"/>
  <c r="AA780" i="3"/>
  <c r="Z780" i="3"/>
  <c r="AG779" i="3"/>
  <c r="AF779" i="3"/>
  <c r="AE779" i="3"/>
  <c r="AD779" i="3"/>
  <c r="AC779" i="3"/>
  <c r="AB779" i="3"/>
  <c r="AA779" i="3"/>
  <c r="Z779" i="3"/>
  <c r="AG778" i="3"/>
  <c r="AF778" i="3"/>
  <c r="AE778" i="3"/>
  <c r="AD778" i="3"/>
  <c r="AC778" i="3"/>
  <c r="AB778" i="3"/>
  <c r="AA778" i="3"/>
  <c r="Z778" i="3"/>
  <c r="AG777" i="3"/>
  <c r="AF777" i="3"/>
  <c r="AE777" i="3"/>
  <c r="AD777" i="3"/>
  <c r="AC777" i="3"/>
  <c r="AB777" i="3"/>
  <c r="AA777" i="3"/>
  <c r="Z777" i="3"/>
  <c r="AG776" i="3"/>
  <c r="AF776" i="3"/>
  <c r="AE776" i="3"/>
  <c r="AD776" i="3"/>
  <c r="AC776" i="3"/>
  <c r="AB776" i="3"/>
  <c r="AA776" i="3"/>
  <c r="Z776" i="3"/>
  <c r="AG775" i="3"/>
  <c r="AF775" i="3"/>
  <c r="AE775" i="3"/>
  <c r="AD775" i="3"/>
  <c r="AC775" i="3"/>
  <c r="AB775" i="3"/>
  <c r="AA775" i="3"/>
  <c r="Z775" i="3"/>
  <c r="AG774" i="3"/>
  <c r="AF774" i="3"/>
  <c r="AE774" i="3"/>
  <c r="AD774" i="3"/>
  <c r="AC774" i="3"/>
  <c r="AB774" i="3"/>
  <c r="AA774" i="3"/>
  <c r="Z774" i="3"/>
  <c r="AG773" i="3"/>
  <c r="AF773" i="3"/>
  <c r="AE773" i="3"/>
  <c r="AD773" i="3"/>
  <c r="AC773" i="3"/>
  <c r="AB773" i="3"/>
  <c r="AA773" i="3"/>
  <c r="Z773" i="3"/>
  <c r="AG772" i="3"/>
  <c r="AF772" i="3"/>
  <c r="AE772" i="3"/>
  <c r="AD772" i="3"/>
  <c r="AC772" i="3"/>
  <c r="AB772" i="3"/>
  <c r="AA772" i="3"/>
  <c r="Z772" i="3"/>
  <c r="AG771" i="3"/>
  <c r="AF771" i="3"/>
  <c r="AE771" i="3"/>
  <c r="AD771" i="3"/>
  <c r="AC771" i="3"/>
  <c r="AB771" i="3"/>
  <c r="AA771" i="3"/>
  <c r="Z771" i="3"/>
  <c r="AG770" i="3"/>
  <c r="AF770" i="3"/>
  <c r="AE770" i="3"/>
  <c r="AD770" i="3"/>
  <c r="AC770" i="3"/>
  <c r="AB770" i="3"/>
  <c r="AA770" i="3"/>
  <c r="Z770" i="3"/>
  <c r="AG769" i="3"/>
  <c r="AF769" i="3"/>
  <c r="AE769" i="3"/>
  <c r="AD769" i="3"/>
  <c r="AC769" i="3"/>
  <c r="AB769" i="3"/>
  <c r="AA769" i="3"/>
  <c r="Z769" i="3"/>
  <c r="AG768" i="3"/>
  <c r="AF768" i="3"/>
  <c r="AE768" i="3"/>
  <c r="AD768" i="3"/>
  <c r="AC768" i="3"/>
  <c r="AB768" i="3"/>
  <c r="AA768" i="3"/>
  <c r="Z768" i="3"/>
  <c r="AG767" i="3"/>
  <c r="AF767" i="3"/>
  <c r="AE767" i="3"/>
  <c r="AD767" i="3"/>
  <c r="AC767" i="3"/>
  <c r="AB767" i="3"/>
  <c r="AA767" i="3"/>
  <c r="Z767" i="3"/>
  <c r="AG766" i="3"/>
  <c r="AF766" i="3"/>
  <c r="AE766" i="3"/>
  <c r="AD766" i="3"/>
  <c r="AC766" i="3"/>
  <c r="AB766" i="3"/>
  <c r="AA766" i="3"/>
  <c r="Z766" i="3"/>
  <c r="AG765" i="3"/>
  <c r="AF765" i="3"/>
  <c r="AE765" i="3"/>
  <c r="AD765" i="3"/>
  <c r="AC765" i="3"/>
  <c r="AB765" i="3"/>
  <c r="AA765" i="3"/>
  <c r="Z765" i="3"/>
  <c r="AG764" i="3"/>
  <c r="AF764" i="3"/>
  <c r="AE764" i="3"/>
  <c r="AD764" i="3"/>
  <c r="AC764" i="3"/>
  <c r="AB764" i="3"/>
  <c r="AA764" i="3"/>
  <c r="Z764" i="3"/>
  <c r="AG763" i="3"/>
  <c r="AF763" i="3"/>
  <c r="AE763" i="3"/>
  <c r="AD763" i="3"/>
  <c r="AC763" i="3"/>
  <c r="AB763" i="3"/>
  <c r="AA763" i="3"/>
  <c r="Z763" i="3"/>
  <c r="AG762" i="3"/>
  <c r="AF762" i="3"/>
  <c r="AE762" i="3"/>
  <c r="AD762" i="3"/>
  <c r="AC762" i="3"/>
  <c r="AB762" i="3"/>
  <c r="AA762" i="3"/>
  <c r="Z762" i="3"/>
  <c r="AG761" i="3"/>
  <c r="AF761" i="3"/>
  <c r="AE761" i="3"/>
  <c r="AD761" i="3"/>
  <c r="AC761" i="3"/>
  <c r="AB761" i="3"/>
  <c r="AA761" i="3"/>
  <c r="Z761" i="3"/>
  <c r="AG760" i="3"/>
  <c r="AF760" i="3"/>
  <c r="AE760" i="3"/>
  <c r="AD760" i="3"/>
  <c r="AC760" i="3"/>
  <c r="AB760" i="3"/>
  <c r="AA760" i="3"/>
  <c r="Z760" i="3"/>
  <c r="AG759" i="3"/>
  <c r="AF759" i="3"/>
  <c r="AE759" i="3"/>
  <c r="AD759" i="3"/>
  <c r="AC759" i="3"/>
  <c r="AB759" i="3"/>
  <c r="AA759" i="3"/>
  <c r="Z759" i="3"/>
  <c r="AG758" i="3"/>
  <c r="AF758" i="3"/>
  <c r="AE758" i="3"/>
  <c r="AD758" i="3"/>
  <c r="AC758" i="3"/>
  <c r="AB758" i="3"/>
  <c r="AA758" i="3"/>
  <c r="Z758" i="3"/>
  <c r="AG757" i="3"/>
  <c r="AF757" i="3"/>
  <c r="AE757" i="3"/>
  <c r="AD757" i="3"/>
  <c r="AC757" i="3"/>
  <c r="AB757" i="3"/>
  <c r="AA757" i="3"/>
  <c r="Z757" i="3"/>
  <c r="AG756" i="3"/>
  <c r="AF756" i="3"/>
  <c r="AE756" i="3"/>
  <c r="AD756" i="3"/>
  <c r="AC756" i="3"/>
  <c r="AB756" i="3"/>
  <c r="AA756" i="3"/>
  <c r="Z756" i="3"/>
  <c r="AG755" i="3"/>
  <c r="AF755" i="3"/>
  <c r="AE755" i="3"/>
  <c r="AD755" i="3"/>
  <c r="AC755" i="3"/>
  <c r="AB755" i="3"/>
  <c r="AA755" i="3"/>
  <c r="Z755" i="3"/>
  <c r="AG754" i="3"/>
  <c r="AF754" i="3"/>
  <c r="AE754" i="3"/>
  <c r="AD754" i="3"/>
  <c r="AC754" i="3"/>
  <c r="AB754" i="3"/>
  <c r="AA754" i="3"/>
  <c r="Z754" i="3"/>
  <c r="AG753" i="3"/>
  <c r="AF753" i="3"/>
  <c r="AE753" i="3"/>
  <c r="AD753" i="3"/>
  <c r="AC753" i="3"/>
  <c r="AB753" i="3"/>
  <c r="AA753" i="3"/>
  <c r="Z753" i="3"/>
  <c r="AG752" i="3"/>
  <c r="AF752" i="3"/>
  <c r="AE752" i="3"/>
  <c r="AD752" i="3"/>
  <c r="AC752" i="3"/>
  <c r="AB752" i="3"/>
  <c r="AA752" i="3"/>
  <c r="Z752" i="3"/>
  <c r="AG751" i="3"/>
  <c r="AF751" i="3"/>
  <c r="AE751" i="3"/>
  <c r="AD751" i="3"/>
  <c r="AC751" i="3"/>
  <c r="AB751" i="3"/>
  <c r="AA751" i="3"/>
  <c r="Z751" i="3"/>
  <c r="AG750" i="3"/>
  <c r="AF750" i="3"/>
  <c r="AE750" i="3"/>
  <c r="AD750" i="3"/>
  <c r="AC750" i="3"/>
  <c r="AB750" i="3"/>
  <c r="AA750" i="3"/>
  <c r="Z750" i="3"/>
  <c r="AG749" i="3"/>
  <c r="AF749" i="3"/>
  <c r="AE749" i="3"/>
  <c r="AD749" i="3"/>
  <c r="AC749" i="3"/>
  <c r="AB749" i="3"/>
  <c r="AA749" i="3"/>
  <c r="Z749" i="3"/>
  <c r="AG748" i="3"/>
  <c r="AF748" i="3"/>
  <c r="AE748" i="3"/>
  <c r="AD748" i="3"/>
  <c r="AC748" i="3"/>
  <c r="AB748" i="3"/>
  <c r="AA748" i="3"/>
  <c r="Z748" i="3"/>
  <c r="AG747" i="3"/>
  <c r="AF747" i="3"/>
  <c r="AE747" i="3"/>
  <c r="AD747" i="3"/>
  <c r="AC747" i="3"/>
  <c r="AB747" i="3"/>
  <c r="AA747" i="3"/>
  <c r="Z747" i="3"/>
  <c r="AG746" i="3"/>
  <c r="AF746" i="3"/>
  <c r="AE746" i="3"/>
  <c r="AD746" i="3"/>
  <c r="AC746" i="3"/>
  <c r="AB746" i="3"/>
  <c r="AA746" i="3"/>
  <c r="Z746" i="3"/>
  <c r="AG745" i="3"/>
  <c r="AF745" i="3"/>
  <c r="AE745" i="3"/>
  <c r="AD745" i="3"/>
  <c r="AC745" i="3"/>
  <c r="AB745" i="3"/>
  <c r="AA745" i="3"/>
  <c r="Z745" i="3"/>
  <c r="AG744" i="3"/>
  <c r="AF744" i="3"/>
  <c r="AE744" i="3"/>
  <c r="AD744" i="3"/>
  <c r="AC744" i="3"/>
  <c r="AB744" i="3"/>
  <c r="AA744" i="3"/>
  <c r="Z744" i="3"/>
  <c r="AG743" i="3"/>
  <c r="AF743" i="3"/>
  <c r="AE743" i="3"/>
  <c r="AD743" i="3"/>
  <c r="AC743" i="3"/>
  <c r="AB743" i="3"/>
  <c r="AA743" i="3"/>
  <c r="Z743" i="3"/>
  <c r="AG742" i="3"/>
  <c r="AF742" i="3"/>
  <c r="AE742" i="3"/>
  <c r="AD742" i="3"/>
  <c r="AC742" i="3"/>
  <c r="AB742" i="3"/>
  <c r="AA742" i="3"/>
  <c r="Z742" i="3"/>
  <c r="AG741" i="3"/>
  <c r="AF741" i="3"/>
  <c r="AE741" i="3"/>
  <c r="AD741" i="3"/>
  <c r="AC741" i="3"/>
  <c r="AB741" i="3"/>
  <c r="AA741" i="3"/>
  <c r="Z741" i="3"/>
  <c r="AG740" i="3"/>
  <c r="AF740" i="3"/>
  <c r="AE740" i="3"/>
  <c r="AD740" i="3"/>
  <c r="AC740" i="3"/>
  <c r="AB740" i="3"/>
  <c r="AA740" i="3"/>
  <c r="Z740" i="3"/>
  <c r="AG739" i="3"/>
  <c r="AF739" i="3"/>
  <c r="AE739" i="3"/>
  <c r="AD739" i="3"/>
  <c r="AC739" i="3"/>
  <c r="AB739" i="3"/>
  <c r="AA739" i="3"/>
  <c r="Z739" i="3"/>
  <c r="AG738" i="3"/>
  <c r="AF738" i="3"/>
  <c r="AE738" i="3"/>
  <c r="AD738" i="3"/>
  <c r="AC738" i="3"/>
  <c r="AB738" i="3"/>
  <c r="AA738" i="3"/>
  <c r="Z738" i="3"/>
  <c r="AG737" i="3"/>
  <c r="AF737" i="3"/>
  <c r="AE737" i="3"/>
  <c r="AD737" i="3"/>
  <c r="AC737" i="3"/>
  <c r="AB737" i="3"/>
  <c r="AA737" i="3"/>
  <c r="Z737" i="3"/>
  <c r="AG736" i="3"/>
  <c r="AF736" i="3"/>
  <c r="AE736" i="3"/>
  <c r="AD736" i="3"/>
  <c r="AC736" i="3"/>
  <c r="AB736" i="3"/>
  <c r="AA736" i="3"/>
  <c r="Z736" i="3"/>
  <c r="AG735" i="3"/>
  <c r="AF735" i="3"/>
  <c r="AE735" i="3"/>
  <c r="AD735" i="3"/>
  <c r="AC735" i="3"/>
  <c r="AB735" i="3"/>
  <c r="AA735" i="3"/>
  <c r="Z735" i="3"/>
  <c r="AG734" i="3"/>
  <c r="AF734" i="3"/>
  <c r="AE734" i="3"/>
  <c r="AD734" i="3"/>
  <c r="AC734" i="3"/>
  <c r="AB734" i="3"/>
  <c r="AA734" i="3"/>
  <c r="Z734" i="3"/>
  <c r="AG733" i="3"/>
  <c r="AF733" i="3"/>
  <c r="AE733" i="3"/>
  <c r="AD733" i="3"/>
  <c r="AC733" i="3"/>
  <c r="AB733" i="3"/>
  <c r="AA733" i="3"/>
  <c r="Z733" i="3"/>
  <c r="AG732" i="3"/>
  <c r="AF732" i="3"/>
  <c r="AE732" i="3"/>
  <c r="AD732" i="3"/>
  <c r="AC732" i="3"/>
  <c r="AB732" i="3"/>
  <c r="AA732" i="3"/>
  <c r="Z732" i="3"/>
  <c r="AG731" i="3"/>
  <c r="AF731" i="3"/>
  <c r="AE731" i="3"/>
  <c r="AD731" i="3"/>
  <c r="AC731" i="3"/>
  <c r="AB731" i="3"/>
  <c r="AA731" i="3"/>
  <c r="Z731" i="3"/>
  <c r="AG730" i="3"/>
  <c r="AF730" i="3"/>
  <c r="AE730" i="3"/>
  <c r="AD730" i="3"/>
  <c r="AC730" i="3"/>
  <c r="AB730" i="3"/>
  <c r="AA730" i="3"/>
  <c r="Z730" i="3"/>
  <c r="AG729" i="3"/>
  <c r="AF729" i="3"/>
  <c r="AE729" i="3"/>
  <c r="AD729" i="3"/>
  <c r="AC729" i="3"/>
  <c r="AB729" i="3"/>
  <c r="AA729" i="3"/>
  <c r="Z729" i="3"/>
  <c r="AG728" i="3"/>
  <c r="AF728" i="3"/>
  <c r="AE728" i="3"/>
  <c r="AD728" i="3"/>
  <c r="AC728" i="3"/>
  <c r="AB728" i="3"/>
  <c r="AA728" i="3"/>
  <c r="Z728" i="3"/>
  <c r="AG727" i="3"/>
  <c r="AF727" i="3"/>
  <c r="AE727" i="3"/>
  <c r="AD727" i="3"/>
  <c r="AC727" i="3"/>
  <c r="AB727" i="3"/>
  <c r="AA727" i="3"/>
  <c r="Z727" i="3"/>
  <c r="AG726" i="3"/>
  <c r="AF726" i="3"/>
  <c r="AE726" i="3"/>
  <c r="AD726" i="3"/>
  <c r="AC726" i="3"/>
  <c r="AB726" i="3"/>
  <c r="AA726" i="3"/>
  <c r="Z726" i="3"/>
  <c r="AG725" i="3"/>
  <c r="AF725" i="3"/>
  <c r="AE725" i="3"/>
  <c r="AD725" i="3"/>
  <c r="AC725" i="3"/>
  <c r="AB725" i="3"/>
  <c r="AA725" i="3"/>
  <c r="Z725" i="3"/>
  <c r="AG724" i="3"/>
  <c r="AF724" i="3"/>
  <c r="AE724" i="3"/>
  <c r="AD724" i="3"/>
  <c r="AC724" i="3"/>
  <c r="AB724" i="3"/>
  <c r="AA724" i="3"/>
  <c r="Z724" i="3"/>
  <c r="AG723" i="3"/>
  <c r="AF723" i="3"/>
  <c r="AE723" i="3"/>
  <c r="AD723" i="3"/>
  <c r="AC723" i="3"/>
  <c r="AB723" i="3"/>
  <c r="AA723" i="3"/>
  <c r="Z723" i="3"/>
  <c r="AG722" i="3"/>
  <c r="AF722" i="3"/>
  <c r="AE722" i="3"/>
  <c r="AD722" i="3"/>
  <c r="AC722" i="3"/>
  <c r="AB722" i="3"/>
  <c r="AA722" i="3"/>
  <c r="Z722" i="3"/>
  <c r="AG721" i="3"/>
  <c r="AF721" i="3"/>
  <c r="AE721" i="3"/>
  <c r="AD721" i="3"/>
  <c r="AC721" i="3"/>
  <c r="AB721" i="3"/>
  <c r="AA721" i="3"/>
  <c r="Z721" i="3"/>
  <c r="AG720" i="3"/>
  <c r="AF720" i="3"/>
  <c r="AE720" i="3"/>
  <c r="AD720" i="3"/>
  <c r="AC720" i="3"/>
  <c r="AB720" i="3"/>
  <c r="AA720" i="3"/>
  <c r="Z720" i="3"/>
  <c r="AG719" i="3"/>
  <c r="AF719" i="3"/>
  <c r="AE719" i="3"/>
  <c r="AD719" i="3"/>
  <c r="AC719" i="3"/>
  <c r="AB719" i="3"/>
  <c r="AA719" i="3"/>
  <c r="Z719" i="3"/>
  <c r="AG718" i="3"/>
  <c r="AF718" i="3"/>
  <c r="AE718" i="3"/>
  <c r="AD718" i="3"/>
  <c r="AC718" i="3"/>
  <c r="AB718" i="3"/>
  <c r="AA718" i="3"/>
  <c r="Z718" i="3"/>
  <c r="AG717" i="3"/>
  <c r="AF717" i="3"/>
  <c r="AE717" i="3"/>
  <c r="AD717" i="3"/>
  <c r="AC717" i="3"/>
  <c r="AB717" i="3"/>
  <c r="AA717" i="3"/>
  <c r="Z717" i="3"/>
  <c r="AG716" i="3"/>
  <c r="AF716" i="3"/>
  <c r="AE716" i="3"/>
  <c r="AD716" i="3"/>
  <c r="AC716" i="3"/>
  <c r="AB716" i="3"/>
  <c r="AA716" i="3"/>
  <c r="Z716" i="3"/>
  <c r="AG715" i="3"/>
  <c r="AF715" i="3"/>
  <c r="AE715" i="3"/>
  <c r="AD715" i="3"/>
  <c r="AC715" i="3"/>
  <c r="AB715" i="3"/>
  <c r="AA715" i="3"/>
  <c r="Z715" i="3"/>
  <c r="AG714" i="3"/>
  <c r="AF714" i="3"/>
  <c r="AE714" i="3"/>
  <c r="AD714" i="3"/>
  <c r="AC714" i="3"/>
  <c r="AB714" i="3"/>
  <c r="AA714" i="3"/>
  <c r="Z714" i="3"/>
  <c r="AG713" i="3"/>
  <c r="AF713" i="3"/>
  <c r="AE713" i="3"/>
  <c r="AD713" i="3"/>
  <c r="AC713" i="3"/>
  <c r="AB713" i="3"/>
  <c r="AA713" i="3"/>
  <c r="Z713" i="3"/>
  <c r="AG712" i="3"/>
  <c r="AF712" i="3"/>
  <c r="AE712" i="3"/>
  <c r="AD712" i="3"/>
  <c r="AC712" i="3"/>
  <c r="AB712" i="3"/>
  <c r="AA712" i="3"/>
  <c r="Z712" i="3"/>
  <c r="AG711" i="3"/>
  <c r="AF711" i="3"/>
  <c r="AE711" i="3"/>
  <c r="AD711" i="3"/>
  <c r="AC711" i="3"/>
  <c r="AB711" i="3"/>
  <c r="AA711" i="3"/>
  <c r="Z711" i="3"/>
  <c r="AG710" i="3"/>
  <c r="AF710" i="3"/>
  <c r="AE710" i="3"/>
  <c r="AD710" i="3"/>
  <c r="AC710" i="3"/>
  <c r="AB710" i="3"/>
  <c r="AA710" i="3"/>
  <c r="Z710" i="3"/>
  <c r="AG709" i="3"/>
  <c r="AF709" i="3"/>
  <c r="AE709" i="3"/>
  <c r="AD709" i="3"/>
  <c r="AC709" i="3"/>
  <c r="AB709" i="3"/>
  <c r="AA709" i="3"/>
  <c r="Z709" i="3"/>
  <c r="AG708" i="3"/>
  <c r="AF708" i="3"/>
  <c r="AE708" i="3"/>
  <c r="AD708" i="3"/>
  <c r="AC708" i="3"/>
  <c r="AB708" i="3"/>
  <c r="AA708" i="3"/>
  <c r="Z708" i="3"/>
  <c r="AG707" i="3"/>
  <c r="AF707" i="3"/>
  <c r="AE707" i="3"/>
  <c r="AD707" i="3"/>
  <c r="AC707" i="3"/>
  <c r="AB707" i="3"/>
  <c r="AA707" i="3"/>
  <c r="Z707" i="3"/>
  <c r="AG706" i="3"/>
  <c r="AF706" i="3"/>
  <c r="AE706" i="3"/>
  <c r="AD706" i="3"/>
  <c r="AC706" i="3"/>
  <c r="AB706" i="3"/>
  <c r="AA706" i="3"/>
  <c r="Z706" i="3"/>
  <c r="AG705" i="3"/>
  <c r="AF705" i="3"/>
  <c r="AE705" i="3"/>
  <c r="AD705" i="3"/>
  <c r="AC705" i="3"/>
  <c r="AB705" i="3"/>
  <c r="AA705" i="3"/>
  <c r="Z705" i="3"/>
  <c r="AG704" i="3"/>
  <c r="AF704" i="3"/>
  <c r="AE704" i="3"/>
  <c r="AD704" i="3"/>
  <c r="AC704" i="3"/>
  <c r="AB704" i="3"/>
  <c r="AA704" i="3"/>
  <c r="Z704" i="3"/>
  <c r="AG703" i="3"/>
  <c r="AF703" i="3"/>
  <c r="AE703" i="3"/>
  <c r="AD703" i="3"/>
  <c r="AC703" i="3"/>
  <c r="AB703" i="3"/>
  <c r="AA703" i="3"/>
  <c r="Z703" i="3"/>
  <c r="AG702" i="3"/>
  <c r="AF702" i="3"/>
  <c r="AE702" i="3"/>
  <c r="AD702" i="3"/>
  <c r="AC702" i="3"/>
  <c r="AB702" i="3"/>
  <c r="AA702" i="3"/>
  <c r="Z702" i="3"/>
  <c r="AG701" i="3"/>
  <c r="AF701" i="3"/>
  <c r="AE701" i="3"/>
  <c r="AD701" i="3"/>
  <c r="AC701" i="3"/>
  <c r="AB701" i="3"/>
  <c r="AA701" i="3"/>
  <c r="Z701" i="3"/>
  <c r="AG700" i="3"/>
  <c r="AF700" i="3"/>
  <c r="AE700" i="3"/>
  <c r="AD700" i="3"/>
  <c r="AC700" i="3"/>
  <c r="AB700" i="3"/>
  <c r="AA700" i="3"/>
  <c r="Z700" i="3"/>
  <c r="AG699" i="3"/>
  <c r="AF699" i="3"/>
  <c r="AE699" i="3"/>
  <c r="AD699" i="3"/>
  <c r="AC699" i="3"/>
  <c r="AB699" i="3"/>
  <c r="AA699" i="3"/>
  <c r="Z699" i="3"/>
  <c r="AG698" i="3"/>
  <c r="AF698" i="3"/>
  <c r="AE698" i="3"/>
  <c r="AD698" i="3"/>
  <c r="AC698" i="3"/>
  <c r="AB698" i="3"/>
  <c r="AA698" i="3"/>
  <c r="Z698" i="3"/>
  <c r="AG697" i="3"/>
  <c r="AF697" i="3"/>
  <c r="AE697" i="3"/>
  <c r="AD697" i="3"/>
  <c r="AC697" i="3"/>
  <c r="AB697" i="3"/>
  <c r="AA697" i="3"/>
  <c r="Z697" i="3"/>
  <c r="AG696" i="3"/>
  <c r="AF696" i="3"/>
  <c r="AE696" i="3"/>
  <c r="AD696" i="3"/>
  <c r="AC696" i="3"/>
  <c r="AB696" i="3"/>
  <c r="AA696" i="3"/>
  <c r="Z696" i="3"/>
  <c r="AG695" i="3"/>
  <c r="AF695" i="3"/>
  <c r="AE695" i="3"/>
  <c r="AD695" i="3"/>
  <c r="AC695" i="3"/>
  <c r="AB695" i="3"/>
  <c r="AA695" i="3"/>
  <c r="Z695" i="3"/>
  <c r="AG694" i="3"/>
  <c r="AF694" i="3"/>
  <c r="AE694" i="3"/>
  <c r="AD694" i="3"/>
  <c r="AC694" i="3"/>
  <c r="AB694" i="3"/>
  <c r="AA694" i="3"/>
  <c r="Z694" i="3"/>
  <c r="AG693" i="3"/>
  <c r="AF693" i="3"/>
  <c r="AE693" i="3"/>
  <c r="AD693" i="3"/>
  <c r="AC693" i="3"/>
  <c r="AB693" i="3"/>
  <c r="AA693" i="3"/>
  <c r="Z693" i="3"/>
  <c r="AG692" i="3"/>
  <c r="AF692" i="3"/>
  <c r="AE692" i="3"/>
  <c r="AD692" i="3"/>
  <c r="AC692" i="3"/>
  <c r="AB692" i="3"/>
  <c r="AA692" i="3"/>
  <c r="Z692" i="3"/>
  <c r="AG691" i="3"/>
  <c r="AF691" i="3"/>
  <c r="AE691" i="3"/>
  <c r="AD691" i="3"/>
  <c r="AC691" i="3"/>
  <c r="AB691" i="3"/>
  <c r="AA691" i="3"/>
  <c r="Z691" i="3"/>
  <c r="AG690" i="3"/>
  <c r="AF690" i="3"/>
  <c r="AE690" i="3"/>
  <c r="AD690" i="3"/>
  <c r="AC690" i="3"/>
  <c r="AB690" i="3"/>
  <c r="AA690" i="3"/>
  <c r="Z690" i="3"/>
  <c r="AG689" i="3"/>
  <c r="AF689" i="3"/>
  <c r="AE689" i="3"/>
  <c r="AD689" i="3"/>
  <c r="AC689" i="3"/>
  <c r="AB689" i="3"/>
  <c r="AA689" i="3"/>
  <c r="Z689" i="3"/>
  <c r="AG688" i="3"/>
  <c r="AF688" i="3"/>
  <c r="AE688" i="3"/>
  <c r="AD688" i="3"/>
  <c r="AC688" i="3"/>
  <c r="AB688" i="3"/>
  <c r="AA688" i="3"/>
  <c r="Z688" i="3"/>
  <c r="AG687" i="3"/>
  <c r="AF687" i="3"/>
  <c r="AE687" i="3"/>
  <c r="AD687" i="3"/>
  <c r="AC687" i="3"/>
  <c r="AB687" i="3"/>
  <c r="AA687" i="3"/>
  <c r="Z687" i="3"/>
  <c r="AG686" i="3"/>
  <c r="AF686" i="3"/>
  <c r="AE686" i="3"/>
  <c r="AD686" i="3"/>
  <c r="AC686" i="3"/>
  <c r="AB686" i="3"/>
  <c r="AA686" i="3"/>
  <c r="Z686" i="3"/>
  <c r="AG685" i="3"/>
  <c r="AF685" i="3"/>
  <c r="AE685" i="3"/>
  <c r="AD685" i="3"/>
  <c r="AC685" i="3"/>
  <c r="AB685" i="3"/>
  <c r="AA685" i="3"/>
  <c r="Z685" i="3"/>
  <c r="AG684" i="3"/>
  <c r="AF684" i="3"/>
  <c r="AE684" i="3"/>
  <c r="AD684" i="3"/>
  <c r="AC684" i="3"/>
  <c r="AB684" i="3"/>
  <c r="AA684" i="3"/>
  <c r="Z684" i="3"/>
  <c r="AG683" i="3"/>
  <c r="AF683" i="3"/>
  <c r="AE683" i="3"/>
  <c r="AD683" i="3"/>
  <c r="AC683" i="3"/>
  <c r="AB683" i="3"/>
  <c r="AA683" i="3"/>
  <c r="Z683" i="3"/>
  <c r="AG682" i="3"/>
  <c r="AF682" i="3"/>
  <c r="AE682" i="3"/>
  <c r="AD682" i="3"/>
  <c r="AC682" i="3"/>
  <c r="AB682" i="3"/>
  <c r="AA682" i="3"/>
  <c r="Z682" i="3"/>
  <c r="AG681" i="3"/>
  <c r="AF681" i="3"/>
  <c r="AE681" i="3"/>
  <c r="AD681" i="3"/>
  <c r="AC681" i="3"/>
  <c r="AB681" i="3"/>
  <c r="AA681" i="3"/>
  <c r="Z681" i="3"/>
  <c r="AG680" i="3"/>
  <c r="AF680" i="3"/>
  <c r="AE680" i="3"/>
  <c r="AD680" i="3"/>
  <c r="AC680" i="3"/>
  <c r="AB680" i="3"/>
  <c r="AA680" i="3"/>
  <c r="Z680" i="3"/>
  <c r="AG679" i="3"/>
  <c r="AF679" i="3"/>
  <c r="AE679" i="3"/>
  <c r="AD679" i="3"/>
  <c r="AC679" i="3"/>
  <c r="AB679" i="3"/>
  <c r="AA679" i="3"/>
  <c r="Z679" i="3"/>
  <c r="AG678" i="3"/>
  <c r="AF678" i="3"/>
  <c r="AE678" i="3"/>
  <c r="AD678" i="3"/>
  <c r="AC678" i="3"/>
  <c r="AB678" i="3"/>
  <c r="AA678" i="3"/>
  <c r="Z678" i="3"/>
  <c r="AG677" i="3"/>
  <c r="AF677" i="3"/>
  <c r="AE677" i="3"/>
  <c r="AD677" i="3"/>
  <c r="AC677" i="3"/>
  <c r="AB677" i="3"/>
  <c r="AA677" i="3"/>
  <c r="Z677" i="3"/>
  <c r="AG676" i="3"/>
  <c r="AF676" i="3"/>
  <c r="AE676" i="3"/>
  <c r="AD676" i="3"/>
  <c r="AC676" i="3"/>
  <c r="AB676" i="3"/>
  <c r="AA676" i="3"/>
  <c r="Z676" i="3"/>
  <c r="AG675" i="3"/>
  <c r="AF675" i="3"/>
  <c r="AE675" i="3"/>
  <c r="AD675" i="3"/>
  <c r="AC675" i="3"/>
  <c r="AB675" i="3"/>
  <c r="AA675" i="3"/>
  <c r="Z675" i="3"/>
  <c r="AG674" i="3"/>
  <c r="AF674" i="3"/>
  <c r="AE674" i="3"/>
  <c r="AD674" i="3"/>
  <c r="AC674" i="3"/>
  <c r="AB674" i="3"/>
  <c r="AA674" i="3"/>
  <c r="Z674" i="3"/>
  <c r="AG673" i="3"/>
  <c r="AF673" i="3"/>
  <c r="AE673" i="3"/>
  <c r="AD673" i="3"/>
  <c r="AC673" i="3"/>
  <c r="AB673" i="3"/>
  <c r="AA673" i="3"/>
  <c r="Z673" i="3"/>
  <c r="AG672" i="3"/>
  <c r="AF672" i="3"/>
  <c r="AE672" i="3"/>
  <c r="AD672" i="3"/>
  <c r="AC672" i="3"/>
  <c r="AB672" i="3"/>
  <c r="AA672" i="3"/>
  <c r="Z672" i="3"/>
  <c r="AG671" i="3"/>
  <c r="AF671" i="3"/>
  <c r="AE671" i="3"/>
  <c r="AD671" i="3"/>
  <c r="AC671" i="3"/>
  <c r="AB671" i="3"/>
  <c r="AA671" i="3"/>
  <c r="Z671" i="3"/>
  <c r="AG670" i="3"/>
  <c r="AF670" i="3"/>
  <c r="AE670" i="3"/>
  <c r="AD670" i="3"/>
  <c r="AC670" i="3"/>
  <c r="AB670" i="3"/>
  <c r="AA670" i="3"/>
  <c r="Z670" i="3"/>
  <c r="AG669" i="3"/>
  <c r="AF669" i="3"/>
  <c r="AE669" i="3"/>
  <c r="AD669" i="3"/>
  <c r="AC669" i="3"/>
  <c r="AB669" i="3"/>
  <c r="AA669" i="3"/>
  <c r="Z669" i="3"/>
  <c r="AG668" i="3"/>
  <c r="AF668" i="3"/>
  <c r="AE668" i="3"/>
  <c r="AD668" i="3"/>
  <c r="AC668" i="3"/>
  <c r="AB668" i="3"/>
  <c r="AA668" i="3"/>
  <c r="Z668" i="3"/>
  <c r="AG667" i="3"/>
  <c r="AF667" i="3"/>
  <c r="AE667" i="3"/>
  <c r="AD667" i="3"/>
  <c r="AC667" i="3"/>
  <c r="AB667" i="3"/>
  <c r="AA667" i="3"/>
  <c r="Z667" i="3"/>
  <c r="AG666" i="3"/>
  <c r="AF666" i="3"/>
  <c r="AE666" i="3"/>
  <c r="AD666" i="3"/>
  <c r="AC666" i="3"/>
  <c r="AB666" i="3"/>
  <c r="AA666" i="3"/>
  <c r="Z666" i="3"/>
  <c r="AG665" i="3"/>
  <c r="AF665" i="3"/>
  <c r="AE665" i="3"/>
  <c r="AD665" i="3"/>
  <c r="AC665" i="3"/>
  <c r="AB665" i="3"/>
  <c r="AA665" i="3"/>
  <c r="Z665" i="3"/>
  <c r="AG664" i="3"/>
  <c r="AF664" i="3"/>
  <c r="AE664" i="3"/>
  <c r="AD664" i="3"/>
  <c r="AC664" i="3"/>
  <c r="AB664" i="3"/>
  <c r="AA664" i="3"/>
  <c r="Z664" i="3"/>
  <c r="AG663" i="3"/>
  <c r="AF663" i="3"/>
  <c r="AE663" i="3"/>
  <c r="AD663" i="3"/>
  <c r="AC663" i="3"/>
  <c r="AB663" i="3"/>
  <c r="AA663" i="3"/>
  <c r="Z663" i="3"/>
  <c r="AG662" i="3"/>
  <c r="AF662" i="3"/>
  <c r="AE662" i="3"/>
  <c r="AD662" i="3"/>
  <c r="AC662" i="3"/>
  <c r="AB662" i="3"/>
  <c r="AA662" i="3"/>
  <c r="Z662" i="3"/>
  <c r="AG661" i="3"/>
  <c r="AF661" i="3"/>
  <c r="AE661" i="3"/>
  <c r="AD661" i="3"/>
  <c r="AC661" i="3"/>
  <c r="AB661" i="3"/>
  <c r="AA661" i="3"/>
  <c r="Z661" i="3"/>
  <c r="AG660" i="3"/>
  <c r="AF660" i="3"/>
  <c r="AE660" i="3"/>
  <c r="AD660" i="3"/>
  <c r="AC660" i="3"/>
  <c r="AB660" i="3"/>
  <c r="AA660" i="3"/>
  <c r="Z660" i="3"/>
  <c r="AG659" i="3"/>
  <c r="AF659" i="3"/>
  <c r="AE659" i="3"/>
  <c r="AD659" i="3"/>
  <c r="AC659" i="3"/>
  <c r="AB659" i="3"/>
  <c r="AA659" i="3"/>
  <c r="Z659" i="3"/>
  <c r="AG658" i="3"/>
  <c r="AE658" i="3"/>
  <c r="AD658" i="3"/>
  <c r="AC658" i="3"/>
  <c r="AB658" i="3"/>
  <c r="AA658" i="3"/>
  <c r="Z658" i="3"/>
  <c r="AG657" i="3"/>
  <c r="AE657" i="3"/>
  <c r="AD657" i="3"/>
  <c r="AC657" i="3"/>
  <c r="AB657" i="3"/>
  <c r="AA657" i="3"/>
  <c r="Z657" i="3"/>
  <c r="AG656" i="3"/>
  <c r="AF656" i="3"/>
  <c r="AE656" i="3"/>
  <c r="AD656" i="3"/>
  <c r="AC656" i="3"/>
  <c r="AB656" i="3"/>
  <c r="AA656" i="3"/>
  <c r="Z656" i="3"/>
  <c r="AG655" i="3"/>
  <c r="AF655" i="3"/>
  <c r="AE655" i="3"/>
  <c r="AD655" i="3"/>
  <c r="AC655" i="3"/>
  <c r="AB655" i="3"/>
  <c r="AA655" i="3"/>
  <c r="Z655" i="3"/>
  <c r="AG654" i="3"/>
  <c r="AF654" i="3"/>
  <c r="AE654" i="3"/>
  <c r="AD654" i="3"/>
  <c r="AC654" i="3"/>
  <c r="AB654" i="3"/>
  <c r="AA654" i="3"/>
  <c r="Z654" i="3"/>
  <c r="AG653" i="3"/>
  <c r="AF653" i="3"/>
  <c r="AE653" i="3"/>
  <c r="AD653" i="3"/>
  <c r="AC653" i="3"/>
  <c r="AB653" i="3"/>
  <c r="AA653" i="3"/>
  <c r="Z653" i="3"/>
  <c r="AG652" i="3"/>
  <c r="AF652" i="3"/>
  <c r="AE652" i="3"/>
  <c r="AD652" i="3"/>
  <c r="AC652" i="3"/>
  <c r="AB652" i="3"/>
  <c r="AA652" i="3"/>
  <c r="Z652" i="3"/>
  <c r="AG651" i="3"/>
  <c r="AF651" i="3"/>
  <c r="AE651" i="3"/>
  <c r="AD651" i="3"/>
  <c r="AC651" i="3"/>
  <c r="AB651" i="3"/>
  <c r="AA651" i="3"/>
  <c r="Z651" i="3"/>
  <c r="AG650" i="3"/>
  <c r="AF650" i="3"/>
  <c r="AE650" i="3"/>
  <c r="AD650" i="3"/>
  <c r="AC650" i="3"/>
  <c r="AB650" i="3"/>
  <c r="AA650" i="3"/>
  <c r="Z650" i="3"/>
  <c r="AG649" i="3"/>
  <c r="AF649" i="3"/>
  <c r="AE649" i="3"/>
  <c r="AD649" i="3"/>
  <c r="AC649" i="3"/>
  <c r="AB649" i="3"/>
  <c r="AA649" i="3"/>
  <c r="Z649" i="3"/>
  <c r="AG648" i="3"/>
  <c r="AF648" i="3"/>
  <c r="AE648" i="3"/>
  <c r="AD648" i="3"/>
  <c r="AC648" i="3"/>
  <c r="AB648" i="3"/>
  <c r="AA648" i="3"/>
  <c r="Z648" i="3"/>
  <c r="AG647" i="3"/>
  <c r="AF647" i="3"/>
  <c r="AE647" i="3"/>
  <c r="AD647" i="3"/>
  <c r="AC647" i="3"/>
  <c r="AB647" i="3"/>
  <c r="AA647" i="3"/>
  <c r="Z647" i="3"/>
  <c r="AG646" i="3"/>
  <c r="AF646" i="3"/>
  <c r="AE646" i="3"/>
  <c r="AD646" i="3"/>
  <c r="AC646" i="3"/>
  <c r="AB646" i="3"/>
  <c r="AA646" i="3"/>
  <c r="Z646" i="3"/>
  <c r="AG645" i="3"/>
  <c r="AF645" i="3"/>
  <c r="AE645" i="3"/>
  <c r="AD645" i="3"/>
  <c r="AC645" i="3"/>
  <c r="AB645" i="3"/>
  <c r="AA645" i="3"/>
  <c r="Z645" i="3"/>
  <c r="AG644" i="3"/>
  <c r="AF644" i="3"/>
  <c r="AE644" i="3"/>
  <c r="AD644" i="3"/>
  <c r="AC644" i="3"/>
  <c r="AB644" i="3"/>
  <c r="AA644" i="3"/>
  <c r="Z644" i="3"/>
  <c r="AG643" i="3"/>
  <c r="AF643" i="3"/>
  <c r="AE643" i="3"/>
  <c r="AD643" i="3"/>
  <c r="AC643" i="3"/>
  <c r="AB643" i="3"/>
  <c r="AA643" i="3"/>
  <c r="Z643" i="3"/>
  <c r="AG642" i="3"/>
  <c r="AF642" i="3"/>
  <c r="AE642" i="3"/>
  <c r="AD642" i="3"/>
  <c r="AC642" i="3"/>
  <c r="AB642" i="3"/>
  <c r="AA642" i="3"/>
  <c r="Z642" i="3"/>
  <c r="AG641" i="3"/>
  <c r="AF641" i="3"/>
  <c r="AE641" i="3"/>
  <c r="AD641" i="3"/>
  <c r="AC641" i="3"/>
  <c r="AB641" i="3"/>
  <c r="AA641" i="3"/>
  <c r="Z641" i="3"/>
  <c r="AG640" i="3"/>
  <c r="AF640" i="3"/>
  <c r="AE640" i="3"/>
  <c r="AD640" i="3"/>
  <c r="AC640" i="3"/>
  <c r="AB640" i="3"/>
  <c r="AA640" i="3"/>
  <c r="Z640" i="3"/>
  <c r="AG639" i="3"/>
  <c r="AF639" i="3"/>
  <c r="AE639" i="3"/>
  <c r="AD639" i="3"/>
  <c r="AC639" i="3"/>
  <c r="AB639" i="3"/>
  <c r="AA639" i="3"/>
  <c r="Z639" i="3"/>
  <c r="AG638" i="3"/>
  <c r="AF638" i="3"/>
  <c r="AE638" i="3"/>
  <c r="AD638" i="3"/>
  <c r="AC638" i="3"/>
  <c r="AB638" i="3"/>
  <c r="AA638" i="3"/>
  <c r="Z638" i="3"/>
  <c r="AG637" i="3"/>
  <c r="AF637" i="3"/>
  <c r="AE637" i="3"/>
  <c r="AD637" i="3"/>
  <c r="AC637" i="3"/>
  <c r="AB637" i="3"/>
  <c r="AA637" i="3"/>
  <c r="Z637" i="3"/>
  <c r="AG636" i="3"/>
  <c r="AF636" i="3"/>
  <c r="AE636" i="3"/>
  <c r="AD636" i="3"/>
  <c r="AC636" i="3"/>
  <c r="AB636" i="3"/>
  <c r="AA636" i="3"/>
  <c r="Z636" i="3"/>
  <c r="AG635" i="3"/>
  <c r="AF635" i="3"/>
  <c r="AE635" i="3"/>
  <c r="AD635" i="3"/>
  <c r="AC635" i="3"/>
  <c r="AB635" i="3"/>
  <c r="AA635" i="3"/>
  <c r="Z635" i="3"/>
  <c r="AG634" i="3"/>
  <c r="AF634" i="3"/>
  <c r="AE634" i="3"/>
  <c r="AD634" i="3"/>
  <c r="AC634" i="3"/>
  <c r="AB634" i="3"/>
  <c r="AA634" i="3"/>
  <c r="Z634" i="3"/>
  <c r="AG633" i="3"/>
  <c r="AF633" i="3"/>
  <c r="AE633" i="3"/>
  <c r="AD633" i="3"/>
  <c r="AC633" i="3"/>
  <c r="AB633" i="3"/>
  <c r="AA633" i="3"/>
  <c r="Z633" i="3"/>
  <c r="AG632" i="3"/>
  <c r="AF632" i="3"/>
  <c r="AE632" i="3"/>
  <c r="AD632" i="3"/>
  <c r="AC632" i="3"/>
  <c r="AB632" i="3"/>
  <c r="AA632" i="3"/>
  <c r="Z632" i="3"/>
  <c r="AG631" i="3"/>
  <c r="AF631" i="3"/>
  <c r="AE631" i="3"/>
  <c r="AD631" i="3"/>
  <c r="AC631" i="3"/>
  <c r="AB631" i="3"/>
  <c r="AA631" i="3"/>
  <c r="Z631" i="3"/>
  <c r="AG630" i="3"/>
  <c r="AF630" i="3"/>
  <c r="AE630" i="3"/>
  <c r="AD630" i="3"/>
  <c r="AC630" i="3"/>
  <c r="AB630" i="3"/>
  <c r="AA630" i="3"/>
  <c r="Z630" i="3"/>
  <c r="AG629" i="3"/>
  <c r="AF629" i="3"/>
  <c r="AE629" i="3"/>
  <c r="AD629" i="3"/>
  <c r="AC629" i="3"/>
  <c r="AB629" i="3"/>
  <c r="AA629" i="3"/>
  <c r="Z629" i="3"/>
  <c r="AG628" i="3"/>
  <c r="AF628" i="3"/>
  <c r="AE628" i="3"/>
  <c r="AD628" i="3"/>
  <c r="AC628" i="3"/>
  <c r="AB628" i="3"/>
  <c r="AA628" i="3"/>
  <c r="Z628" i="3"/>
  <c r="AG627" i="3"/>
  <c r="AF627" i="3"/>
  <c r="AE627" i="3"/>
  <c r="AD627" i="3"/>
  <c r="AC627" i="3"/>
  <c r="AB627" i="3"/>
  <c r="AA627" i="3"/>
  <c r="Z627" i="3"/>
  <c r="AG626" i="3"/>
  <c r="AF626" i="3"/>
  <c r="AE626" i="3"/>
  <c r="AD626" i="3"/>
  <c r="AC626" i="3"/>
  <c r="AB626" i="3"/>
  <c r="AA626" i="3"/>
  <c r="Z626" i="3"/>
  <c r="AG625" i="3"/>
  <c r="AF625" i="3"/>
  <c r="AE625" i="3"/>
  <c r="AD625" i="3"/>
  <c r="AC625" i="3"/>
  <c r="AB625" i="3"/>
  <c r="AA625" i="3"/>
  <c r="Z625" i="3"/>
  <c r="AG624" i="3"/>
  <c r="AF624" i="3"/>
  <c r="AE624" i="3"/>
  <c r="AD624" i="3"/>
  <c r="AC624" i="3"/>
  <c r="AB624" i="3"/>
  <c r="AA624" i="3"/>
  <c r="Z624" i="3"/>
  <c r="AG623" i="3"/>
  <c r="AF623" i="3"/>
  <c r="AE623" i="3"/>
  <c r="AD623" i="3"/>
  <c r="AC623" i="3"/>
  <c r="AB623" i="3"/>
  <c r="AA623" i="3"/>
  <c r="Z623" i="3"/>
  <c r="AG622" i="3"/>
  <c r="AF622" i="3"/>
  <c r="AE622" i="3"/>
  <c r="AD622" i="3"/>
  <c r="AC622" i="3"/>
  <c r="AB622" i="3"/>
  <c r="AA622" i="3"/>
  <c r="Z622" i="3"/>
  <c r="AG621" i="3"/>
  <c r="AF621" i="3"/>
  <c r="AE621" i="3"/>
  <c r="AD621" i="3"/>
  <c r="AC621" i="3"/>
  <c r="AB621" i="3"/>
  <c r="AA621" i="3"/>
  <c r="Z621" i="3"/>
  <c r="AG620" i="3"/>
  <c r="AF620" i="3"/>
  <c r="AE620" i="3"/>
  <c r="AD620" i="3"/>
  <c r="AC620" i="3"/>
  <c r="AB620" i="3"/>
  <c r="AA620" i="3"/>
  <c r="Z620" i="3"/>
  <c r="AG619" i="3"/>
  <c r="AF619" i="3"/>
  <c r="AE619" i="3"/>
  <c r="AD619" i="3"/>
  <c r="AC619" i="3"/>
  <c r="AB619" i="3"/>
  <c r="AA619" i="3"/>
  <c r="Z619" i="3"/>
  <c r="AG618" i="3"/>
  <c r="AF618" i="3"/>
  <c r="AE618" i="3"/>
  <c r="AD618" i="3"/>
  <c r="AC618" i="3"/>
  <c r="AB618" i="3"/>
  <c r="AA618" i="3"/>
  <c r="Z618" i="3"/>
  <c r="AG617" i="3"/>
  <c r="AF617" i="3"/>
  <c r="AE617" i="3"/>
  <c r="AD617" i="3"/>
  <c r="AC617" i="3"/>
  <c r="AB617" i="3"/>
  <c r="AA617" i="3"/>
  <c r="Z617" i="3"/>
  <c r="AG616" i="3"/>
  <c r="AF616" i="3"/>
  <c r="AE616" i="3"/>
  <c r="AD616" i="3"/>
  <c r="AC616" i="3"/>
  <c r="AB616" i="3"/>
  <c r="AA616" i="3"/>
  <c r="Z616" i="3"/>
  <c r="AG615" i="3"/>
  <c r="AF615" i="3"/>
  <c r="AE615" i="3"/>
  <c r="AD615" i="3"/>
  <c r="AC615" i="3"/>
  <c r="AB615" i="3"/>
  <c r="AA615" i="3"/>
  <c r="Z615" i="3"/>
  <c r="AG614" i="3"/>
  <c r="AF614" i="3"/>
  <c r="AE614" i="3"/>
  <c r="AD614" i="3"/>
  <c r="AC614" i="3"/>
  <c r="AB614" i="3"/>
  <c r="AA614" i="3"/>
  <c r="Z614" i="3"/>
  <c r="AG613" i="3"/>
  <c r="AF613" i="3"/>
  <c r="AE613" i="3"/>
  <c r="AD613" i="3"/>
  <c r="AC613" i="3"/>
  <c r="AB613" i="3"/>
  <c r="AA613" i="3"/>
  <c r="Z613" i="3"/>
  <c r="AG612" i="3"/>
  <c r="AF612" i="3"/>
  <c r="AE612" i="3"/>
  <c r="AD612" i="3"/>
  <c r="AC612" i="3"/>
  <c r="AB612" i="3"/>
  <c r="AA612" i="3"/>
  <c r="Z612" i="3"/>
  <c r="AG611" i="3"/>
  <c r="AF611" i="3"/>
  <c r="AE611" i="3"/>
  <c r="AD611" i="3"/>
  <c r="AC611" i="3"/>
  <c r="AB611" i="3"/>
  <c r="AA611" i="3"/>
  <c r="Z611" i="3"/>
  <c r="AG610" i="3"/>
  <c r="AF610" i="3"/>
  <c r="AE610" i="3"/>
  <c r="AD610" i="3"/>
  <c r="AC610" i="3"/>
  <c r="AB610" i="3"/>
  <c r="AA610" i="3"/>
  <c r="Z610" i="3"/>
  <c r="AG609" i="3"/>
  <c r="AF609" i="3"/>
  <c r="AE609" i="3"/>
  <c r="AD609" i="3"/>
  <c r="AC609" i="3"/>
  <c r="AB609" i="3"/>
  <c r="AA609" i="3"/>
  <c r="Z609" i="3"/>
  <c r="AG608" i="3"/>
  <c r="AF608" i="3"/>
  <c r="AE608" i="3"/>
  <c r="AD608" i="3"/>
  <c r="AC608" i="3"/>
  <c r="AB608" i="3"/>
  <c r="AA608" i="3"/>
  <c r="Z608" i="3"/>
  <c r="AG607" i="3"/>
  <c r="AF607" i="3"/>
  <c r="AE607" i="3"/>
  <c r="AD607" i="3"/>
  <c r="AC607" i="3"/>
  <c r="AB607" i="3"/>
  <c r="AA607" i="3"/>
  <c r="Z607" i="3"/>
  <c r="AG606" i="3"/>
  <c r="AF606" i="3"/>
  <c r="AE606" i="3"/>
  <c r="AD606" i="3"/>
  <c r="AC606" i="3"/>
  <c r="AB606" i="3"/>
  <c r="AA606" i="3"/>
  <c r="Z606" i="3"/>
  <c r="AG605" i="3"/>
  <c r="AF605" i="3"/>
  <c r="AE605" i="3"/>
  <c r="AD605" i="3"/>
  <c r="AC605" i="3"/>
  <c r="AB605" i="3"/>
  <c r="AA605" i="3"/>
  <c r="Z605" i="3"/>
  <c r="AG604" i="3"/>
  <c r="AF604" i="3"/>
  <c r="AE604" i="3"/>
  <c r="AD604" i="3"/>
  <c r="AC604" i="3"/>
  <c r="AB604" i="3"/>
  <c r="AA604" i="3"/>
  <c r="Z604" i="3"/>
  <c r="AG603" i="3"/>
  <c r="AF603" i="3"/>
  <c r="AE603" i="3"/>
  <c r="AD603" i="3"/>
  <c r="AC603" i="3"/>
  <c r="AB603" i="3"/>
  <c r="AA603" i="3"/>
  <c r="Z603" i="3"/>
  <c r="AG602" i="3"/>
  <c r="AF602" i="3"/>
  <c r="AE602" i="3"/>
  <c r="AD602" i="3"/>
  <c r="AC602" i="3"/>
  <c r="AB602" i="3"/>
  <c r="AA602" i="3"/>
  <c r="Z602" i="3"/>
  <c r="AG601" i="3"/>
  <c r="AF601" i="3"/>
  <c r="AE601" i="3"/>
  <c r="AD601" i="3"/>
  <c r="AC601" i="3"/>
  <c r="AB601" i="3"/>
  <c r="AA601" i="3"/>
  <c r="Z601" i="3"/>
  <c r="AG600" i="3"/>
  <c r="AF600" i="3"/>
  <c r="AE600" i="3"/>
  <c r="AD600" i="3"/>
  <c r="AC600" i="3"/>
  <c r="AB600" i="3"/>
  <c r="AA600" i="3"/>
  <c r="Z600" i="3"/>
  <c r="AG599" i="3"/>
  <c r="AF599" i="3"/>
  <c r="AE599" i="3"/>
  <c r="AD599" i="3"/>
  <c r="AC599" i="3"/>
  <c r="AB599" i="3"/>
  <c r="AA599" i="3"/>
  <c r="Z599" i="3"/>
  <c r="AG598" i="3"/>
  <c r="AF598" i="3"/>
  <c r="AE598" i="3"/>
  <c r="AD598" i="3"/>
  <c r="AC598" i="3"/>
  <c r="AB598" i="3"/>
  <c r="AA598" i="3"/>
  <c r="Z598" i="3"/>
  <c r="AG597" i="3"/>
  <c r="AF597" i="3"/>
  <c r="AE597" i="3"/>
  <c r="AD597" i="3"/>
  <c r="AC597" i="3"/>
  <c r="AB597" i="3"/>
  <c r="AA597" i="3"/>
  <c r="Z597" i="3"/>
  <c r="AG596" i="3"/>
  <c r="AF596" i="3"/>
  <c r="AE596" i="3"/>
  <c r="AD596" i="3"/>
  <c r="AC596" i="3"/>
  <c r="AB596" i="3"/>
  <c r="AA596" i="3"/>
  <c r="Z596" i="3"/>
  <c r="AG595" i="3"/>
  <c r="AF595" i="3"/>
  <c r="AE595" i="3"/>
  <c r="AD595" i="3"/>
  <c r="AC595" i="3"/>
  <c r="AB595" i="3"/>
  <c r="AA595" i="3"/>
  <c r="Z595" i="3"/>
  <c r="AG594" i="3"/>
  <c r="AF594" i="3"/>
  <c r="AE594" i="3"/>
  <c r="AD594" i="3"/>
  <c r="AC594" i="3"/>
  <c r="AB594" i="3"/>
  <c r="AA594" i="3"/>
  <c r="Z594" i="3"/>
  <c r="AG593" i="3"/>
  <c r="AF593" i="3"/>
  <c r="AE593" i="3"/>
  <c r="AD593" i="3"/>
  <c r="AC593" i="3"/>
  <c r="AB593" i="3"/>
  <c r="AA593" i="3"/>
  <c r="Z593" i="3"/>
  <c r="AG592" i="3"/>
  <c r="AF592" i="3"/>
  <c r="AE592" i="3"/>
  <c r="AD592" i="3"/>
  <c r="AC592" i="3"/>
  <c r="AB592" i="3"/>
  <c r="AA592" i="3"/>
  <c r="Z592" i="3"/>
  <c r="AG591" i="3"/>
  <c r="AF591" i="3"/>
  <c r="AE591" i="3"/>
  <c r="AD591" i="3"/>
  <c r="AC591" i="3"/>
  <c r="AB591" i="3"/>
  <c r="AA591" i="3"/>
  <c r="Z591" i="3"/>
  <c r="AG590" i="3"/>
  <c r="AF590" i="3"/>
  <c r="AE590" i="3"/>
  <c r="AD590" i="3"/>
  <c r="AC590" i="3"/>
  <c r="AB590" i="3"/>
  <c r="AA590" i="3"/>
  <c r="Z590" i="3"/>
  <c r="AG589" i="3"/>
  <c r="AF589" i="3"/>
  <c r="AE589" i="3"/>
  <c r="AD589" i="3"/>
  <c r="AC589" i="3"/>
  <c r="AB589" i="3"/>
  <c r="AA589" i="3"/>
  <c r="Z589" i="3"/>
  <c r="AG588" i="3"/>
  <c r="AF588" i="3"/>
  <c r="AE588" i="3"/>
  <c r="AD588" i="3"/>
  <c r="AC588" i="3"/>
  <c r="AB588" i="3"/>
  <c r="AA588" i="3"/>
  <c r="Z588" i="3"/>
  <c r="AG587" i="3"/>
  <c r="AF587" i="3"/>
  <c r="AE587" i="3"/>
  <c r="AD587" i="3"/>
  <c r="AC587" i="3"/>
  <c r="AB587" i="3"/>
  <c r="AA587" i="3"/>
  <c r="Z587" i="3"/>
  <c r="AG586" i="3"/>
  <c r="AF586" i="3"/>
  <c r="AE586" i="3"/>
  <c r="AD586" i="3"/>
  <c r="AC586" i="3"/>
  <c r="AB586" i="3"/>
  <c r="AA586" i="3"/>
  <c r="Z586" i="3"/>
  <c r="AG585" i="3"/>
  <c r="AF585" i="3"/>
  <c r="AE585" i="3"/>
  <c r="AD585" i="3"/>
  <c r="AC585" i="3"/>
  <c r="AB585" i="3"/>
  <c r="AA585" i="3"/>
  <c r="Z585" i="3"/>
  <c r="AG584" i="3"/>
  <c r="AF584" i="3"/>
  <c r="AE584" i="3"/>
  <c r="AD584" i="3"/>
  <c r="AC584" i="3"/>
  <c r="AB584" i="3"/>
  <c r="AA584" i="3"/>
  <c r="Z584" i="3"/>
  <c r="AG583" i="3"/>
  <c r="AF583" i="3"/>
  <c r="AE583" i="3"/>
  <c r="AD583" i="3"/>
  <c r="AC583" i="3"/>
  <c r="AB583" i="3"/>
  <c r="AA583" i="3"/>
  <c r="Z583" i="3"/>
  <c r="AG582" i="3"/>
  <c r="AF582" i="3"/>
  <c r="AE582" i="3"/>
  <c r="AD582" i="3"/>
  <c r="AC582" i="3"/>
  <c r="AB582" i="3"/>
  <c r="AA582" i="3"/>
  <c r="Z582" i="3"/>
  <c r="AG581" i="3"/>
  <c r="AF581" i="3"/>
  <c r="AE581" i="3"/>
  <c r="AD581" i="3"/>
  <c r="AC581" i="3"/>
  <c r="AB581" i="3"/>
  <c r="AA581" i="3"/>
  <c r="Z581" i="3"/>
  <c r="AG580" i="3"/>
  <c r="AF580" i="3"/>
  <c r="AE580" i="3"/>
  <c r="AD580" i="3"/>
  <c r="AC580" i="3"/>
  <c r="AB580" i="3"/>
  <c r="AA580" i="3"/>
  <c r="Z580" i="3"/>
  <c r="AG579" i="3"/>
  <c r="AF579" i="3"/>
  <c r="AE579" i="3"/>
  <c r="AD579" i="3"/>
  <c r="AC579" i="3"/>
  <c r="AB579" i="3"/>
  <c r="AA579" i="3"/>
  <c r="Z579" i="3"/>
  <c r="AG578" i="3"/>
  <c r="AF578" i="3"/>
  <c r="AE578" i="3"/>
  <c r="AD578" i="3"/>
  <c r="AC578" i="3"/>
  <c r="AB578" i="3"/>
  <c r="AA578" i="3"/>
  <c r="Z578" i="3"/>
  <c r="AG577" i="3"/>
  <c r="AF577" i="3"/>
  <c r="AE577" i="3"/>
  <c r="AD577" i="3"/>
  <c r="AC577" i="3"/>
  <c r="AB577" i="3"/>
  <c r="AA577" i="3"/>
  <c r="Z577" i="3"/>
  <c r="AG576" i="3"/>
  <c r="AF576" i="3"/>
  <c r="AE576" i="3"/>
  <c r="AD576" i="3"/>
  <c r="AC576" i="3"/>
  <c r="AB576" i="3"/>
  <c r="AA576" i="3"/>
  <c r="Z576" i="3"/>
  <c r="AG575" i="3"/>
  <c r="AF575" i="3"/>
  <c r="AE575" i="3"/>
  <c r="AD575" i="3"/>
  <c r="AC575" i="3"/>
  <c r="AB575" i="3"/>
  <c r="AA575" i="3"/>
  <c r="Z575" i="3"/>
  <c r="AG574" i="3"/>
  <c r="AF574" i="3"/>
  <c r="AE574" i="3"/>
  <c r="AD574" i="3"/>
  <c r="AC574" i="3"/>
  <c r="AB574" i="3"/>
  <c r="AA574" i="3"/>
  <c r="Z574" i="3"/>
  <c r="AG573" i="3"/>
  <c r="AF573" i="3"/>
  <c r="AE573" i="3"/>
  <c r="AD573" i="3"/>
  <c r="AC573" i="3"/>
  <c r="AB573" i="3"/>
  <c r="AA573" i="3"/>
  <c r="Z573" i="3"/>
  <c r="AG572" i="3"/>
  <c r="AF572" i="3"/>
  <c r="AE572" i="3"/>
  <c r="AD572" i="3"/>
  <c r="AC572" i="3"/>
  <c r="AB572" i="3"/>
  <c r="AA572" i="3"/>
  <c r="Z572" i="3"/>
  <c r="AG571" i="3"/>
  <c r="AF571" i="3"/>
  <c r="AE571" i="3"/>
  <c r="AD571" i="3"/>
  <c r="AC571" i="3"/>
  <c r="AB571" i="3"/>
  <c r="AA571" i="3"/>
  <c r="Z571" i="3"/>
  <c r="AG570" i="3"/>
  <c r="AF570" i="3"/>
  <c r="AE570" i="3"/>
  <c r="AD570" i="3"/>
  <c r="AC570" i="3"/>
  <c r="AB570" i="3"/>
  <c r="AA570" i="3"/>
  <c r="Z570" i="3"/>
  <c r="AG569" i="3"/>
  <c r="AF569" i="3"/>
  <c r="AE569" i="3"/>
  <c r="AD569" i="3"/>
  <c r="AC569" i="3"/>
  <c r="AB569" i="3"/>
  <c r="AA569" i="3"/>
  <c r="Z569" i="3"/>
  <c r="AG568" i="3"/>
  <c r="AF568" i="3"/>
  <c r="AE568" i="3"/>
  <c r="AD568" i="3"/>
  <c r="AC568" i="3"/>
  <c r="AB568" i="3"/>
  <c r="AA568" i="3"/>
  <c r="Z568" i="3"/>
  <c r="AG567" i="3"/>
  <c r="AF567" i="3"/>
  <c r="AE567" i="3"/>
  <c r="AD567" i="3"/>
  <c r="AC567" i="3"/>
  <c r="AB567" i="3"/>
  <c r="AA567" i="3"/>
  <c r="Z567" i="3"/>
  <c r="AG566" i="3"/>
  <c r="AF566" i="3"/>
  <c r="AE566" i="3"/>
  <c r="AD566" i="3"/>
  <c r="AC566" i="3"/>
  <c r="AB566" i="3"/>
  <c r="AA566" i="3"/>
  <c r="Z566" i="3"/>
  <c r="AG565" i="3"/>
  <c r="AF565" i="3"/>
  <c r="AE565" i="3"/>
  <c r="AD565" i="3"/>
  <c r="AC565" i="3"/>
  <c r="AB565" i="3"/>
  <c r="AA565" i="3"/>
  <c r="Z565" i="3"/>
  <c r="AG564" i="3"/>
  <c r="AF564" i="3"/>
  <c r="AE564" i="3"/>
  <c r="AD564" i="3"/>
  <c r="AC564" i="3"/>
  <c r="AB564" i="3"/>
  <c r="AA564" i="3"/>
  <c r="Z564" i="3"/>
  <c r="AG563" i="3"/>
  <c r="AF563" i="3"/>
  <c r="AE563" i="3"/>
  <c r="AD563" i="3"/>
  <c r="AC563" i="3"/>
  <c r="AB563" i="3"/>
  <c r="AA563" i="3"/>
  <c r="Z563" i="3"/>
  <c r="AG562" i="3"/>
  <c r="AF562" i="3"/>
  <c r="AE562" i="3"/>
  <c r="AD562" i="3"/>
  <c r="AC562" i="3"/>
  <c r="AB562" i="3"/>
  <c r="AA562" i="3"/>
  <c r="Z562" i="3"/>
  <c r="AG561" i="3"/>
  <c r="AF561" i="3"/>
  <c r="AE561" i="3"/>
  <c r="AD561" i="3"/>
  <c r="AC561" i="3"/>
  <c r="AB561" i="3"/>
  <c r="AA561" i="3"/>
  <c r="Z561" i="3"/>
  <c r="AG560" i="3"/>
  <c r="AF560" i="3"/>
  <c r="AE560" i="3"/>
  <c r="AD560" i="3"/>
  <c r="AC560" i="3"/>
  <c r="AB560" i="3"/>
  <c r="AA560" i="3"/>
  <c r="Z560" i="3"/>
  <c r="AG559" i="3"/>
  <c r="AF559" i="3"/>
  <c r="AE559" i="3"/>
  <c r="AD559" i="3"/>
  <c r="AC559" i="3"/>
  <c r="AB559" i="3"/>
  <c r="AA559" i="3"/>
  <c r="Z559" i="3"/>
  <c r="AG558" i="3"/>
  <c r="AF558" i="3"/>
  <c r="AE558" i="3"/>
  <c r="AD558" i="3"/>
  <c r="AC558" i="3"/>
  <c r="AB558" i="3"/>
  <c r="AA558" i="3"/>
  <c r="Z558" i="3"/>
  <c r="AG557" i="3"/>
  <c r="AF557" i="3"/>
  <c r="AE557" i="3"/>
  <c r="AD557" i="3"/>
  <c r="AC557" i="3"/>
  <c r="AB557" i="3"/>
  <c r="AA557" i="3"/>
  <c r="Z557" i="3"/>
  <c r="AG556" i="3"/>
  <c r="AF556" i="3"/>
  <c r="AE556" i="3"/>
  <c r="AD556" i="3"/>
  <c r="AC556" i="3"/>
  <c r="AB556" i="3"/>
  <c r="AA556" i="3"/>
  <c r="Z556" i="3"/>
  <c r="AG555" i="3"/>
  <c r="AF555" i="3"/>
  <c r="AE555" i="3"/>
  <c r="AD555" i="3"/>
  <c r="AC555" i="3"/>
  <c r="AB555" i="3"/>
  <c r="AA555" i="3"/>
  <c r="Z555" i="3"/>
  <c r="AG554" i="3"/>
  <c r="AF554" i="3"/>
  <c r="AE554" i="3"/>
  <c r="AD554" i="3"/>
  <c r="AC554" i="3"/>
  <c r="AB554" i="3"/>
  <c r="AA554" i="3"/>
  <c r="Z554" i="3"/>
  <c r="AG553" i="3"/>
  <c r="AF553" i="3"/>
  <c r="AE553" i="3"/>
  <c r="AD553" i="3"/>
  <c r="AC553" i="3"/>
  <c r="AB553" i="3"/>
  <c r="AA553" i="3"/>
  <c r="Z553" i="3"/>
  <c r="AG552" i="3"/>
  <c r="AF552" i="3"/>
  <c r="AE552" i="3"/>
  <c r="AD552" i="3"/>
  <c r="AC552" i="3"/>
  <c r="AB552" i="3"/>
  <c r="AA552" i="3"/>
  <c r="Z552" i="3"/>
  <c r="AG551" i="3"/>
  <c r="AF551" i="3"/>
  <c r="AE551" i="3"/>
  <c r="AD551" i="3"/>
  <c r="AC551" i="3"/>
  <c r="AB551" i="3"/>
  <c r="AA551" i="3"/>
  <c r="Z551" i="3"/>
  <c r="AG550" i="3"/>
  <c r="AF550" i="3"/>
  <c r="AE550" i="3"/>
  <c r="AD550" i="3"/>
  <c r="AC550" i="3"/>
  <c r="AB550" i="3"/>
  <c r="AA550" i="3"/>
  <c r="Z550" i="3"/>
  <c r="AG549" i="3"/>
  <c r="AF549" i="3"/>
  <c r="AE549" i="3"/>
  <c r="AD549" i="3"/>
  <c r="AC549" i="3"/>
  <c r="AB549" i="3"/>
  <c r="AA549" i="3"/>
  <c r="Z549" i="3"/>
  <c r="AG548" i="3"/>
  <c r="AF548" i="3"/>
  <c r="AE548" i="3"/>
  <c r="AD548" i="3"/>
  <c r="AC548" i="3"/>
  <c r="AB548" i="3"/>
  <c r="AA548" i="3"/>
  <c r="Z548" i="3"/>
  <c r="AG547" i="3"/>
  <c r="AF547" i="3"/>
  <c r="AE547" i="3"/>
  <c r="AD547" i="3"/>
  <c r="AC547" i="3"/>
  <c r="AB547" i="3"/>
  <c r="AA547" i="3"/>
  <c r="Z547" i="3"/>
  <c r="AG546" i="3"/>
  <c r="AF546" i="3"/>
  <c r="AE546" i="3"/>
  <c r="AD546" i="3"/>
  <c r="AC546" i="3"/>
  <c r="AB546" i="3"/>
  <c r="AA546" i="3"/>
  <c r="Z546" i="3"/>
  <c r="AG545" i="3"/>
  <c r="AF545" i="3"/>
  <c r="AE545" i="3"/>
  <c r="AD545" i="3"/>
  <c r="AC545" i="3"/>
  <c r="AB545" i="3"/>
  <c r="AA545" i="3"/>
  <c r="Z545" i="3"/>
  <c r="AG544" i="3"/>
  <c r="AF544" i="3"/>
  <c r="AE544" i="3"/>
  <c r="AD544" i="3"/>
  <c r="AC544" i="3"/>
  <c r="AB544" i="3"/>
  <c r="AA544" i="3"/>
  <c r="Z544" i="3"/>
  <c r="AG543" i="3"/>
  <c r="AF543" i="3"/>
  <c r="AE543" i="3"/>
  <c r="AD543" i="3"/>
  <c r="AC543" i="3"/>
  <c r="AB543" i="3"/>
  <c r="AA543" i="3"/>
  <c r="Z543" i="3"/>
  <c r="AG542" i="3"/>
  <c r="AF542" i="3"/>
  <c r="AE542" i="3"/>
  <c r="AD542" i="3"/>
  <c r="AC542" i="3"/>
  <c r="AB542" i="3"/>
  <c r="AA542" i="3"/>
  <c r="Z542" i="3"/>
  <c r="AG541" i="3"/>
  <c r="AF541" i="3"/>
  <c r="AE541" i="3"/>
  <c r="AD541" i="3"/>
  <c r="AC541" i="3"/>
  <c r="AB541" i="3"/>
  <c r="AA541" i="3"/>
  <c r="Z541" i="3"/>
  <c r="AG540" i="3"/>
  <c r="AF540" i="3"/>
  <c r="AE540" i="3"/>
  <c r="AD540" i="3"/>
  <c r="AC540" i="3"/>
  <c r="AB540" i="3"/>
  <c r="AA540" i="3"/>
  <c r="Z540" i="3"/>
  <c r="AG539" i="3"/>
  <c r="AF539" i="3"/>
  <c r="AE539" i="3"/>
  <c r="AD539" i="3"/>
  <c r="AC539" i="3"/>
  <c r="AB539" i="3"/>
  <c r="AA539" i="3"/>
  <c r="Z539" i="3"/>
  <c r="AG538" i="3"/>
  <c r="AF538" i="3"/>
  <c r="AE538" i="3"/>
  <c r="AD538" i="3"/>
  <c r="AC538" i="3"/>
  <c r="AB538" i="3"/>
  <c r="AA538" i="3"/>
  <c r="Z538" i="3"/>
  <c r="AG537" i="3"/>
  <c r="AF537" i="3"/>
  <c r="AE537" i="3"/>
  <c r="AD537" i="3"/>
  <c r="AC537" i="3"/>
  <c r="AB537" i="3"/>
  <c r="AA537" i="3"/>
  <c r="Z537" i="3"/>
  <c r="AG536" i="3"/>
  <c r="AF536" i="3"/>
  <c r="AE536" i="3"/>
  <c r="AD536" i="3"/>
  <c r="AC536" i="3"/>
  <c r="AB536" i="3"/>
  <c r="AA536" i="3"/>
  <c r="Z536" i="3"/>
  <c r="AG535" i="3"/>
  <c r="AF535" i="3"/>
  <c r="AE535" i="3"/>
  <c r="AD535" i="3"/>
  <c r="AC535" i="3"/>
  <c r="AB535" i="3"/>
  <c r="AA535" i="3"/>
  <c r="Z535" i="3"/>
  <c r="AG534" i="3"/>
  <c r="AF534" i="3"/>
  <c r="AE534" i="3"/>
  <c r="AD534" i="3"/>
  <c r="AC534" i="3"/>
  <c r="AB534" i="3"/>
  <c r="AA534" i="3"/>
  <c r="Z534" i="3"/>
  <c r="AG533" i="3"/>
  <c r="AF533" i="3"/>
  <c r="AE533" i="3"/>
  <c r="AD533" i="3"/>
  <c r="AC533" i="3"/>
  <c r="AB533" i="3"/>
  <c r="AA533" i="3"/>
  <c r="Z533" i="3"/>
  <c r="AG532" i="3"/>
  <c r="AF532" i="3"/>
  <c r="AE532" i="3"/>
  <c r="AD532" i="3"/>
  <c r="AC532" i="3"/>
  <c r="AB532" i="3"/>
  <c r="AA532" i="3"/>
  <c r="Z532" i="3"/>
  <c r="AG531" i="3"/>
  <c r="AF531" i="3"/>
  <c r="AE531" i="3"/>
  <c r="AD531" i="3"/>
  <c r="AC531" i="3"/>
  <c r="AB531" i="3"/>
  <c r="AA531" i="3"/>
  <c r="Z531" i="3"/>
  <c r="AG530" i="3"/>
  <c r="AF530" i="3"/>
  <c r="AE530" i="3"/>
  <c r="AD530" i="3"/>
  <c r="AC530" i="3"/>
  <c r="AB530" i="3"/>
  <c r="AA530" i="3"/>
  <c r="Z530" i="3"/>
  <c r="AG529" i="3"/>
  <c r="AF529" i="3"/>
  <c r="AE529" i="3"/>
  <c r="AD529" i="3"/>
  <c r="AC529" i="3"/>
  <c r="AB529" i="3"/>
  <c r="AA529" i="3"/>
  <c r="Z529" i="3"/>
  <c r="AG528" i="3"/>
  <c r="AF528" i="3"/>
  <c r="AE528" i="3"/>
  <c r="AD528" i="3"/>
  <c r="AC528" i="3"/>
  <c r="AB528" i="3"/>
  <c r="AA528" i="3"/>
  <c r="Z528" i="3"/>
  <c r="AG527" i="3"/>
  <c r="AF527" i="3"/>
  <c r="AE527" i="3"/>
  <c r="AD527" i="3"/>
  <c r="AC527" i="3"/>
  <c r="AB527" i="3"/>
  <c r="AA527" i="3"/>
  <c r="Z527" i="3"/>
  <c r="AG526" i="3"/>
  <c r="AF526" i="3"/>
  <c r="AE526" i="3"/>
  <c r="AD526" i="3"/>
  <c r="AC526" i="3"/>
  <c r="AB526" i="3"/>
  <c r="AA526" i="3"/>
  <c r="Z526" i="3"/>
  <c r="AG525" i="3"/>
  <c r="AF525" i="3"/>
  <c r="AE525" i="3"/>
  <c r="AD525" i="3"/>
  <c r="AC525" i="3"/>
  <c r="AB525" i="3"/>
  <c r="AA525" i="3"/>
  <c r="Z525" i="3"/>
  <c r="AG524" i="3"/>
  <c r="AF524" i="3"/>
  <c r="AE524" i="3"/>
  <c r="AD524" i="3"/>
  <c r="AC524" i="3"/>
  <c r="AB524" i="3"/>
  <c r="AA524" i="3"/>
  <c r="Z524" i="3"/>
  <c r="AG523" i="3"/>
  <c r="AF523" i="3"/>
  <c r="AE523" i="3"/>
  <c r="AD523" i="3"/>
  <c r="AC523" i="3"/>
  <c r="AB523" i="3"/>
  <c r="AA523" i="3"/>
  <c r="Z523" i="3"/>
  <c r="AG522" i="3"/>
  <c r="AF522" i="3"/>
  <c r="AE522" i="3"/>
  <c r="AD522" i="3"/>
  <c r="AC522" i="3"/>
  <c r="AB522" i="3"/>
  <c r="AA522" i="3"/>
  <c r="Z522" i="3"/>
  <c r="AG521" i="3"/>
  <c r="AF521" i="3"/>
  <c r="AE521" i="3"/>
  <c r="AD521" i="3"/>
  <c r="AC521" i="3"/>
  <c r="AB521" i="3"/>
  <c r="AA521" i="3"/>
  <c r="Z521" i="3"/>
  <c r="AG520" i="3"/>
  <c r="AF520" i="3"/>
  <c r="AE520" i="3"/>
  <c r="AD520" i="3"/>
  <c r="AC520" i="3"/>
  <c r="AB520" i="3"/>
  <c r="AA520" i="3"/>
  <c r="Z520" i="3"/>
  <c r="AG519" i="3"/>
  <c r="AF519" i="3"/>
  <c r="AE519" i="3"/>
  <c r="AD519" i="3"/>
  <c r="AC519" i="3"/>
  <c r="AB519" i="3"/>
  <c r="AA519" i="3"/>
  <c r="Z519" i="3"/>
  <c r="AG518" i="3"/>
  <c r="AF518" i="3"/>
  <c r="AE518" i="3"/>
  <c r="AD518" i="3"/>
  <c r="AC518" i="3"/>
  <c r="AB518" i="3"/>
  <c r="AA518" i="3"/>
  <c r="Z518" i="3"/>
  <c r="AG517" i="3"/>
  <c r="AF517" i="3"/>
  <c r="AE517" i="3"/>
  <c r="AD517" i="3"/>
  <c r="AC517" i="3"/>
  <c r="AB517" i="3"/>
  <c r="AA517" i="3"/>
  <c r="Z517" i="3"/>
  <c r="AG516" i="3"/>
  <c r="AF516" i="3"/>
  <c r="AE516" i="3"/>
  <c r="AD516" i="3"/>
  <c r="AC516" i="3"/>
  <c r="AB516" i="3"/>
  <c r="AA516" i="3"/>
  <c r="Z516" i="3"/>
  <c r="AG515" i="3"/>
  <c r="AF515" i="3"/>
  <c r="AE515" i="3"/>
  <c r="AD515" i="3"/>
  <c r="AC515" i="3"/>
  <c r="AB515" i="3"/>
  <c r="AA515" i="3"/>
  <c r="Z515" i="3"/>
  <c r="AG514" i="3"/>
  <c r="AF514" i="3"/>
  <c r="AE514" i="3"/>
  <c r="AD514" i="3"/>
  <c r="AC514" i="3"/>
  <c r="AB514" i="3"/>
  <c r="AA514" i="3"/>
  <c r="Z514" i="3"/>
  <c r="AG513" i="3"/>
  <c r="AF513" i="3"/>
  <c r="AE513" i="3"/>
  <c r="AD513" i="3"/>
  <c r="AC513" i="3"/>
  <c r="AB513" i="3"/>
  <c r="AA513" i="3"/>
  <c r="Z513" i="3"/>
  <c r="AG512" i="3"/>
  <c r="AF512" i="3"/>
  <c r="AE512" i="3"/>
  <c r="AD512" i="3"/>
  <c r="AC512" i="3"/>
  <c r="AB512" i="3"/>
  <c r="AA512" i="3"/>
  <c r="Z512" i="3"/>
  <c r="AG511" i="3"/>
  <c r="AF511" i="3"/>
  <c r="AE511" i="3"/>
  <c r="AD511" i="3"/>
  <c r="AC511" i="3"/>
  <c r="AB511" i="3"/>
  <c r="AA511" i="3"/>
  <c r="Z511" i="3"/>
  <c r="AG510" i="3"/>
  <c r="AF510" i="3"/>
  <c r="AE510" i="3"/>
  <c r="AD510" i="3"/>
  <c r="AC510" i="3"/>
  <c r="AB510" i="3"/>
  <c r="AA510" i="3"/>
  <c r="Z510" i="3"/>
  <c r="AG509" i="3"/>
  <c r="AF509" i="3"/>
  <c r="AE509" i="3"/>
  <c r="AD509" i="3"/>
  <c r="AC509" i="3"/>
  <c r="AB509" i="3"/>
  <c r="AA509" i="3"/>
  <c r="Z509" i="3"/>
  <c r="AG508" i="3"/>
  <c r="AF508" i="3"/>
  <c r="AE508" i="3"/>
  <c r="AD508" i="3"/>
  <c r="AC508" i="3"/>
  <c r="AB508" i="3"/>
  <c r="AA508" i="3"/>
  <c r="Z508" i="3"/>
  <c r="AG507" i="3"/>
  <c r="AF507" i="3"/>
  <c r="AE507" i="3"/>
  <c r="AD507" i="3"/>
  <c r="AC507" i="3"/>
  <c r="AB507" i="3"/>
  <c r="AA507" i="3"/>
  <c r="Z507" i="3"/>
  <c r="AG506" i="3"/>
  <c r="AF506" i="3"/>
  <c r="AE506" i="3"/>
  <c r="AD506" i="3"/>
  <c r="AC506" i="3"/>
  <c r="AB506" i="3"/>
  <c r="AA506" i="3"/>
  <c r="Z506" i="3"/>
  <c r="AG505" i="3"/>
  <c r="AF505" i="3"/>
  <c r="AE505" i="3"/>
  <c r="AD505" i="3"/>
  <c r="AC505" i="3"/>
  <c r="AB505" i="3"/>
  <c r="AA505" i="3"/>
  <c r="Z505" i="3"/>
  <c r="AG504" i="3"/>
  <c r="AF504" i="3"/>
  <c r="AE504" i="3"/>
  <c r="AD504" i="3"/>
  <c r="AC504" i="3"/>
  <c r="AB504" i="3"/>
  <c r="AA504" i="3"/>
  <c r="Z504" i="3"/>
  <c r="AG503" i="3"/>
  <c r="AF503" i="3"/>
  <c r="AE503" i="3"/>
  <c r="AD503" i="3"/>
  <c r="AC503" i="3"/>
  <c r="AB503" i="3"/>
  <c r="AA503" i="3"/>
  <c r="Z503" i="3"/>
  <c r="AG502" i="3"/>
  <c r="AF502" i="3"/>
  <c r="AE502" i="3"/>
  <c r="AD502" i="3"/>
  <c r="AC502" i="3"/>
  <c r="AB502" i="3"/>
  <c r="AA502" i="3"/>
  <c r="Z502" i="3"/>
  <c r="AG501" i="3"/>
  <c r="AF501" i="3"/>
  <c r="AE501" i="3"/>
  <c r="AD501" i="3"/>
  <c r="AC501" i="3"/>
  <c r="AB501" i="3"/>
  <c r="AA501" i="3"/>
  <c r="Z501" i="3"/>
  <c r="AG500" i="3"/>
  <c r="AF500" i="3"/>
  <c r="AE500" i="3"/>
  <c r="AD500" i="3"/>
  <c r="AC500" i="3"/>
  <c r="AB500" i="3"/>
  <c r="AA500" i="3"/>
  <c r="Z500" i="3"/>
  <c r="AG499" i="3"/>
  <c r="AF499" i="3"/>
  <c r="AE499" i="3"/>
  <c r="AD499" i="3"/>
  <c r="AC499" i="3"/>
  <c r="AB499" i="3"/>
  <c r="AA499" i="3"/>
  <c r="Z499" i="3"/>
  <c r="AG498" i="3"/>
  <c r="AF498" i="3"/>
  <c r="AE498" i="3"/>
  <c r="AD498" i="3"/>
  <c r="AC498" i="3"/>
  <c r="AB498" i="3"/>
  <c r="AA498" i="3"/>
  <c r="Z498" i="3"/>
  <c r="AG497" i="3"/>
  <c r="AF497" i="3"/>
  <c r="AE497" i="3"/>
  <c r="AD497" i="3"/>
  <c r="AC497" i="3"/>
  <c r="AB497" i="3"/>
  <c r="AA497" i="3"/>
  <c r="Z497" i="3"/>
  <c r="AG496" i="3"/>
  <c r="AF496" i="3"/>
  <c r="AE496" i="3"/>
  <c r="AD496" i="3"/>
  <c r="AC496" i="3"/>
  <c r="AB496" i="3"/>
  <c r="AA496" i="3"/>
  <c r="Z496" i="3"/>
  <c r="AG495" i="3"/>
  <c r="AF495" i="3"/>
  <c r="AE495" i="3"/>
  <c r="AD495" i="3"/>
  <c r="AC495" i="3"/>
  <c r="AB495" i="3"/>
  <c r="AA495" i="3"/>
  <c r="Z495" i="3"/>
  <c r="AG494" i="3"/>
  <c r="AF494" i="3"/>
  <c r="AE494" i="3"/>
  <c r="AD494" i="3"/>
  <c r="AC494" i="3"/>
  <c r="AB494" i="3"/>
  <c r="AA494" i="3"/>
  <c r="Z494" i="3"/>
  <c r="AG493" i="3"/>
  <c r="AF493" i="3"/>
  <c r="AE493" i="3"/>
  <c r="AD493" i="3"/>
  <c r="AC493" i="3"/>
  <c r="AB493" i="3"/>
  <c r="AA493" i="3"/>
  <c r="Z493" i="3"/>
  <c r="AG492" i="3"/>
  <c r="AF492" i="3"/>
  <c r="AE492" i="3"/>
  <c r="AD492" i="3"/>
  <c r="AC492" i="3"/>
  <c r="AB492" i="3"/>
  <c r="AA492" i="3"/>
  <c r="Z492" i="3"/>
  <c r="AG491" i="3"/>
  <c r="AF491" i="3"/>
  <c r="AE491" i="3"/>
  <c r="AD491" i="3"/>
  <c r="AC491" i="3"/>
  <c r="AB491" i="3"/>
  <c r="AA491" i="3"/>
  <c r="Z491" i="3"/>
  <c r="AG490" i="3"/>
  <c r="AF490" i="3"/>
  <c r="AE490" i="3"/>
  <c r="AD490" i="3"/>
  <c r="AC490" i="3"/>
  <c r="AB490" i="3"/>
  <c r="AA490" i="3"/>
  <c r="Z490" i="3"/>
  <c r="AG489" i="3"/>
  <c r="AF489" i="3"/>
  <c r="AE489" i="3"/>
  <c r="AD489" i="3"/>
  <c r="AC489" i="3"/>
  <c r="AB489" i="3"/>
  <c r="AA489" i="3"/>
  <c r="Z489" i="3"/>
  <c r="AG488" i="3"/>
  <c r="AF488" i="3"/>
  <c r="AE488" i="3"/>
  <c r="AD488" i="3"/>
  <c r="AC488" i="3"/>
  <c r="AB488" i="3"/>
  <c r="AA488" i="3"/>
  <c r="Z488" i="3"/>
  <c r="AG487" i="3"/>
  <c r="AF487" i="3"/>
  <c r="AE487" i="3"/>
  <c r="AD487" i="3"/>
  <c r="AC487" i="3"/>
  <c r="AB487" i="3"/>
  <c r="AA487" i="3"/>
  <c r="Z487" i="3"/>
  <c r="AG486" i="3"/>
  <c r="AF486" i="3"/>
  <c r="AE486" i="3"/>
  <c r="AD486" i="3"/>
  <c r="AC486" i="3"/>
  <c r="AB486" i="3"/>
  <c r="AA486" i="3"/>
  <c r="Z486" i="3"/>
  <c r="AG485" i="3"/>
  <c r="AF485" i="3"/>
  <c r="AE485" i="3"/>
  <c r="AD485" i="3"/>
  <c r="AC485" i="3"/>
  <c r="AB485" i="3"/>
  <c r="AA485" i="3"/>
  <c r="Z485" i="3"/>
  <c r="AG484" i="3"/>
  <c r="AF484" i="3"/>
  <c r="AE484" i="3"/>
  <c r="AD484" i="3"/>
  <c r="AC484" i="3"/>
  <c r="AB484" i="3"/>
  <c r="AA484" i="3"/>
  <c r="Z484" i="3"/>
  <c r="AG483" i="3"/>
  <c r="AF483" i="3"/>
  <c r="AE483" i="3"/>
  <c r="AD483" i="3"/>
  <c r="AC483" i="3"/>
  <c r="AB483" i="3"/>
  <c r="AA483" i="3"/>
  <c r="Z483" i="3"/>
  <c r="AG482" i="3"/>
  <c r="AF482" i="3"/>
  <c r="AE482" i="3"/>
  <c r="AD482" i="3"/>
  <c r="AC482" i="3"/>
  <c r="AB482" i="3"/>
  <c r="AA482" i="3"/>
  <c r="Z482" i="3"/>
  <c r="AG481" i="3"/>
  <c r="AF481" i="3"/>
  <c r="AE481" i="3"/>
  <c r="AD481" i="3"/>
  <c r="AC481" i="3"/>
  <c r="AB481" i="3"/>
  <c r="AA481" i="3"/>
  <c r="Z481" i="3"/>
  <c r="AG480" i="3"/>
  <c r="AF480" i="3"/>
  <c r="AE480" i="3"/>
  <c r="AD480" i="3"/>
  <c r="AC480" i="3"/>
  <c r="AB480" i="3"/>
  <c r="AA480" i="3"/>
  <c r="Z480" i="3"/>
  <c r="AG479" i="3"/>
  <c r="AF479" i="3"/>
  <c r="AE479" i="3"/>
  <c r="AD479" i="3"/>
  <c r="AC479" i="3"/>
  <c r="AB479" i="3"/>
  <c r="AA479" i="3"/>
  <c r="Z479" i="3"/>
  <c r="AG478" i="3"/>
  <c r="AF478" i="3"/>
  <c r="AE478" i="3"/>
  <c r="AD478" i="3"/>
  <c r="AC478" i="3"/>
  <c r="AB478" i="3"/>
  <c r="AA478" i="3"/>
  <c r="Z478" i="3"/>
  <c r="AG477" i="3"/>
  <c r="AF477" i="3"/>
  <c r="AE477" i="3"/>
  <c r="AD477" i="3"/>
  <c r="AC477" i="3"/>
  <c r="AB477" i="3"/>
  <c r="AA477" i="3"/>
  <c r="Z477" i="3"/>
  <c r="AG476" i="3"/>
  <c r="AF476" i="3"/>
  <c r="AE476" i="3"/>
  <c r="AD476" i="3"/>
  <c r="AC476" i="3"/>
  <c r="AB476" i="3"/>
  <c r="AA476" i="3"/>
  <c r="Z476" i="3"/>
  <c r="AG475" i="3"/>
  <c r="AF475" i="3"/>
  <c r="AE475" i="3"/>
  <c r="AD475" i="3"/>
  <c r="AC475" i="3"/>
  <c r="AB475" i="3"/>
  <c r="AA475" i="3"/>
  <c r="Z475" i="3"/>
  <c r="AG474" i="3"/>
  <c r="AF474" i="3"/>
  <c r="AE474" i="3"/>
  <c r="AD474" i="3"/>
  <c r="AC474" i="3"/>
  <c r="AB474" i="3"/>
  <c r="AA474" i="3"/>
  <c r="Z474" i="3"/>
  <c r="AG473" i="3"/>
  <c r="AF473" i="3"/>
  <c r="AE473" i="3"/>
  <c r="AD473" i="3"/>
  <c r="AC473" i="3"/>
  <c r="AB473" i="3"/>
  <c r="AA473" i="3"/>
  <c r="Z473" i="3"/>
  <c r="AG472" i="3"/>
  <c r="AF472" i="3"/>
  <c r="AE472" i="3"/>
  <c r="AD472" i="3"/>
  <c r="AC472" i="3"/>
  <c r="AB472" i="3"/>
  <c r="AA472" i="3"/>
  <c r="Z472" i="3"/>
  <c r="AG471" i="3"/>
  <c r="AF471" i="3"/>
  <c r="AE471" i="3"/>
  <c r="AD471" i="3"/>
  <c r="AC471" i="3"/>
  <c r="AB471" i="3"/>
  <c r="AA471" i="3"/>
  <c r="Z471" i="3"/>
  <c r="AG470" i="3"/>
  <c r="AF470" i="3"/>
  <c r="AE470" i="3"/>
  <c r="AD470" i="3"/>
  <c r="AC470" i="3"/>
  <c r="AB470" i="3"/>
  <c r="AA470" i="3"/>
  <c r="Z470" i="3"/>
  <c r="AG469" i="3"/>
  <c r="AF469" i="3"/>
  <c r="AE469" i="3"/>
  <c r="AD469" i="3"/>
  <c r="AC469" i="3"/>
  <c r="AB469" i="3"/>
  <c r="AA469" i="3"/>
  <c r="Z469" i="3"/>
  <c r="AG468" i="3"/>
  <c r="AF468" i="3"/>
  <c r="AE468" i="3"/>
  <c r="AD468" i="3"/>
  <c r="AC468" i="3"/>
  <c r="AB468" i="3"/>
  <c r="AA468" i="3"/>
  <c r="Z468" i="3"/>
  <c r="AG467" i="3"/>
  <c r="AF467" i="3"/>
  <c r="AE467" i="3"/>
  <c r="AD467" i="3"/>
  <c r="AC467" i="3"/>
  <c r="AB467" i="3"/>
  <c r="AA467" i="3"/>
  <c r="Z467" i="3"/>
  <c r="AG466" i="3"/>
  <c r="AF466" i="3"/>
  <c r="AE466" i="3"/>
  <c r="AD466" i="3"/>
  <c r="AC466" i="3"/>
  <c r="AB466" i="3"/>
  <c r="AA466" i="3"/>
  <c r="Z466" i="3"/>
  <c r="AG465" i="3"/>
  <c r="AF465" i="3"/>
  <c r="AE465" i="3"/>
  <c r="AD465" i="3"/>
  <c r="AC465" i="3"/>
  <c r="AB465" i="3"/>
  <c r="AA465" i="3"/>
  <c r="Z465" i="3"/>
  <c r="AG464" i="3"/>
  <c r="AF464" i="3"/>
  <c r="AE464" i="3"/>
  <c r="AD464" i="3"/>
  <c r="AC464" i="3"/>
  <c r="AB464" i="3"/>
  <c r="AA464" i="3"/>
  <c r="Z464" i="3"/>
  <c r="AG463" i="3"/>
  <c r="AF463" i="3"/>
  <c r="AE463" i="3"/>
  <c r="AD463" i="3"/>
  <c r="AC463" i="3"/>
  <c r="AB463" i="3"/>
  <c r="AA463" i="3"/>
  <c r="Z463" i="3"/>
  <c r="AG462" i="3"/>
  <c r="AF462" i="3"/>
  <c r="AE462" i="3"/>
  <c r="AD462" i="3"/>
  <c r="AC462" i="3"/>
  <c r="AB462" i="3"/>
  <c r="AA462" i="3"/>
  <c r="Z462" i="3"/>
  <c r="AG461" i="3"/>
  <c r="AF461" i="3"/>
  <c r="AE461" i="3"/>
  <c r="AD461" i="3"/>
  <c r="AC461" i="3"/>
  <c r="AB461" i="3"/>
  <c r="AA461" i="3"/>
  <c r="Z461" i="3"/>
  <c r="AG460" i="3"/>
  <c r="AF460" i="3"/>
  <c r="AE460" i="3"/>
  <c r="AD460" i="3"/>
  <c r="AC460" i="3"/>
  <c r="AB460" i="3"/>
  <c r="AA460" i="3"/>
  <c r="Z460" i="3"/>
  <c r="AG459" i="3"/>
  <c r="AF459" i="3"/>
  <c r="AE459" i="3"/>
  <c r="AD459" i="3"/>
  <c r="AC459" i="3"/>
  <c r="AB459" i="3"/>
  <c r="AA459" i="3"/>
  <c r="Z459" i="3"/>
  <c r="AG458" i="3"/>
  <c r="AF458" i="3"/>
  <c r="AE458" i="3"/>
  <c r="AD458" i="3"/>
  <c r="AC458" i="3"/>
  <c r="AB458" i="3"/>
  <c r="AA458" i="3"/>
  <c r="Z458" i="3"/>
  <c r="AG457" i="3"/>
  <c r="AF457" i="3"/>
  <c r="AE457" i="3"/>
  <c r="AD457" i="3"/>
  <c r="AC457" i="3"/>
  <c r="AB457" i="3"/>
  <c r="AA457" i="3"/>
  <c r="Z457" i="3"/>
  <c r="AG456" i="3"/>
  <c r="AF456" i="3"/>
  <c r="AE456" i="3"/>
  <c r="AD456" i="3"/>
  <c r="AC456" i="3"/>
  <c r="AB456" i="3"/>
  <c r="AA456" i="3"/>
  <c r="Z456" i="3"/>
  <c r="AG455" i="3"/>
  <c r="AF455" i="3"/>
  <c r="AE455" i="3"/>
  <c r="AD455" i="3"/>
  <c r="AC455" i="3"/>
  <c r="AB455" i="3"/>
  <c r="AA455" i="3"/>
  <c r="Z455" i="3"/>
  <c r="AG454" i="3"/>
  <c r="AF454" i="3"/>
  <c r="AE454" i="3"/>
  <c r="AD454" i="3"/>
  <c r="AC454" i="3"/>
  <c r="AB454" i="3"/>
  <c r="AA454" i="3"/>
  <c r="Z454" i="3"/>
  <c r="AG453" i="3"/>
  <c r="AF453" i="3"/>
  <c r="AE453" i="3"/>
  <c r="AD453" i="3"/>
  <c r="AC453" i="3"/>
  <c r="AB453" i="3"/>
  <c r="AA453" i="3"/>
  <c r="Z453" i="3"/>
  <c r="AG452" i="3"/>
  <c r="AF452" i="3"/>
  <c r="AE452" i="3"/>
  <c r="AD452" i="3"/>
  <c r="AC452" i="3"/>
  <c r="AB452" i="3"/>
  <c r="AA452" i="3"/>
  <c r="Z452" i="3"/>
  <c r="AG451" i="3"/>
  <c r="AF451" i="3"/>
  <c r="AE451" i="3"/>
  <c r="AD451" i="3"/>
  <c r="AC451" i="3"/>
  <c r="AB451" i="3"/>
  <c r="AA451" i="3"/>
  <c r="Z451" i="3"/>
  <c r="AG450" i="3"/>
  <c r="AF450" i="3"/>
  <c r="AE450" i="3"/>
  <c r="AD450" i="3"/>
  <c r="AC450" i="3"/>
  <c r="AB450" i="3"/>
  <c r="AA450" i="3"/>
  <c r="Z450" i="3"/>
  <c r="AG449" i="3"/>
  <c r="AF449" i="3"/>
  <c r="AE449" i="3"/>
  <c r="AD449" i="3"/>
  <c r="AC449" i="3"/>
  <c r="AB449" i="3"/>
  <c r="AA449" i="3"/>
  <c r="Z449" i="3"/>
  <c r="AG448" i="3"/>
  <c r="AF448" i="3"/>
  <c r="AE448" i="3"/>
  <c r="AD448" i="3"/>
  <c r="AC448" i="3"/>
  <c r="AB448" i="3"/>
  <c r="AA448" i="3"/>
  <c r="Z448" i="3"/>
  <c r="AG447" i="3"/>
  <c r="AF447" i="3"/>
  <c r="AE447" i="3"/>
  <c r="AD447" i="3"/>
  <c r="AC447" i="3"/>
  <c r="AB447" i="3"/>
  <c r="AA447" i="3"/>
  <c r="Z447" i="3"/>
  <c r="AG446" i="3"/>
  <c r="AF446" i="3"/>
  <c r="AE446" i="3"/>
  <c r="AD446" i="3"/>
  <c r="AC446" i="3"/>
  <c r="AB446" i="3"/>
  <c r="AA446" i="3"/>
  <c r="Z446" i="3"/>
  <c r="AG445" i="3"/>
  <c r="AF445" i="3"/>
  <c r="AE445" i="3"/>
  <c r="AD445" i="3"/>
  <c r="AC445" i="3"/>
  <c r="AB445" i="3"/>
  <c r="AA445" i="3"/>
  <c r="Z445" i="3"/>
  <c r="AG444" i="3"/>
  <c r="AF444" i="3"/>
  <c r="AE444" i="3"/>
  <c r="AD444" i="3"/>
  <c r="AC444" i="3"/>
  <c r="AB444" i="3"/>
  <c r="AA444" i="3"/>
  <c r="Z444" i="3"/>
  <c r="AG443" i="3"/>
  <c r="AF443" i="3"/>
  <c r="AE443" i="3"/>
  <c r="AD443" i="3"/>
  <c r="AC443" i="3"/>
  <c r="AB443" i="3"/>
  <c r="AA443" i="3"/>
  <c r="Z443" i="3"/>
  <c r="AG442" i="3"/>
  <c r="AF442" i="3"/>
  <c r="AE442" i="3"/>
  <c r="AD442" i="3"/>
  <c r="AC442" i="3"/>
  <c r="AB442" i="3"/>
  <c r="AA442" i="3"/>
  <c r="Z442" i="3"/>
  <c r="AG441" i="3"/>
  <c r="AF441" i="3"/>
  <c r="AE441" i="3"/>
  <c r="AD441" i="3"/>
  <c r="AC441" i="3"/>
  <c r="AB441" i="3"/>
  <c r="AA441" i="3"/>
  <c r="Z441" i="3"/>
  <c r="AG440" i="3"/>
  <c r="AF440" i="3"/>
  <c r="AE440" i="3"/>
  <c r="AD440" i="3"/>
  <c r="AC440" i="3"/>
  <c r="AB440" i="3"/>
  <c r="AA440" i="3"/>
  <c r="Z440" i="3"/>
  <c r="AG439" i="3"/>
  <c r="AF439" i="3"/>
  <c r="AE439" i="3"/>
  <c r="AD439" i="3"/>
  <c r="AC439" i="3"/>
  <c r="AB439" i="3"/>
  <c r="AA439" i="3"/>
  <c r="Z439" i="3"/>
  <c r="AG438" i="3"/>
  <c r="AF438" i="3"/>
  <c r="AE438" i="3"/>
  <c r="AD438" i="3"/>
  <c r="AC438" i="3"/>
  <c r="AB438" i="3"/>
  <c r="AA438" i="3"/>
  <c r="Z438" i="3"/>
  <c r="AG437" i="3"/>
  <c r="AF437" i="3"/>
  <c r="AE437" i="3"/>
  <c r="AD437" i="3"/>
  <c r="AC437" i="3"/>
  <c r="AB437" i="3"/>
  <c r="AA437" i="3"/>
  <c r="Z437" i="3"/>
  <c r="AG436" i="3"/>
  <c r="AF436" i="3"/>
  <c r="AE436" i="3"/>
  <c r="AD436" i="3"/>
  <c r="AC436" i="3"/>
  <c r="AB436" i="3"/>
  <c r="AA436" i="3"/>
  <c r="Z436" i="3"/>
  <c r="AG435" i="3"/>
  <c r="AF435" i="3"/>
  <c r="AE435" i="3"/>
  <c r="AD435" i="3"/>
  <c r="AC435" i="3"/>
  <c r="AB435" i="3"/>
  <c r="AA435" i="3"/>
  <c r="Z435" i="3"/>
  <c r="AG434" i="3"/>
  <c r="AF434" i="3"/>
  <c r="AE434" i="3"/>
  <c r="AD434" i="3"/>
  <c r="AC434" i="3"/>
  <c r="AB434" i="3"/>
  <c r="AA434" i="3"/>
  <c r="Z434" i="3"/>
  <c r="AG433" i="3"/>
  <c r="AF433" i="3"/>
  <c r="AE433" i="3"/>
  <c r="AD433" i="3"/>
  <c r="AC433" i="3"/>
  <c r="AB433" i="3"/>
  <c r="AA433" i="3"/>
  <c r="Z433" i="3"/>
  <c r="AG432" i="3"/>
  <c r="AF432" i="3"/>
  <c r="AE432" i="3"/>
  <c r="AD432" i="3"/>
  <c r="AC432" i="3"/>
  <c r="AB432" i="3"/>
  <c r="AA432" i="3"/>
  <c r="Z432" i="3"/>
  <c r="AG431" i="3"/>
  <c r="AF431" i="3"/>
  <c r="AE431" i="3"/>
  <c r="AD431" i="3"/>
  <c r="AC431" i="3"/>
  <c r="AB431" i="3"/>
  <c r="AA431" i="3"/>
  <c r="Z431" i="3"/>
  <c r="AG430" i="3"/>
  <c r="AF430" i="3"/>
  <c r="AE430" i="3"/>
  <c r="AD430" i="3"/>
  <c r="AC430" i="3"/>
  <c r="AB430" i="3"/>
  <c r="AA430" i="3"/>
  <c r="Z430" i="3"/>
  <c r="AG429" i="3"/>
  <c r="AF429" i="3"/>
  <c r="AE429" i="3"/>
  <c r="AD429" i="3"/>
  <c r="AC429" i="3"/>
  <c r="AB429" i="3"/>
  <c r="AA429" i="3"/>
  <c r="Z429" i="3"/>
  <c r="AG428" i="3"/>
  <c r="AF428" i="3"/>
  <c r="AE428" i="3"/>
  <c r="AD428" i="3"/>
  <c r="AC428" i="3"/>
  <c r="AB428" i="3"/>
  <c r="AA428" i="3"/>
  <c r="Z428" i="3"/>
  <c r="AG427" i="3"/>
  <c r="AF427" i="3"/>
  <c r="AE427" i="3"/>
  <c r="AD427" i="3"/>
  <c r="AC427" i="3"/>
  <c r="AB427" i="3"/>
  <c r="AA427" i="3"/>
  <c r="Z427" i="3"/>
  <c r="AG426" i="3"/>
  <c r="AF426" i="3"/>
  <c r="AE426" i="3"/>
  <c r="AD426" i="3"/>
  <c r="AC426" i="3"/>
  <c r="AB426" i="3"/>
  <c r="AA426" i="3"/>
  <c r="Z426" i="3"/>
  <c r="AG425" i="3"/>
  <c r="AF425" i="3"/>
  <c r="AE425" i="3"/>
  <c r="AD425" i="3"/>
  <c r="AC425" i="3"/>
  <c r="AB425" i="3"/>
  <c r="AA425" i="3"/>
  <c r="Z425" i="3"/>
  <c r="AG424" i="3"/>
  <c r="AF424" i="3"/>
  <c r="AE424" i="3"/>
  <c r="AD424" i="3"/>
  <c r="AC424" i="3"/>
  <c r="AB424" i="3"/>
  <c r="AA424" i="3"/>
  <c r="Z424" i="3"/>
  <c r="AG423" i="3"/>
  <c r="AF423" i="3"/>
  <c r="AE423" i="3"/>
  <c r="AD423" i="3"/>
  <c r="AC423" i="3"/>
  <c r="AB423" i="3"/>
  <c r="AA423" i="3"/>
  <c r="Z423" i="3"/>
  <c r="AG422" i="3"/>
  <c r="AF422" i="3"/>
  <c r="AE422" i="3"/>
  <c r="AD422" i="3"/>
  <c r="AC422" i="3"/>
  <c r="AB422" i="3"/>
  <c r="AA422" i="3"/>
  <c r="Z422" i="3"/>
  <c r="AG421" i="3"/>
  <c r="AF421" i="3"/>
  <c r="AE421" i="3"/>
  <c r="AD421" i="3"/>
  <c r="AC421" i="3"/>
  <c r="AB421" i="3"/>
  <c r="AA421" i="3"/>
  <c r="Z421" i="3"/>
  <c r="AG420" i="3"/>
  <c r="AF420" i="3"/>
  <c r="AE420" i="3"/>
  <c r="AD420" i="3"/>
  <c r="AC420" i="3"/>
  <c r="AB420" i="3"/>
  <c r="AA420" i="3"/>
  <c r="Z420" i="3"/>
  <c r="AG419" i="3"/>
  <c r="AF419" i="3"/>
  <c r="AE419" i="3"/>
  <c r="AD419" i="3"/>
  <c r="AC419" i="3"/>
  <c r="AB419" i="3"/>
  <c r="AA419" i="3"/>
  <c r="Z419" i="3"/>
  <c r="AG418" i="3"/>
  <c r="AF418" i="3"/>
  <c r="AE418" i="3"/>
  <c r="AD418" i="3"/>
  <c r="AC418" i="3"/>
  <c r="AB418" i="3"/>
  <c r="AA418" i="3"/>
  <c r="Z418" i="3"/>
  <c r="AG417" i="3"/>
  <c r="AF417" i="3"/>
  <c r="AE417" i="3"/>
  <c r="AD417" i="3"/>
  <c r="AC417" i="3"/>
  <c r="AB417" i="3"/>
  <c r="AA417" i="3"/>
  <c r="Z417" i="3"/>
  <c r="AG416" i="3"/>
  <c r="AF416" i="3"/>
  <c r="AE416" i="3"/>
  <c r="AD416" i="3"/>
  <c r="AC416" i="3"/>
  <c r="AB416" i="3"/>
  <c r="AA416" i="3"/>
  <c r="Z416" i="3"/>
  <c r="AG415" i="3"/>
  <c r="AF415" i="3"/>
  <c r="AE415" i="3"/>
  <c r="AD415" i="3"/>
  <c r="AC415" i="3"/>
  <c r="AB415" i="3"/>
  <c r="AA415" i="3"/>
  <c r="Z415" i="3"/>
  <c r="AG414" i="3"/>
  <c r="AF414" i="3"/>
  <c r="AE414" i="3"/>
  <c r="AD414" i="3"/>
  <c r="AC414" i="3"/>
  <c r="AB414" i="3"/>
  <c r="AA414" i="3"/>
  <c r="Z414" i="3"/>
  <c r="AG413" i="3"/>
  <c r="AF413" i="3"/>
  <c r="AE413" i="3"/>
  <c r="AD413" i="3"/>
  <c r="AC413" i="3"/>
  <c r="AB413" i="3"/>
  <c r="AA413" i="3"/>
  <c r="Z413" i="3"/>
  <c r="AG412" i="3"/>
  <c r="AF412" i="3"/>
  <c r="AE412" i="3"/>
  <c r="AD412" i="3"/>
  <c r="AC412" i="3"/>
  <c r="AB412" i="3"/>
  <c r="AA412" i="3"/>
  <c r="Z412" i="3"/>
  <c r="AG411" i="3"/>
  <c r="AF411" i="3"/>
  <c r="AE411" i="3"/>
  <c r="AD411" i="3"/>
  <c r="AC411" i="3"/>
  <c r="AB411" i="3"/>
  <c r="AA411" i="3"/>
  <c r="Z411" i="3"/>
  <c r="AG410" i="3"/>
  <c r="AF410" i="3"/>
  <c r="AE410" i="3"/>
  <c r="AD410" i="3"/>
  <c r="AC410" i="3"/>
  <c r="AB410" i="3"/>
  <c r="AA410" i="3"/>
  <c r="Z410" i="3"/>
  <c r="AG409" i="3"/>
  <c r="AF409" i="3"/>
  <c r="AE409" i="3"/>
  <c r="AD409" i="3"/>
  <c r="AC409" i="3"/>
  <c r="AB409" i="3"/>
  <c r="AA409" i="3"/>
  <c r="Z409" i="3"/>
  <c r="AG408" i="3"/>
  <c r="AF408" i="3"/>
  <c r="AE408" i="3"/>
  <c r="AD408" i="3"/>
  <c r="AC408" i="3"/>
  <c r="AB408" i="3"/>
  <c r="AA408" i="3"/>
  <c r="Z408" i="3"/>
  <c r="AG407" i="3"/>
  <c r="AF407" i="3"/>
  <c r="AE407" i="3"/>
  <c r="AD407" i="3"/>
  <c r="AC407" i="3"/>
  <c r="AB407" i="3"/>
  <c r="AA407" i="3"/>
  <c r="Z407" i="3"/>
  <c r="AG406" i="3"/>
  <c r="AF406" i="3"/>
  <c r="AE406" i="3"/>
  <c r="AD406" i="3"/>
  <c r="AC406" i="3"/>
  <c r="AB406" i="3"/>
  <c r="AA406" i="3"/>
  <c r="Z406" i="3"/>
  <c r="AG405" i="3"/>
  <c r="AF405" i="3"/>
  <c r="AE405" i="3"/>
  <c r="AD405" i="3"/>
  <c r="AC405" i="3"/>
  <c r="AB405" i="3"/>
  <c r="AA405" i="3"/>
  <c r="Z405" i="3"/>
  <c r="AG404" i="3"/>
  <c r="AF404" i="3"/>
  <c r="AE404" i="3"/>
  <c r="AD404" i="3"/>
  <c r="AC404" i="3"/>
  <c r="AB404" i="3"/>
  <c r="AA404" i="3"/>
  <c r="Z404" i="3"/>
  <c r="AG403" i="3"/>
  <c r="AF403" i="3"/>
  <c r="AE403" i="3"/>
  <c r="AD403" i="3"/>
  <c r="AC403" i="3"/>
  <c r="AB403" i="3"/>
  <c r="AA403" i="3"/>
  <c r="Z403" i="3"/>
  <c r="AG402" i="3"/>
  <c r="AF402" i="3"/>
  <c r="AE402" i="3"/>
  <c r="AD402" i="3"/>
  <c r="AC402" i="3"/>
  <c r="AB402" i="3"/>
  <c r="AA402" i="3"/>
  <c r="Z402" i="3"/>
  <c r="AG401" i="3"/>
  <c r="AF401" i="3"/>
  <c r="AE401" i="3"/>
  <c r="AD401" i="3"/>
  <c r="AC401" i="3"/>
  <c r="AB401" i="3"/>
  <c r="AA401" i="3"/>
  <c r="Z401" i="3"/>
  <c r="AG400" i="3"/>
  <c r="AF400" i="3"/>
  <c r="AE400" i="3"/>
  <c r="AD400" i="3"/>
  <c r="AC400" i="3"/>
  <c r="AB400" i="3"/>
  <c r="AA400" i="3"/>
  <c r="Z400" i="3"/>
  <c r="AG399" i="3"/>
  <c r="AF399" i="3"/>
  <c r="AE399" i="3"/>
  <c r="AD399" i="3"/>
  <c r="AC399" i="3"/>
  <c r="AB399" i="3"/>
  <c r="AA399" i="3"/>
  <c r="Z399" i="3"/>
  <c r="AG398" i="3"/>
  <c r="AF398" i="3"/>
  <c r="AE398" i="3"/>
  <c r="AD398" i="3"/>
  <c r="AC398" i="3"/>
  <c r="AB398" i="3"/>
  <c r="AA398" i="3"/>
  <c r="Z398" i="3"/>
  <c r="AG397" i="3"/>
  <c r="AF397" i="3"/>
  <c r="AE397" i="3"/>
  <c r="AD397" i="3"/>
  <c r="AC397" i="3"/>
  <c r="AB397" i="3"/>
  <c r="AA397" i="3"/>
  <c r="Z397" i="3"/>
  <c r="AG396" i="3"/>
  <c r="AF396" i="3"/>
  <c r="AE396" i="3"/>
  <c r="AD396" i="3"/>
  <c r="AC396" i="3"/>
  <c r="AB396" i="3"/>
  <c r="AA396" i="3"/>
  <c r="Z396" i="3"/>
  <c r="AG395" i="3"/>
  <c r="AF395" i="3"/>
  <c r="AE395" i="3"/>
  <c r="AD395" i="3"/>
  <c r="AC395" i="3"/>
  <c r="AB395" i="3"/>
  <c r="AA395" i="3"/>
  <c r="Z395" i="3"/>
  <c r="AG394" i="3"/>
  <c r="AF394" i="3"/>
  <c r="AE394" i="3"/>
  <c r="AD394" i="3"/>
  <c r="AC394" i="3"/>
  <c r="AB394" i="3"/>
  <c r="AA394" i="3"/>
  <c r="Z394" i="3"/>
  <c r="AG393" i="3"/>
  <c r="AF393" i="3"/>
  <c r="AE393" i="3"/>
  <c r="AD393" i="3"/>
  <c r="AC393" i="3"/>
  <c r="AB393" i="3"/>
  <c r="AA393" i="3"/>
  <c r="Z393" i="3"/>
  <c r="AG392" i="3"/>
  <c r="AF392" i="3"/>
  <c r="AE392" i="3"/>
  <c r="AD392" i="3"/>
  <c r="AC392" i="3"/>
  <c r="AB392" i="3"/>
  <c r="AA392" i="3"/>
  <c r="Z392" i="3"/>
  <c r="AG391" i="3"/>
  <c r="AF391" i="3"/>
  <c r="AE391" i="3"/>
  <c r="AD391" i="3"/>
  <c r="AC391" i="3"/>
  <c r="AB391" i="3"/>
  <c r="AA391" i="3"/>
  <c r="Z391" i="3"/>
  <c r="AG390" i="3"/>
  <c r="AF390" i="3"/>
  <c r="AE390" i="3"/>
  <c r="AD390" i="3"/>
  <c r="AC390" i="3"/>
  <c r="AB390" i="3"/>
  <c r="AA390" i="3"/>
  <c r="Z390" i="3"/>
  <c r="AG389" i="3"/>
  <c r="AF389" i="3"/>
  <c r="AE389" i="3"/>
  <c r="AD389" i="3"/>
  <c r="AC389" i="3"/>
  <c r="AB389" i="3"/>
  <c r="AA389" i="3"/>
  <c r="Z389" i="3"/>
  <c r="AG388" i="3"/>
  <c r="AF388" i="3"/>
  <c r="AE388" i="3"/>
  <c r="AD388" i="3"/>
  <c r="AC388" i="3"/>
  <c r="AB388" i="3"/>
  <c r="AA388" i="3"/>
  <c r="Z388" i="3"/>
  <c r="AG387" i="3"/>
  <c r="AF387" i="3"/>
  <c r="AE387" i="3"/>
  <c r="AD387" i="3"/>
  <c r="AC387" i="3"/>
  <c r="AB387" i="3"/>
  <c r="AA387" i="3"/>
  <c r="Z387" i="3"/>
  <c r="AG386" i="3"/>
  <c r="AF386" i="3"/>
  <c r="AE386" i="3"/>
  <c r="AD386" i="3"/>
  <c r="AC386" i="3"/>
  <c r="AB386" i="3"/>
  <c r="AA386" i="3"/>
  <c r="Z386" i="3"/>
  <c r="AG385" i="3"/>
  <c r="AF385" i="3"/>
  <c r="AE385" i="3"/>
  <c r="AD385" i="3"/>
  <c r="AC385" i="3"/>
  <c r="AB385" i="3"/>
  <c r="AA385" i="3"/>
  <c r="Z385" i="3"/>
  <c r="AG384" i="3"/>
  <c r="AF384" i="3"/>
  <c r="AE384" i="3"/>
  <c r="AD384" i="3"/>
  <c r="AC384" i="3"/>
  <c r="AB384" i="3"/>
  <c r="AA384" i="3"/>
  <c r="Z384" i="3"/>
  <c r="AG383" i="3"/>
  <c r="AF383" i="3"/>
  <c r="AE383" i="3"/>
  <c r="AD383" i="3"/>
  <c r="AC383" i="3"/>
  <c r="AB383" i="3"/>
  <c r="AA383" i="3"/>
  <c r="Z383" i="3"/>
  <c r="AG382" i="3"/>
  <c r="AF382" i="3"/>
  <c r="AE382" i="3"/>
  <c r="AD382" i="3"/>
  <c r="AC382" i="3"/>
  <c r="AB382" i="3"/>
  <c r="AA382" i="3"/>
  <c r="Z382" i="3"/>
  <c r="AG381" i="3"/>
  <c r="AF381" i="3"/>
  <c r="AE381" i="3"/>
  <c r="AD381" i="3"/>
  <c r="AC381" i="3"/>
  <c r="AB381" i="3"/>
  <c r="AA381" i="3"/>
  <c r="Z381" i="3"/>
  <c r="AG380" i="3"/>
  <c r="AF380" i="3"/>
  <c r="AE380" i="3"/>
  <c r="AD380" i="3"/>
  <c r="AC380" i="3"/>
  <c r="AB380" i="3"/>
  <c r="AA380" i="3"/>
  <c r="Z380" i="3"/>
  <c r="AG379" i="3"/>
  <c r="AF379" i="3"/>
  <c r="AE379" i="3"/>
  <c r="AD379" i="3"/>
  <c r="AC379" i="3"/>
  <c r="AB379" i="3"/>
  <c r="AA379" i="3"/>
  <c r="Z379" i="3"/>
  <c r="AG378" i="3"/>
  <c r="AF378" i="3"/>
  <c r="AE378" i="3"/>
  <c r="AD378" i="3"/>
  <c r="AC378" i="3"/>
  <c r="AB378" i="3"/>
  <c r="AA378" i="3"/>
  <c r="Z378" i="3"/>
  <c r="AG377" i="3"/>
  <c r="AF377" i="3"/>
  <c r="AE377" i="3"/>
  <c r="AD377" i="3"/>
  <c r="AC377" i="3"/>
  <c r="AB377" i="3"/>
  <c r="AA377" i="3"/>
  <c r="Z377" i="3"/>
  <c r="AG376" i="3"/>
  <c r="AF376" i="3"/>
  <c r="AE376" i="3"/>
  <c r="AD376" i="3"/>
  <c r="AC376" i="3"/>
  <c r="AB376" i="3"/>
  <c r="AA376" i="3"/>
  <c r="Z376" i="3"/>
  <c r="AG375" i="3"/>
  <c r="AF375" i="3"/>
  <c r="AE375" i="3"/>
  <c r="AD375" i="3"/>
  <c r="AC375" i="3"/>
  <c r="AB375" i="3"/>
  <c r="AA375" i="3"/>
  <c r="Z375" i="3"/>
  <c r="AG374" i="3"/>
  <c r="AF374" i="3"/>
  <c r="AE374" i="3"/>
  <c r="AD374" i="3"/>
  <c r="AC374" i="3"/>
  <c r="AB374" i="3"/>
  <c r="AA374" i="3"/>
  <c r="Z374" i="3"/>
  <c r="AG373" i="3"/>
  <c r="AF373" i="3"/>
  <c r="AE373" i="3"/>
  <c r="AD373" i="3"/>
  <c r="AC373" i="3"/>
  <c r="AB373" i="3"/>
  <c r="AA373" i="3"/>
  <c r="Z373" i="3"/>
  <c r="AG372" i="3"/>
  <c r="AF372" i="3"/>
  <c r="AE372" i="3"/>
  <c r="AD372" i="3"/>
  <c r="AC372" i="3"/>
  <c r="AB372" i="3"/>
  <c r="AA372" i="3"/>
  <c r="Z372" i="3"/>
  <c r="AG371" i="3"/>
  <c r="AF371" i="3"/>
  <c r="AE371" i="3"/>
  <c r="AD371" i="3"/>
  <c r="AC371" i="3"/>
  <c r="AB371" i="3"/>
  <c r="AA371" i="3"/>
  <c r="Z371" i="3"/>
  <c r="AG370" i="3"/>
  <c r="AF370" i="3"/>
  <c r="AE370" i="3"/>
  <c r="AD370" i="3"/>
  <c r="AC370" i="3"/>
  <c r="AB370" i="3"/>
  <c r="AA370" i="3"/>
  <c r="Z370" i="3"/>
  <c r="AG369" i="3"/>
  <c r="AF369" i="3"/>
  <c r="AE369" i="3"/>
  <c r="AD369" i="3"/>
  <c r="AC369" i="3"/>
  <c r="AB369" i="3"/>
  <c r="AA369" i="3"/>
  <c r="Z369" i="3"/>
  <c r="AG368" i="3"/>
  <c r="AF368" i="3"/>
  <c r="AE368" i="3"/>
  <c r="AD368" i="3"/>
  <c r="AC368" i="3"/>
  <c r="AB368" i="3"/>
  <c r="AA368" i="3"/>
  <c r="Z368" i="3"/>
  <c r="AG367" i="3"/>
  <c r="AF367" i="3"/>
  <c r="AE367" i="3"/>
  <c r="AD367" i="3"/>
  <c r="AC367" i="3"/>
  <c r="AB367" i="3"/>
  <c r="AA367" i="3"/>
  <c r="Z367" i="3"/>
  <c r="AG366" i="3"/>
  <c r="AF366" i="3"/>
  <c r="AE366" i="3"/>
  <c r="AD366" i="3"/>
  <c r="AC366" i="3"/>
  <c r="AB366" i="3"/>
  <c r="AA366" i="3"/>
  <c r="Z366" i="3"/>
  <c r="AG365" i="3"/>
  <c r="AF365" i="3"/>
  <c r="AE365" i="3"/>
  <c r="AD365" i="3"/>
  <c r="AC365" i="3"/>
  <c r="AB365" i="3"/>
  <c r="AA365" i="3"/>
  <c r="Z365" i="3"/>
  <c r="AG364" i="3"/>
  <c r="AF364" i="3"/>
  <c r="AE364" i="3"/>
  <c r="AD364" i="3"/>
  <c r="AC364" i="3"/>
  <c r="AB364" i="3"/>
  <c r="AA364" i="3"/>
  <c r="Z364" i="3"/>
  <c r="AG363" i="3"/>
  <c r="AF363" i="3"/>
  <c r="AE363" i="3"/>
  <c r="AD363" i="3"/>
  <c r="AC363" i="3"/>
  <c r="AB363" i="3"/>
  <c r="AA363" i="3"/>
  <c r="Z363" i="3"/>
  <c r="AG362" i="3"/>
  <c r="AF362" i="3"/>
  <c r="AE362" i="3"/>
  <c r="AD362" i="3"/>
  <c r="AC362" i="3"/>
  <c r="AB362" i="3"/>
  <c r="AA362" i="3"/>
  <c r="Z362" i="3"/>
  <c r="AG361" i="3"/>
  <c r="AF361" i="3"/>
  <c r="AE361" i="3"/>
  <c r="AD361" i="3"/>
  <c r="AC361" i="3"/>
  <c r="AB361" i="3"/>
  <c r="AA361" i="3"/>
  <c r="Z361" i="3"/>
  <c r="AG360" i="3"/>
  <c r="AF360" i="3"/>
  <c r="AE360" i="3"/>
  <c r="AD360" i="3"/>
  <c r="AC360" i="3"/>
  <c r="AB360" i="3"/>
  <c r="AA360" i="3"/>
  <c r="Z360" i="3"/>
  <c r="AG359" i="3"/>
  <c r="AF359" i="3"/>
  <c r="AE359" i="3"/>
  <c r="AD359" i="3"/>
  <c r="AC359" i="3"/>
  <c r="AB359" i="3"/>
  <c r="AA359" i="3"/>
  <c r="Z359" i="3"/>
  <c r="AG358" i="3"/>
  <c r="AF358" i="3"/>
  <c r="AE358" i="3"/>
  <c r="AD358" i="3"/>
  <c r="AC358" i="3"/>
  <c r="AB358" i="3"/>
  <c r="AA358" i="3"/>
  <c r="Z358" i="3"/>
  <c r="AG357" i="3"/>
  <c r="AF357" i="3"/>
  <c r="AE357" i="3"/>
  <c r="AD357" i="3"/>
  <c r="AC357" i="3"/>
  <c r="AB357" i="3"/>
  <c r="AA357" i="3"/>
  <c r="Z357" i="3"/>
  <c r="AG356" i="3"/>
  <c r="AF356" i="3"/>
  <c r="AE356" i="3"/>
  <c r="AD356" i="3"/>
  <c r="AC356" i="3"/>
  <c r="AB356" i="3"/>
  <c r="AA356" i="3"/>
  <c r="Z356" i="3"/>
  <c r="AG355" i="3"/>
  <c r="AF355" i="3"/>
  <c r="AE355" i="3"/>
  <c r="AD355" i="3"/>
  <c r="AC355" i="3"/>
  <c r="AB355" i="3"/>
  <c r="AA355" i="3"/>
  <c r="Z355" i="3"/>
  <c r="AG354" i="3"/>
  <c r="AF354" i="3"/>
  <c r="AE354" i="3"/>
  <c r="AD354" i="3"/>
  <c r="AC354" i="3"/>
  <c r="AB354" i="3"/>
  <c r="AA354" i="3"/>
  <c r="Z354" i="3"/>
  <c r="AG353" i="3"/>
  <c r="AF353" i="3"/>
  <c r="AE353" i="3"/>
  <c r="AD353" i="3"/>
  <c r="AC353" i="3"/>
  <c r="AB353" i="3"/>
  <c r="AA353" i="3"/>
  <c r="Z353" i="3"/>
  <c r="AG352" i="3"/>
  <c r="AF352" i="3"/>
  <c r="AE352" i="3"/>
  <c r="AD352" i="3"/>
  <c r="AC352" i="3"/>
  <c r="AB352" i="3"/>
  <c r="AA352" i="3"/>
  <c r="Z352" i="3"/>
  <c r="AG351" i="3"/>
  <c r="AF351" i="3"/>
  <c r="AE351" i="3"/>
  <c r="AD351" i="3"/>
  <c r="AC351" i="3"/>
  <c r="AB351" i="3"/>
  <c r="AA351" i="3"/>
  <c r="Z351" i="3"/>
  <c r="AG350" i="3"/>
  <c r="AF350" i="3"/>
  <c r="AE350" i="3"/>
  <c r="AD350" i="3"/>
  <c r="AC350" i="3"/>
  <c r="AB350" i="3"/>
  <c r="AA350" i="3"/>
  <c r="Z350" i="3"/>
  <c r="AG349" i="3"/>
  <c r="AF349" i="3"/>
  <c r="AE349" i="3"/>
  <c r="AD349" i="3"/>
  <c r="AC349" i="3"/>
  <c r="AB349" i="3"/>
  <c r="AA349" i="3"/>
  <c r="Z349" i="3"/>
  <c r="AG348" i="3"/>
  <c r="AF348" i="3"/>
  <c r="AE348" i="3"/>
  <c r="AD348" i="3"/>
  <c r="AC348" i="3"/>
  <c r="AB348" i="3"/>
  <c r="AA348" i="3"/>
  <c r="Z348" i="3"/>
  <c r="AG347" i="3"/>
  <c r="AF347" i="3"/>
  <c r="AE347" i="3"/>
  <c r="AD347" i="3"/>
  <c r="AC347" i="3"/>
  <c r="AB347" i="3"/>
  <c r="AA347" i="3"/>
  <c r="Z347" i="3"/>
  <c r="AG346" i="3"/>
  <c r="AF346" i="3"/>
  <c r="AE346" i="3"/>
  <c r="AD346" i="3"/>
  <c r="AC346" i="3"/>
  <c r="AB346" i="3"/>
  <c r="AA346" i="3"/>
  <c r="Z346" i="3"/>
  <c r="AG345" i="3"/>
  <c r="AF345" i="3"/>
  <c r="AE345" i="3"/>
  <c r="AD345" i="3"/>
  <c r="AC345" i="3"/>
  <c r="AB345" i="3"/>
  <c r="AA345" i="3"/>
  <c r="Z345" i="3"/>
  <c r="AG344" i="3"/>
  <c r="AF344" i="3"/>
  <c r="AE344" i="3"/>
  <c r="AD344" i="3"/>
  <c r="AC344" i="3"/>
  <c r="AB344" i="3"/>
  <c r="AA344" i="3"/>
  <c r="Z344" i="3"/>
  <c r="AG343" i="3"/>
  <c r="AF343" i="3"/>
  <c r="AE343" i="3"/>
  <c r="AD343" i="3"/>
  <c r="AC343" i="3"/>
  <c r="AB343" i="3"/>
  <c r="AA343" i="3"/>
  <c r="Z343" i="3"/>
  <c r="AG342" i="3"/>
  <c r="AF342" i="3"/>
  <c r="AE342" i="3"/>
  <c r="AD342" i="3"/>
  <c r="AC342" i="3"/>
  <c r="AB342" i="3"/>
  <c r="AA342" i="3"/>
  <c r="Z342" i="3"/>
  <c r="AG341" i="3"/>
  <c r="AF341" i="3"/>
  <c r="AE341" i="3"/>
  <c r="AD341" i="3"/>
  <c r="AC341" i="3"/>
  <c r="AB341" i="3"/>
  <c r="AA341" i="3"/>
  <c r="Z341" i="3"/>
  <c r="AG340" i="3"/>
  <c r="AF340" i="3"/>
  <c r="AE340" i="3"/>
  <c r="AD340" i="3"/>
  <c r="AC340" i="3"/>
  <c r="AB340" i="3"/>
  <c r="AA340" i="3"/>
  <c r="Z340" i="3"/>
  <c r="AG339" i="3"/>
  <c r="AF339" i="3"/>
  <c r="AE339" i="3"/>
  <c r="AD339" i="3"/>
  <c r="AC339" i="3"/>
  <c r="AB339" i="3"/>
  <c r="AA339" i="3"/>
  <c r="Z339" i="3"/>
  <c r="AG338" i="3"/>
  <c r="AF338" i="3"/>
  <c r="AE338" i="3"/>
  <c r="AD338" i="3"/>
  <c r="AC338" i="3"/>
  <c r="AB338" i="3"/>
  <c r="AA338" i="3"/>
  <c r="Z338" i="3"/>
  <c r="AG337" i="3"/>
  <c r="AF337" i="3"/>
  <c r="AE337" i="3"/>
  <c r="AD337" i="3"/>
  <c r="AC337" i="3"/>
  <c r="AB337" i="3"/>
  <c r="AA337" i="3"/>
  <c r="Z337" i="3"/>
  <c r="AG336" i="3"/>
  <c r="AF336" i="3"/>
  <c r="AE336" i="3"/>
  <c r="AD336" i="3"/>
  <c r="AC336" i="3"/>
  <c r="AB336" i="3"/>
  <c r="AA336" i="3"/>
  <c r="Z336" i="3"/>
  <c r="AG335" i="3"/>
  <c r="AF335" i="3"/>
  <c r="AE335" i="3"/>
  <c r="AD335" i="3"/>
  <c r="AC335" i="3"/>
  <c r="AB335" i="3"/>
  <c r="AA335" i="3"/>
  <c r="Z335" i="3"/>
  <c r="AG334" i="3"/>
  <c r="AF334" i="3"/>
  <c r="AE334" i="3"/>
  <c r="AD334" i="3"/>
  <c r="AC334" i="3"/>
  <c r="AB334" i="3"/>
  <c r="AA334" i="3"/>
  <c r="Z334" i="3"/>
  <c r="AG333" i="3"/>
  <c r="AF333" i="3"/>
  <c r="AE333" i="3"/>
  <c r="AD333" i="3"/>
  <c r="AC333" i="3"/>
  <c r="AB333" i="3"/>
  <c r="AA333" i="3"/>
  <c r="Z333" i="3"/>
  <c r="AG332" i="3"/>
  <c r="AF332" i="3"/>
  <c r="AE332" i="3"/>
  <c r="AD332" i="3"/>
  <c r="AC332" i="3"/>
  <c r="AB332" i="3"/>
  <c r="AA332" i="3"/>
  <c r="Z332" i="3"/>
  <c r="AG331" i="3"/>
  <c r="AF331" i="3"/>
  <c r="AE331" i="3"/>
  <c r="AD331" i="3"/>
  <c r="AC331" i="3"/>
  <c r="AB331" i="3"/>
  <c r="AA331" i="3"/>
  <c r="Z331" i="3"/>
  <c r="AG330" i="3"/>
  <c r="AF330" i="3"/>
  <c r="AE330" i="3"/>
  <c r="AD330" i="3"/>
  <c r="AC330" i="3"/>
  <c r="AB330" i="3"/>
  <c r="AA330" i="3"/>
  <c r="Z330" i="3"/>
  <c r="AG329" i="3"/>
  <c r="AF329" i="3"/>
  <c r="AE329" i="3"/>
  <c r="AD329" i="3"/>
  <c r="AC329" i="3"/>
  <c r="AB329" i="3"/>
  <c r="AA329" i="3"/>
  <c r="Z329" i="3"/>
  <c r="AG328" i="3"/>
  <c r="AF328" i="3"/>
  <c r="AE328" i="3"/>
  <c r="AD328" i="3"/>
  <c r="AC328" i="3"/>
  <c r="AB328" i="3"/>
  <c r="AA328" i="3"/>
  <c r="Z328" i="3"/>
  <c r="AG327" i="3"/>
  <c r="AF327" i="3"/>
  <c r="AE327" i="3"/>
  <c r="AD327" i="3"/>
  <c r="AC327" i="3"/>
  <c r="AB327" i="3"/>
  <c r="AA327" i="3"/>
  <c r="Z327" i="3"/>
  <c r="AG326" i="3"/>
  <c r="AF326" i="3"/>
  <c r="AE326" i="3"/>
  <c r="AD326" i="3"/>
  <c r="AC326" i="3"/>
  <c r="AB326" i="3"/>
  <c r="AA326" i="3"/>
  <c r="Z326" i="3"/>
  <c r="AG325" i="3"/>
  <c r="AF325" i="3"/>
  <c r="AE325" i="3"/>
  <c r="AD325" i="3"/>
  <c r="AC325" i="3"/>
  <c r="AB325" i="3"/>
  <c r="AA325" i="3"/>
  <c r="Z325" i="3"/>
  <c r="AG324" i="3"/>
  <c r="AF324" i="3"/>
  <c r="AE324" i="3"/>
  <c r="AD324" i="3"/>
  <c r="AC324" i="3"/>
  <c r="AB324" i="3"/>
  <c r="AA324" i="3"/>
  <c r="Z324" i="3"/>
  <c r="AG323" i="3"/>
  <c r="AF323" i="3"/>
  <c r="AE323" i="3"/>
  <c r="AD323" i="3"/>
  <c r="AC323" i="3"/>
  <c r="AB323" i="3"/>
  <c r="AA323" i="3"/>
  <c r="Z323" i="3"/>
  <c r="AG322" i="3"/>
  <c r="AF322" i="3"/>
  <c r="AE322" i="3"/>
  <c r="AD322" i="3"/>
  <c r="AC322" i="3"/>
  <c r="AB322" i="3"/>
  <c r="AA322" i="3"/>
  <c r="Z322" i="3"/>
  <c r="AG321" i="3"/>
  <c r="AF321" i="3"/>
  <c r="AE321" i="3"/>
  <c r="AD321" i="3"/>
  <c r="AC321" i="3"/>
  <c r="AB321" i="3"/>
  <c r="AA321" i="3"/>
  <c r="Z321" i="3"/>
  <c r="AG320" i="3"/>
  <c r="AF320" i="3"/>
  <c r="AE320" i="3"/>
  <c r="AD320" i="3"/>
  <c r="AC320" i="3"/>
  <c r="AB320" i="3"/>
  <c r="AA320" i="3"/>
  <c r="Z320" i="3"/>
  <c r="AG319" i="3"/>
  <c r="AF319" i="3"/>
  <c r="AE319" i="3"/>
  <c r="AD319" i="3"/>
  <c r="AC319" i="3"/>
  <c r="AB319" i="3"/>
  <c r="AA319" i="3"/>
  <c r="Z319" i="3"/>
  <c r="AG318" i="3"/>
  <c r="AF318" i="3"/>
  <c r="AE318" i="3"/>
  <c r="AD318" i="3"/>
  <c r="AC318" i="3"/>
  <c r="AB318" i="3"/>
  <c r="AA318" i="3"/>
  <c r="Z318" i="3"/>
  <c r="AG317" i="3"/>
  <c r="AF317" i="3"/>
  <c r="AE317" i="3"/>
  <c r="AD317" i="3"/>
  <c r="AC317" i="3"/>
  <c r="AB317" i="3"/>
  <c r="AA317" i="3"/>
  <c r="Z317" i="3"/>
  <c r="AG316" i="3"/>
  <c r="AF316" i="3"/>
  <c r="AE316" i="3"/>
  <c r="AD316" i="3"/>
  <c r="AC316" i="3"/>
  <c r="AB316" i="3"/>
  <c r="AA316" i="3"/>
  <c r="Z316" i="3"/>
  <c r="AG315" i="3"/>
  <c r="AF315" i="3"/>
  <c r="AE315" i="3"/>
  <c r="AD315" i="3"/>
  <c r="AC315" i="3"/>
  <c r="AB315" i="3"/>
  <c r="AA315" i="3"/>
  <c r="Z315" i="3"/>
  <c r="AG314" i="3"/>
  <c r="AF314" i="3"/>
  <c r="AE314" i="3"/>
  <c r="AD314" i="3"/>
  <c r="AC314" i="3"/>
  <c r="AB314" i="3"/>
  <c r="AA314" i="3"/>
  <c r="Z314" i="3"/>
  <c r="AG313" i="3"/>
  <c r="AF313" i="3"/>
  <c r="AE313" i="3"/>
  <c r="AD313" i="3"/>
  <c r="AC313" i="3"/>
  <c r="AB313" i="3"/>
  <c r="AA313" i="3"/>
  <c r="Z313" i="3"/>
  <c r="AG312" i="3"/>
  <c r="AF312" i="3"/>
  <c r="AE312" i="3"/>
  <c r="AD312" i="3"/>
  <c r="AC312" i="3"/>
  <c r="AB312" i="3"/>
  <c r="AA312" i="3"/>
  <c r="Z312" i="3"/>
  <c r="AG311" i="3"/>
  <c r="AF311" i="3"/>
  <c r="AE311" i="3"/>
  <c r="AD311" i="3"/>
  <c r="AC311" i="3"/>
  <c r="AB311" i="3"/>
  <c r="AA311" i="3"/>
  <c r="Z311" i="3"/>
  <c r="AG310" i="3"/>
  <c r="AF310" i="3"/>
  <c r="AE310" i="3"/>
  <c r="AD310" i="3"/>
  <c r="AC310" i="3"/>
  <c r="AB310" i="3"/>
  <c r="AA310" i="3"/>
  <c r="Z310" i="3"/>
  <c r="AG309" i="3"/>
  <c r="AF309" i="3"/>
  <c r="AE309" i="3"/>
  <c r="AD309" i="3"/>
  <c r="AC309" i="3"/>
  <c r="AB309" i="3"/>
  <c r="AA309" i="3"/>
  <c r="Z309" i="3"/>
  <c r="AG308" i="3"/>
  <c r="AF308" i="3"/>
  <c r="AE308" i="3"/>
  <c r="AD308" i="3"/>
  <c r="AC308" i="3"/>
  <c r="AB308" i="3"/>
  <c r="AA308" i="3"/>
  <c r="Z308" i="3"/>
  <c r="AG307" i="3"/>
  <c r="AF307" i="3"/>
  <c r="AE307" i="3"/>
  <c r="AD307" i="3"/>
  <c r="AC307" i="3"/>
  <c r="AB307" i="3"/>
  <c r="AA307" i="3"/>
  <c r="Z307" i="3"/>
  <c r="AG306" i="3"/>
  <c r="AF306" i="3"/>
  <c r="AE306" i="3"/>
  <c r="AD306" i="3"/>
  <c r="AC306" i="3"/>
  <c r="AB306" i="3"/>
  <c r="AA306" i="3"/>
  <c r="Z306" i="3"/>
  <c r="AG305" i="3"/>
  <c r="AF305" i="3"/>
  <c r="AE305" i="3"/>
  <c r="AD305" i="3"/>
  <c r="AC305" i="3"/>
  <c r="AB305" i="3"/>
  <c r="AA305" i="3"/>
  <c r="Z305" i="3"/>
  <c r="AG304" i="3"/>
  <c r="AF304" i="3"/>
  <c r="AE304" i="3"/>
  <c r="AD304" i="3"/>
  <c r="AC304" i="3"/>
  <c r="AB304" i="3"/>
  <c r="AA304" i="3"/>
  <c r="Z304" i="3"/>
  <c r="AG303" i="3"/>
  <c r="AF303" i="3"/>
  <c r="AE303" i="3"/>
  <c r="AD303" i="3"/>
  <c r="AC303" i="3"/>
  <c r="AB303" i="3"/>
  <c r="AA303" i="3"/>
  <c r="Z303" i="3"/>
  <c r="AG302" i="3"/>
  <c r="AF302" i="3"/>
  <c r="AE302" i="3"/>
  <c r="AD302" i="3"/>
  <c r="AC302" i="3"/>
  <c r="AB302" i="3"/>
  <c r="AA302" i="3"/>
  <c r="Z302" i="3"/>
  <c r="AG301" i="3"/>
  <c r="AF301" i="3"/>
  <c r="AE301" i="3"/>
  <c r="AD301" i="3"/>
  <c r="AC301" i="3"/>
  <c r="AB301" i="3"/>
  <c r="AA301" i="3"/>
  <c r="Z301" i="3"/>
  <c r="AG300" i="3"/>
  <c r="AF300" i="3"/>
  <c r="AE300" i="3"/>
  <c r="AD300" i="3"/>
  <c r="AC300" i="3"/>
  <c r="AB300" i="3"/>
  <c r="AA300" i="3"/>
  <c r="Z300" i="3"/>
  <c r="AG299" i="3"/>
  <c r="AF299" i="3"/>
  <c r="AE299" i="3"/>
  <c r="AD299" i="3"/>
  <c r="AC299" i="3"/>
  <c r="AB299" i="3"/>
  <c r="AA299" i="3"/>
  <c r="Z299" i="3"/>
  <c r="AG298" i="3"/>
  <c r="AF298" i="3"/>
  <c r="AE298" i="3"/>
  <c r="AD298" i="3"/>
  <c r="AC298" i="3"/>
  <c r="AB298" i="3"/>
  <c r="AA298" i="3"/>
  <c r="Z298" i="3"/>
  <c r="AG297" i="3"/>
  <c r="AF297" i="3"/>
  <c r="AE297" i="3"/>
  <c r="AD297" i="3"/>
  <c r="AC297" i="3"/>
  <c r="AB297" i="3"/>
  <c r="AA297" i="3"/>
  <c r="Z297" i="3"/>
  <c r="AG296" i="3"/>
  <c r="AF296" i="3"/>
  <c r="AE296" i="3"/>
  <c r="AD296" i="3"/>
  <c r="AC296" i="3"/>
  <c r="AB296" i="3"/>
  <c r="AA296" i="3"/>
  <c r="Z296" i="3"/>
  <c r="AG295" i="3"/>
  <c r="AF295" i="3"/>
  <c r="AE295" i="3"/>
  <c r="AD295" i="3"/>
  <c r="AC295" i="3"/>
  <c r="AB295" i="3"/>
  <c r="AA295" i="3"/>
  <c r="Z295" i="3"/>
  <c r="AG294" i="3"/>
  <c r="AF294" i="3"/>
  <c r="AE294" i="3"/>
  <c r="AD294" i="3"/>
  <c r="AC294" i="3"/>
  <c r="AB294" i="3"/>
  <c r="AA294" i="3"/>
  <c r="Z294" i="3"/>
  <c r="AG293" i="3"/>
  <c r="AF293" i="3"/>
  <c r="AE293" i="3"/>
  <c r="AD293" i="3"/>
  <c r="AC293" i="3"/>
  <c r="AB293" i="3"/>
  <c r="AA293" i="3"/>
  <c r="Z293" i="3"/>
  <c r="AG292" i="3"/>
  <c r="AF292" i="3"/>
  <c r="AE292" i="3"/>
  <c r="AD292" i="3"/>
  <c r="AC292" i="3"/>
  <c r="AB292" i="3"/>
  <c r="AA292" i="3"/>
  <c r="Z292" i="3"/>
  <c r="AG291" i="3"/>
  <c r="AF291" i="3"/>
  <c r="AE291" i="3"/>
  <c r="AD291" i="3"/>
  <c r="AC291" i="3"/>
  <c r="AB291" i="3"/>
  <c r="AA291" i="3"/>
  <c r="Z291" i="3"/>
  <c r="AG290" i="3"/>
  <c r="AF290" i="3"/>
  <c r="AE290" i="3"/>
  <c r="AD290" i="3"/>
  <c r="AC290" i="3"/>
  <c r="AB290" i="3"/>
  <c r="AA290" i="3"/>
  <c r="Z290" i="3"/>
  <c r="AG289" i="3"/>
  <c r="AF289" i="3"/>
  <c r="AE289" i="3"/>
  <c r="AD289" i="3"/>
  <c r="AC289" i="3"/>
  <c r="AB289" i="3"/>
  <c r="AA289" i="3"/>
  <c r="Z289" i="3"/>
  <c r="AG288" i="3"/>
  <c r="AF288" i="3"/>
  <c r="AE288" i="3"/>
  <c r="AD288" i="3"/>
  <c r="AC288" i="3"/>
  <c r="AB288" i="3"/>
  <c r="AA288" i="3"/>
  <c r="Z288" i="3"/>
  <c r="AG287" i="3"/>
  <c r="AF287" i="3"/>
  <c r="AE287" i="3"/>
  <c r="AD287" i="3"/>
  <c r="AC287" i="3"/>
  <c r="AB287" i="3"/>
  <c r="AA287" i="3"/>
  <c r="Z287" i="3"/>
  <c r="AG286" i="3"/>
  <c r="AF286" i="3"/>
  <c r="AE286" i="3"/>
  <c r="AD286" i="3"/>
  <c r="AC286" i="3"/>
  <c r="AB286" i="3"/>
  <c r="AA286" i="3"/>
  <c r="Z286" i="3"/>
  <c r="AG285" i="3"/>
  <c r="AF285" i="3"/>
  <c r="AE285" i="3"/>
  <c r="AD285" i="3"/>
  <c r="AC285" i="3"/>
  <c r="AB285" i="3"/>
  <c r="AA285" i="3"/>
  <c r="Z285" i="3"/>
  <c r="AG284" i="3"/>
  <c r="AF284" i="3"/>
  <c r="AE284" i="3"/>
  <c r="AD284" i="3"/>
  <c r="AC284" i="3"/>
  <c r="AB284" i="3"/>
  <c r="AA284" i="3"/>
  <c r="Z284" i="3"/>
  <c r="AG283" i="3"/>
  <c r="AF283" i="3"/>
  <c r="AE283" i="3"/>
  <c r="AD283" i="3"/>
  <c r="AC283" i="3"/>
  <c r="AB283" i="3"/>
  <c r="AA283" i="3"/>
  <c r="Z283" i="3"/>
  <c r="AG282" i="3"/>
  <c r="AF282" i="3"/>
  <c r="AE282" i="3"/>
  <c r="AD282" i="3"/>
  <c r="AC282" i="3"/>
  <c r="AB282" i="3"/>
  <c r="AA282" i="3"/>
  <c r="Z282" i="3"/>
  <c r="AG281" i="3"/>
  <c r="AF281" i="3"/>
  <c r="AE281" i="3"/>
  <c r="AD281" i="3"/>
  <c r="AC281" i="3"/>
  <c r="AB281" i="3"/>
  <c r="AA281" i="3"/>
  <c r="Z281" i="3"/>
  <c r="AG280" i="3"/>
  <c r="AF280" i="3"/>
  <c r="AE280" i="3"/>
  <c r="AD280" i="3"/>
  <c r="AC280" i="3"/>
  <c r="AB280" i="3"/>
  <c r="AA280" i="3"/>
  <c r="Z280" i="3"/>
  <c r="AG279" i="3"/>
  <c r="AF279" i="3"/>
  <c r="AE279" i="3"/>
  <c r="AD279" i="3"/>
  <c r="AC279" i="3"/>
  <c r="AB279" i="3"/>
  <c r="AA279" i="3"/>
  <c r="Z279" i="3"/>
  <c r="AG278" i="3"/>
  <c r="AF278" i="3"/>
  <c r="AE278" i="3"/>
  <c r="AD278" i="3"/>
  <c r="AC278" i="3"/>
  <c r="AB278" i="3"/>
  <c r="AA278" i="3"/>
  <c r="Z278" i="3"/>
  <c r="AG277" i="3"/>
  <c r="AF277" i="3"/>
  <c r="AE277" i="3"/>
  <c r="AD277" i="3"/>
  <c r="AC277" i="3"/>
  <c r="AB277" i="3"/>
  <c r="AA277" i="3"/>
  <c r="Z277" i="3"/>
  <c r="AG276" i="3"/>
  <c r="AF276" i="3"/>
  <c r="AE276" i="3"/>
  <c r="AD276" i="3"/>
  <c r="AC276" i="3"/>
  <c r="AB276" i="3"/>
  <c r="AA276" i="3"/>
  <c r="Z276" i="3"/>
  <c r="AG275" i="3"/>
  <c r="AF275" i="3"/>
  <c r="AE275" i="3"/>
  <c r="AD275" i="3"/>
  <c r="AC275" i="3"/>
  <c r="AB275" i="3"/>
  <c r="AA275" i="3"/>
  <c r="Z275" i="3"/>
  <c r="AG274" i="3"/>
  <c r="AF274" i="3"/>
  <c r="AE274" i="3"/>
  <c r="AD274" i="3"/>
  <c r="AC274" i="3"/>
  <c r="AB274" i="3"/>
  <c r="AA274" i="3"/>
  <c r="Z274" i="3"/>
  <c r="AG273" i="3"/>
  <c r="AF273" i="3"/>
  <c r="AE273" i="3"/>
  <c r="AD273" i="3"/>
  <c r="AC273" i="3"/>
  <c r="AB273" i="3"/>
  <c r="AA273" i="3"/>
  <c r="Z273" i="3"/>
  <c r="AG272" i="3"/>
  <c r="AF272" i="3"/>
  <c r="AE272" i="3"/>
  <c r="AD272" i="3"/>
  <c r="AC272" i="3"/>
  <c r="AB272" i="3"/>
  <c r="AA272" i="3"/>
  <c r="Z272" i="3"/>
  <c r="AG271" i="3"/>
  <c r="AF271" i="3"/>
  <c r="AE271" i="3"/>
  <c r="AD271" i="3"/>
  <c r="AC271" i="3"/>
  <c r="AB271" i="3"/>
  <c r="AA271" i="3"/>
  <c r="Z271" i="3"/>
  <c r="AG270" i="3"/>
  <c r="AF270" i="3"/>
  <c r="AE270" i="3"/>
  <c r="AD270" i="3"/>
  <c r="AC270" i="3"/>
  <c r="AB270" i="3"/>
  <c r="AA270" i="3"/>
  <c r="Z270" i="3"/>
  <c r="AG269" i="3"/>
  <c r="AF269" i="3"/>
  <c r="AE269" i="3"/>
  <c r="AD269" i="3"/>
  <c r="AC269" i="3"/>
  <c r="AB269" i="3"/>
  <c r="AA269" i="3"/>
  <c r="Z269" i="3"/>
  <c r="AG268" i="3"/>
  <c r="AF268" i="3"/>
  <c r="AE268" i="3"/>
  <c r="AD268" i="3"/>
  <c r="AC268" i="3"/>
  <c r="AB268" i="3"/>
  <c r="AA268" i="3"/>
  <c r="Z268" i="3"/>
  <c r="AG267" i="3"/>
  <c r="AF267" i="3"/>
  <c r="AE267" i="3"/>
  <c r="AD267" i="3"/>
  <c r="AC267" i="3"/>
  <c r="AB267" i="3"/>
  <c r="AA267" i="3"/>
  <c r="Z267" i="3"/>
  <c r="AG266" i="3"/>
  <c r="AF266" i="3"/>
  <c r="AE266" i="3"/>
  <c r="AD266" i="3"/>
  <c r="AC266" i="3"/>
  <c r="AB266" i="3"/>
  <c r="AA266" i="3"/>
  <c r="Z266" i="3"/>
  <c r="AG265" i="3"/>
  <c r="AF265" i="3"/>
  <c r="AE265" i="3"/>
  <c r="AD265" i="3"/>
  <c r="AC265" i="3"/>
  <c r="AB265" i="3"/>
  <c r="AA265" i="3"/>
  <c r="Z265" i="3"/>
  <c r="AG264" i="3"/>
  <c r="AF264" i="3"/>
  <c r="AE264" i="3"/>
  <c r="AD264" i="3"/>
  <c r="AC264" i="3"/>
  <c r="AB264" i="3"/>
  <c r="AA264" i="3"/>
  <c r="Z264" i="3"/>
  <c r="AG263" i="3"/>
  <c r="AF263" i="3"/>
  <c r="AE263" i="3"/>
  <c r="AD263" i="3"/>
  <c r="AC263" i="3"/>
  <c r="AB263" i="3"/>
  <c r="AA263" i="3"/>
  <c r="Z263" i="3"/>
  <c r="AG262" i="3"/>
  <c r="AF262" i="3"/>
  <c r="AE262" i="3"/>
  <c r="AD262" i="3"/>
  <c r="AC262" i="3"/>
  <c r="AB262" i="3"/>
  <c r="AA262" i="3"/>
  <c r="Z262" i="3"/>
  <c r="AG261" i="3"/>
  <c r="AF261" i="3"/>
  <c r="AE261" i="3"/>
  <c r="AD261" i="3"/>
  <c r="AC261" i="3"/>
  <c r="AB261" i="3"/>
  <c r="AA261" i="3"/>
  <c r="Z261" i="3"/>
  <c r="AG260" i="3"/>
  <c r="AF260" i="3"/>
  <c r="AE260" i="3"/>
  <c r="AD260" i="3"/>
  <c r="AC260" i="3"/>
  <c r="AB260" i="3"/>
  <c r="AA260" i="3"/>
  <c r="Z260" i="3"/>
  <c r="AG259" i="3"/>
  <c r="AF259" i="3"/>
  <c r="AE259" i="3"/>
  <c r="AD259" i="3"/>
  <c r="AC259" i="3"/>
  <c r="AB259" i="3"/>
  <c r="AA259" i="3"/>
  <c r="Z259" i="3"/>
  <c r="AG258" i="3"/>
  <c r="AF258" i="3"/>
  <c r="AE258" i="3"/>
  <c r="AD258" i="3"/>
  <c r="AC258" i="3"/>
  <c r="AB258" i="3"/>
  <c r="AA258" i="3"/>
  <c r="Z258" i="3"/>
  <c r="AG257" i="3"/>
  <c r="AF257" i="3"/>
  <c r="AE257" i="3"/>
  <c r="AD257" i="3"/>
  <c r="AC257" i="3"/>
  <c r="AB257" i="3"/>
  <c r="AA257" i="3"/>
  <c r="Z257" i="3"/>
  <c r="AG256" i="3"/>
  <c r="AF256" i="3"/>
  <c r="AE256" i="3"/>
  <c r="AD256" i="3"/>
  <c r="AC256" i="3"/>
  <c r="AB256" i="3"/>
  <c r="AA256" i="3"/>
  <c r="Z256" i="3"/>
  <c r="AG255" i="3"/>
  <c r="AF255" i="3"/>
  <c r="AE255" i="3"/>
  <c r="AD255" i="3"/>
  <c r="AC255" i="3"/>
  <c r="AB255" i="3"/>
  <c r="AA255" i="3"/>
  <c r="Z255" i="3"/>
  <c r="AG254" i="3"/>
  <c r="AF254" i="3"/>
  <c r="AE254" i="3"/>
  <c r="AD254" i="3"/>
  <c r="AC254" i="3"/>
  <c r="AB254" i="3"/>
  <c r="AA254" i="3"/>
  <c r="Z254" i="3"/>
  <c r="AG253" i="3"/>
  <c r="AF253" i="3"/>
  <c r="AE253" i="3"/>
  <c r="AD253" i="3"/>
  <c r="AC253" i="3"/>
  <c r="AB253" i="3"/>
  <c r="AA253" i="3"/>
  <c r="Z253" i="3"/>
  <c r="AG252" i="3"/>
  <c r="AF252" i="3"/>
  <c r="AE252" i="3"/>
  <c r="AD252" i="3"/>
  <c r="AC252" i="3"/>
  <c r="AB252" i="3"/>
  <c r="AA252" i="3"/>
  <c r="Z252" i="3"/>
  <c r="AG251" i="3"/>
  <c r="AF251" i="3"/>
  <c r="AE251" i="3"/>
  <c r="AD251" i="3"/>
  <c r="AC251" i="3"/>
  <c r="AB251" i="3"/>
  <c r="AA251" i="3"/>
  <c r="Z251" i="3"/>
  <c r="AG250" i="3"/>
  <c r="AF250" i="3"/>
  <c r="AE250" i="3"/>
  <c r="AD250" i="3"/>
  <c r="AC250" i="3"/>
  <c r="AB250" i="3"/>
  <c r="AA250" i="3"/>
  <c r="Z250" i="3"/>
  <c r="AG249" i="3"/>
  <c r="AF249" i="3"/>
  <c r="AE249" i="3"/>
  <c r="AD249" i="3"/>
  <c r="AC249" i="3"/>
  <c r="AB249" i="3"/>
  <c r="AA249" i="3"/>
  <c r="Z249" i="3"/>
  <c r="AG248" i="3"/>
  <c r="AF248" i="3"/>
  <c r="AE248" i="3"/>
  <c r="AD248" i="3"/>
  <c r="AC248" i="3"/>
  <c r="AB248" i="3"/>
  <c r="AA248" i="3"/>
  <c r="Z248" i="3"/>
  <c r="AG247" i="3"/>
  <c r="AF247" i="3"/>
  <c r="AE247" i="3"/>
  <c r="AD247" i="3"/>
  <c r="AC247" i="3"/>
  <c r="AB247" i="3"/>
  <c r="AA247" i="3"/>
  <c r="Z247" i="3"/>
  <c r="AG246" i="3"/>
  <c r="AF246" i="3"/>
  <c r="AE246" i="3"/>
  <c r="AD246" i="3"/>
  <c r="AC246" i="3"/>
  <c r="AB246" i="3"/>
  <c r="AA246" i="3"/>
  <c r="Z246" i="3"/>
  <c r="AG245" i="3"/>
  <c r="AF245" i="3"/>
  <c r="AE245" i="3"/>
  <c r="AD245" i="3"/>
  <c r="AC245" i="3"/>
  <c r="AB245" i="3"/>
  <c r="AA245" i="3"/>
  <c r="Z245" i="3"/>
  <c r="AG244" i="3"/>
  <c r="AF244" i="3"/>
  <c r="AE244" i="3"/>
  <c r="AD244" i="3"/>
  <c r="AC244" i="3"/>
  <c r="AB244" i="3"/>
  <c r="AA244" i="3"/>
  <c r="Z244" i="3"/>
  <c r="AG243" i="3"/>
  <c r="AF243" i="3"/>
  <c r="AE243" i="3"/>
  <c r="AD243" i="3"/>
  <c r="AC243" i="3"/>
  <c r="AB243" i="3"/>
  <c r="AA243" i="3"/>
  <c r="Z243" i="3"/>
  <c r="AG242" i="3"/>
  <c r="AF242" i="3"/>
  <c r="AE242" i="3"/>
  <c r="AD242" i="3"/>
  <c r="AC242" i="3"/>
  <c r="AB242" i="3"/>
  <c r="AA242" i="3"/>
  <c r="Z242" i="3"/>
  <c r="AG241" i="3"/>
  <c r="AF241" i="3"/>
  <c r="AE241" i="3"/>
  <c r="AD241" i="3"/>
  <c r="AC241" i="3"/>
  <c r="AB241" i="3"/>
  <c r="AA241" i="3"/>
  <c r="Z241" i="3"/>
  <c r="AG240" i="3"/>
  <c r="AF240" i="3"/>
  <c r="AE240" i="3"/>
  <c r="AD240" i="3"/>
  <c r="AC240" i="3"/>
  <c r="AB240" i="3"/>
  <c r="AA240" i="3"/>
  <c r="Z240" i="3"/>
  <c r="AG239" i="3"/>
  <c r="AF239" i="3"/>
  <c r="AE239" i="3"/>
  <c r="AD239" i="3"/>
  <c r="AC239" i="3"/>
  <c r="AB239" i="3"/>
  <c r="AA239" i="3"/>
  <c r="Z239" i="3"/>
  <c r="AG238" i="3"/>
  <c r="AF238" i="3"/>
  <c r="AE238" i="3"/>
  <c r="AD238" i="3"/>
  <c r="AC238" i="3"/>
  <c r="AB238" i="3"/>
  <c r="AA238" i="3"/>
  <c r="Z238" i="3"/>
  <c r="AG237" i="3"/>
  <c r="AF237" i="3"/>
  <c r="AE237" i="3"/>
  <c r="AD237" i="3"/>
  <c r="AC237" i="3"/>
  <c r="AB237" i="3"/>
  <c r="AA237" i="3"/>
  <c r="Z237" i="3"/>
  <c r="AG236" i="3"/>
  <c r="AF236" i="3"/>
  <c r="AE236" i="3"/>
  <c r="AD236" i="3"/>
  <c r="AC236" i="3"/>
  <c r="AB236" i="3"/>
  <c r="AA236" i="3"/>
  <c r="Z236" i="3"/>
  <c r="AG235" i="3"/>
  <c r="AF235" i="3"/>
  <c r="AE235" i="3"/>
  <c r="AD235" i="3"/>
  <c r="AC235" i="3"/>
  <c r="AB235" i="3"/>
  <c r="AA235" i="3"/>
  <c r="Z235" i="3"/>
  <c r="AG234" i="3"/>
  <c r="AF234" i="3"/>
  <c r="AE234" i="3"/>
  <c r="AD234" i="3"/>
  <c r="AC234" i="3"/>
  <c r="AB234" i="3"/>
  <c r="AA234" i="3"/>
  <c r="Z234" i="3"/>
  <c r="AG233" i="3"/>
  <c r="AF233" i="3"/>
  <c r="AE233" i="3"/>
  <c r="AD233" i="3"/>
  <c r="AC233" i="3"/>
  <c r="AB233" i="3"/>
  <c r="AA233" i="3"/>
  <c r="Z233" i="3"/>
  <c r="AG232" i="3"/>
  <c r="AF232" i="3"/>
  <c r="AE232" i="3"/>
  <c r="AD232" i="3"/>
  <c r="AC232" i="3"/>
  <c r="AB232" i="3"/>
  <c r="AA232" i="3"/>
  <c r="Z232" i="3"/>
  <c r="AG231" i="3"/>
  <c r="AF231" i="3"/>
  <c r="AE231" i="3"/>
  <c r="AD231" i="3"/>
  <c r="AC231" i="3"/>
  <c r="AB231" i="3"/>
  <c r="AA231" i="3"/>
  <c r="Z231" i="3"/>
  <c r="AG230" i="3"/>
  <c r="AF230" i="3"/>
  <c r="AE230" i="3"/>
  <c r="AD230" i="3"/>
  <c r="AC230" i="3"/>
  <c r="AB230" i="3"/>
  <c r="AA230" i="3"/>
  <c r="Z230" i="3"/>
  <c r="AG229" i="3"/>
  <c r="AF229" i="3"/>
  <c r="AE229" i="3"/>
  <c r="AD229" i="3"/>
  <c r="AC229" i="3"/>
  <c r="AB229" i="3"/>
  <c r="AA229" i="3"/>
  <c r="Z229" i="3"/>
  <c r="AG228" i="3"/>
  <c r="AF228" i="3"/>
  <c r="AE228" i="3"/>
  <c r="AD228" i="3"/>
  <c r="AC228" i="3"/>
  <c r="AB228" i="3"/>
  <c r="AA228" i="3"/>
  <c r="Z228" i="3"/>
  <c r="AG227" i="3"/>
  <c r="AF227" i="3"/>
  <c r="AE227" i="3"/>
  <c r="AD227" i="3"/>
  <c r="AC227" i="3"/>
  <c r="AB227" i="3"/>
  <c r="AA227" i="3"/>
  <c r="Z227" i="3"/>
  <c r="AG226" i="3"/>
  <c r="AF226" i="3"/>
  <c r="AE226" i="3"/>
  <c r="AD226" i="3"/>
  <c r="AC226" i="3"/>
  <c r="AB226" i="3"/>
  <c r="AA226" i="3"/>
  <c r="Z226" i="3"/>
  <c r="AG225" i="3"/>
  <c r="AF225" i="3"/>
  <c r="AE225" i="3"/>
  <c r="AD225" i="3"/>
  <c r="AC225" i="3"/>
  <c r="AB225" i="3"/>
  <c r="AA225" i="3"/>
  <c r="Z225" i="3"/>
  <c r="AG224" i="3"/>
  <c r="AF224" i="3"/>
  <c r="AE224" i="3"/>
  <c r="AD224" i="3"/>
  <c r="AC224" i="3"/>
  <c r="AB224" i="3"/>
  <c r="AA224" i="3"/>
  <c r="Z224" i="3"/>
  <c r="AG223" i="3"/>
  <c r="AF223" i="3"/>
  <c r="AE223" i="3"/>
  <c r="AD223" i="3"/>
  <c r="AC223" i="3"/>
  <c r="AB223" i="3"/>
  <c r="AA223" i="3"/>
  <c r="Z223" i="3"/>
  <c r="AG222" i="3"/>
  <c r="AF222" i="3"/>
  <c r="AE222" i="3"/>
  <c r="AD222" i="3"/>
  <c r="AC222" i="3"/>
  <c r="AB222" i="3"/>
  <c r="AA222" i="3"/>
  <c r="Z222" i="3"/>
  <c r="AG221" i="3"/>
  <c r="AF221" i="3"/>
  <c r="AE221" i="3"/>
  <c r="AD221" i="3"/>
  <c r="AC221" i="3"/>
  <c r="AB221" i="3"/>
  <c r="AA221" i="3"/>
  <c r="Z221" i="3"/>
  <c r="AG220" i="3"/>
  <c r="AF220" i="3"/>
  <c r="AE220" i="3"/>
  <c r="AD220" i="3"/>
  <c r="AC220" i="3"/>
  <c r="AB220" i="3"/>
  <c r="AA220" i="3"/>
  <c r="Z220" i="3"/>
  <c r="AG219" i="3"/>
  <c r="AF219" i="3"/>
  <c r="AE219" i="3"/>
  <c r="AD219" i="3"/>
  <c r="AC219" i="3"/>
  <c r="AB219" i="3"/>
  <c r="AA219" i="3"/>
  <c r="Z219" i="3"/>
  <c r="AG218" i="3"/>
  <c r="AF218" i="3"/>
  <c r="AE218" i="3"/>
  <c r="AD218" i="3"/>
  <c r="AC218" i="3"/>
  <c r="AB218" i="3"/>
  <c r="AA218" i="3"/>
  <c r="Z218" i="3"/>
  <c r="AG217" i="3"/>
  <c r="AF217" i="3"/>
  <c r="AE217" i="3"/>
  <c r="AD217" i="3"/>
  <c r="AC217" i="3"/>
  <c r="AB217" i="3"/>
  <c r="AA217" i="3"/>
  <c r="Z217" i="3"/>
  <c r="AG216" i="3"/>
  <c r="AF216" i="3"/>
  <c r="AE216" i="3"/>
  <c r="AD216" i="3"/>
  <c r="AC216" i="3"/>
  <c r="AB216" i="3"/>
  <c r="AA216" i="3"/>
  <c r="Z216" i="3"/>
  <c r="AG215" i="3"/>
  <c r="AF215" i="3"/>
  <c r="AE215" i="3"/>
  <c r="AD215" i="3"/>
  <c r="AC215" i="3"/>
  <c r="AB215" i="3"/>
  <c r="AA215" i="3"/>
  <c r="Z215" i="3"/>
  <c r="AG214" i="3"/>
  <c r="AF214" i="3"/>
  <c r="AE214" i="3"/>
  <c r="AD214" i="3"/>
  <c r="AC214" i="3"/>
  <c r="AB214" i="3"/>
  <c r="AA214" i="3"/>
  <c r="Z214" i="3"/>
  <c r="AG213" i="3"/>
  <c r="AF213" i="3"/>
  <c r="AE213" i="3"/>
  <c r="AD213" i="3"/>
  <c r="AC213" i="3"/>
  <c r="AB213" i="3"/>
  <c r="AA213" i="3"/>
  <c r="Z213" i="3"/>
  <c r="AG212" i="3"/>
  <c r="AF212" i="3"/>
  <c r="AE212" i="3"/>
  <c r="AD212" i="3"/>
  <c r="AC212" i="3"/>
  <c r="AB212" i="3"/>
  <c r="AA212" i="3"/>
  <c r="Z212" i="3"/>
  <c r="AG211" i="3"/>
  <c r="AF211" i="3"/>
  <c r="AE211" i="3"/>
  <c r="AD211" i="3"/>
  <c r="AC211" i="3"/>
  <c r="AB211" i="3"/>
  <c r="AA211" i="3"/>
  <c r="Z211" i="3"/>
  <c r="AG210" i="3"/>
  <c r="AF210" i="3"/>
  <c r="AE210" i="3"/>
  <c r="AD210" i="3"/>
  <c r="AC210" i="3"/>
  <c r="AB210" i="3"/>
  <c r="AA210" i="3"/>
  <c r="Z210" i="3"/>
  <c r="AG209" i="3"/>
  <c r="AF209" i="3"/>
  <c r="AE209" i="3"/>
  <c r="AD209" i="3"/>
  <c r="AC209" i="3"/>
  <c r="AB209" i="3"/>
  <c r="AA209" i="3"/>
  <c r="Z209" i="3"/>
  <c r="AG208" i="3"/>
  <c r="AF208" i="3"/>
  <c r="AE208" i="3"/>
  <c r="AD208" i="3"/>
  <c r="AC208" i="3"/>
  <c r="AB208" i="3"/>
  <c r="AA208" i="3"/>
  <c r="Z208" i="3"/>
  <c r="AG207" i="3"/>
  <c r="AF207" i="3"/>
  <c r="AE207" i="3"/>
  <c r="AD207" i="3"/>
  <c r="AC207" i="3"/>
  <c r="AB207" i="3"/>
  <c r="AA207" i="3"/>
  <c r="Z207" i="3"/>
  <c r="AG206" i="3"/>
  <c r="AF206" i="3"/>
  <c r="AE206" i="3"/>
  <c r="AD206" i="3"/>
  <c r="AC206" i="3"/>
  <c r="AB206" i="3"/>
  <c r="AA206" i="3"/>
  <c r="Z206" i="3"/>
  <c r="AG205" i="3"/>
  <c r="AF205" i="3"/>
  <c r="AE205" i="3"/>
  <c r="AD205" i="3"/>
  <c r="AC205" i="3"/>
  <c r="AB205" i="3"/>
  <c r="AA205" i="3"/>
  <c r="Z205" i="3"/>
  <c r="AG204" i="3"/>
  <c r="AF204" i="3"/>
  <c r="AE204" i="3"/>
  <c r="AD204" i="3"/>
  <c r="AC204" i="3"/>
  <c r="AB204" i="3"/>
  <c r="AA204" i="3"/>
  <c r="Z204" i="3"/>
  <c r="AG203" i="3"/>
  <c r="AF203" i="3"/>
  <c r="AE203" i="3"/>
  <c r="AD203" i="3"/>
  <c r="AC203" i="3"/>
  <c r="AB203" i="3"/>
  <c r="AA203" i="3"/>
  <c r="Z203" i="3"/>
  <c r="AG202" i="3"/>
  <c r="AF202" i="3"/>
  <c r="AE202" i="3"/>
  <c r="AD202" i="3"/>
  <c r="AC202" i="3"/>
  <c r="AB202" i="3"/>
  <c r="AA202" i="3"/>
  <c r="Z202" i="3"/>
  <c r="AG201" i="3"/>
  <c r="AF201" i="3"/>
  <c r="AE201" i="3"/>
  <c r="AD201" i="3"/>
  <c r="AC201" i="3"/>
  <c r="AB201" i="3"/>
  <c r="AA201" i="3"/>
  <c r="Z201" i="3"/>
  <c r="AG200" i="3"/>
  <c r="AF200" i="3"/>
  <c r="AE200" i="3"/>
  <c r="AD200" i="3"/>
  <c r="AC200" i="3"/>
  <c r="AB200" i="3"/>
  <c r="AA200" i="3"/>
  <c r="Z200" i="3"/>
  <c r="AG199" i="3"/>
  <c r="AF199" i="3"/>
  <c r="AE199" i="3"/>
  <c r="AD199" i="3"/>
  <c r="AC199" i="3"/>
  <c r="AB199" i="3"/>
  <c r="AA199" i="3"/>
  <c r="Z199" i="3"/>
  <c r="AG198" i="3"/>
  <c r="AF198" i="3"/>
  <c r="AE198" i="3"/>
  <c r="AD198" i="3"/>
  <c r="AC198" i="3"/>
  <c r="AB198" i="3"/>
  <c r="AA198" i="3"/>
  <c r="Z198" i="3"/>
  <c r="AG197" i="3"/>
  <c r="AF197" i="3"/>
  <c r="AE197" i="3"/>
  <c r="AD197" i="3"/>
  <c r="AC197" i="3"/>
  <c r="AB197" i="3"/>
  <c r="AA197" i="3"/>
  <c r="Z197" i="3"/>
  <c r="AG196" i="3"/>
  <c r="AF196" i="3"/>
  <c r="AE196" i="3"/>
  <c r="AD196" i="3"/>
  <c r="AC196" i="3"/>
  <c r="AB196" i="3"/>
  <c r="AA196" i="3"/>
  <c r="Z196" i="3"/>
  <c r="AG195" i="3"/>
  <c r="AF195" i="3"/>
  <c r="AE195" i="3"/>
  <c r="AD195" i="3"/>
  <c r="AC195" i="3"/>
  <c r="AB195" i="3"/>
  <c r="AA195" i="3"/>
  <c r="Z195" i="3"/>
  <c r="AG194" i="3"/>
  <c r="AF194" i="3"/>
  <c r="AE194" i="3"/>
  <c r="AD194" i="3"/>
  <c r="AC194" i="3"/>
  <c r="AB194" i="3"/>
  <c r="AA194" i="3"/>
  <c r="Z194" i="3"/>
  <c r="AG193" i="3"/>
  <c r="AF193" i="3"/>
  <c r="AE193" i="3"/>
  <c r="AD193" i="3"/>
  <c r="AC193" i="3"/>
  <c r="AB193" i="3"/>
  <c r="AA193" i="3"/>
  <c r="Z193" i="3"/>
  <c r="AG192" i="3"/>
  <c r="AF192" i="3"/>
  <c r="AE192" i="3"/>
  <c r="AD192" i="3"/>
  <c r="AC192" i="3"/>
  <c r="AB192" i="3"/>
  <c r="AA192" i="3"/>
  <c r="Z192" i="3"/>
  <c r="AG191" i="3"/>
  <c r="AF191" i="3"/>
  <c r="AE191" i="3"/>
  <c r="AD191" i="3"/>
  <c r="AC191" i="3"/>
  <c r="AB191" i="3"/>
  <c r="AA191" i="3"/>
  <c r="Z191" i="3"/>
  <c r="AG190" i="3"/>
  <c r="AF190" i="3"/>
  <c r="AE190" i="3"/>
  <c r="AD190" i="3"/>
  <c r="AC190" i="3"/>
  <c r="AB190" i="3"/>
  <c r="AA190" i="3"/>
  <c r="Z190" i="3"/>
  <c r="AG189" i="3"/>
  <c r="AF189" i="3"/>
  <c r="AE189" i="3"/>
  <c r="AD189" i="3"/>
  <c r="AC189" i="3"/>
  <c r="AB189" i="3"/>
  <c r="AA189" i="3"/>
  <c r="Z189" i="3"/>
  <c r="AG188" i="3"/>
  <c r="AF188" i="3"/>
  <c r="AE188" i="3"/>
  <c r="AD188" i="3"/>
  <c r="AC188" i="3"/>
  <c r="AB188" i="3"/>
  <c r="AA188" i="3"/>
  <c r="Z188" i="3"/>
  <c r="AG187" i="3"/>
  <c r="AF187" i="3"/>
  <c r="AE187" i="3"/>
  <c r="AD187" i="3"/>
  <c r="AC187" i="3"/>
  <c r="AB187" i="3"/>
  <c r="AA187" i="3"/>
  <c r="Z187" i="3"/>
  <c r="AG186" i="3"/>
  <c r="AF186" i="3"/>
  <c r="AE186" i="3"/>
  <c r="AD186" i="3"/>
  <c r="AC186" i="3"/>
  <c r="AB186" i="3"/>
  <c r="AA186" i="3"/>
  <c r="Z186" i="3"/>
  <c r="AG185" i="3"/>
  <c r="AF185" i="3"/>
  <c r="AE185" i="3"/>
  <c r="AD185" i="3"/>
  <c r="AC185" i="3"/>
  <c r="AB185" i="3"/>
  <c r="AA185" i="3"/>
  <c r="Z185" i="3"/>
  <c r="AG184" i="3"/>
  <c r="AF184" i="3"/>
  <c r="AE184" i="3"/>
  <c r="AD184" i="3"/>
  <c r="AC184" i="3"/>
  <c r="AB184" i="3"/>
  <c r="AA184" i="3"/>
  <c r="Z184" i="3"/>
  <c r="AG183" i="3"/>
  <c r="AF183" i="3"/>
  <c r="AE183" i="3"/>
  <c r="AD183" i="3"/>
  <c r="AC183" i="3"/>
  <c r="AB183" i="3"/>
  <c r="AA183" i="3"/>
  <c r="Z183" i="3"/>
  <c r="AG182" i="3"/>
  <c r="AF182" i="3"/>
  <c r="AE182" i="3"/>
  <c r="AD182" i="3"/>
  <c r="AC182" i="3"/>
  <c r="AB182" i="3"/>
  <c r="AA182" i="3"/>
  <c r="Z182" i="3"/>
  <c r="AG181" i="3"/>
  <c r="AF181" i="3"/>
  <c r="AE181" i="3"/>
  <c r="AD181" i="3"/>
  <c r="AC181" i="3"/>
  <c r="AB181" i="3"/>
  <c r="AA181" i="3"/>
  <c r="Z181" i="3"/>
  <c r="AG180" i="3"/>
  <c r="AF180" i="3"/>
  <c r="AE180" i="3"/>
  <c r="AD180" i="3"/>
  <c r="AC180" i="3"/>
  <c r="AB180" i="3"/>
  <c r="AA180" i="3"/>
  <c r="Z180" i="3"/>
  <c r="AG179" i="3"/>
  <c r="AF179" i="3"/>
  <c r="AE179" i="3"/>
  <c r="AD179" i="3"/>
  <c r="AC179" i="3"/>
  <c r="AB179" i="3"/>
  <c r="AA179" i="3"/>
  <c r="Z179" i="3"/>
  <c r="AG178" i="3"/>
  <c r="AF178" i="3"/>
  <c r="AE178" i="3"/>
  <c r="AD178" i="3"/>
  <c r="AC178" i="3"/>
  <c r="AB178" i="3"/>
  <c r="AA178" i="3"/>
  <c r="Z178" i="3"/>
  <c r="AG177" i="3"/>
  <c r="AF177" i="3"/>
  <c r="AE177" i="3"/>
  <c r="AD177" i="3"/>
  <c r="AC177" i="3"/>
  <c r="AB177" i="3"/>
  <c r="AA177" i="3"/>
  <c r="Z177" i="3"/>
  <c r="AG176" i="3"/>
  <c r="AF176" i="3"/>
  <c r="AE176" i="3"/>
  <c r="AD176" i="3"/>
  <c r="AC176" i="3"/>
  <c r="AB176" i="3"/>
  <c r="AA176" i="3"/>
  <c r="Z176" i="3"/>
  <c r="AG175" i="3"/>
  <c r="AF175" i="3"/>
  <c r="AE175" i="3"/>
  <c r="AD175" i="3"/>
  <c r="AC175" i="3"/>
  <c r="AB175" i="3"/>
  <c r="AA175" i="3"/>
  <c r="Z175" i="3"/>
  <c r="AG174" i="3"/>
  <c r="AF174" i="3"/>
  <c r="AE174" i="3"/>
  <c r="AD174" i="3"/>
  <c r="AC174" i="3"/>
  <c r="AB174" i="3"/>
  <c r="AA174" i="3"/>
  <c r="Z174" i="3"/>
  <c r="AG173" i="3"/>
  <c r="AF173" i="3"/>
  <c r="AE173" i="3"/>
  <c r="AD173" i="3"/>
  <c r="AC173" i="3"/>
  <c r="AB173" i="3"/>
  <c r="AA173" i="3"/>
  <c r="Z173" i="3"/>
  <c r="AG172" i="3"/>
  <c r="AF172" i="3"/>
  <c r="AE172" i="3"/>
  <c r="AD172" i="3"/>
  <c r="AC172" i="3"/>
  <c r="AB172" i="3"/>
  <c r="AA172" i="3"/>
  <c r="Z172" i="3"/>
  <c r="AG171" i="3"/>
  <c r="AF171" i="3"/>
  <c r="AE171" i="3"/>
  <c r="AD171" i="3"/>
  <c r="AC171" i="3"/>
  <c r="AB171" i="3"/>
  <c r="AA171" i="3"/>
  <c r="Z171" i="3"/>
  <c r="AG170" i="3"/>
  <c r="AF170" i="3"/>
  <c r="AE170" i="3"/>
  <c r="AD170" i="3"/>
  <c r="AC170" i="3"/>
  <c r="AB170" i="3"/>
  <c r="AA170" i="3"/>
  <c r="Z170" i="3"/>
  <c r="AG169" i="3"/>
  <c r="AF169" i="3"/>
  <c r="AE169" i="3"/>
  <c r="AD169" i="3"/>
  <c r="AC169" i="3"/>
  <c r="AB169" i="3"/>
  <c r="AA169" i="3"/>
  <c r="Z169" i="3"/>
  <c r="AG168" i="3"/>
  <c r="AF168" i="3"/>
  <c r="AE168" i="3"/>
  <c r="AD168" i="3"/>
  <c r="AC168" i="3"/>
  <c r="AB168" i="3"/>
  <c r="AA168" i="3"/>
  <c r="Z168" i="3"/>
  <c r="AG167" i="3"/>
  <c r="AF167" i="3"/>
  <c r="AE167" i="3"/>
  <c r="AD167" i="3"/>
  <c r="AC167" i="3"/>
  <c r="AB167" i="3"/>
  <c r="AA167" i="3"/>
  <c r="Z167" i="3"/>
  <c r="AG166" i="3"/>
  <c r="AF166" i="3"/>
  <c r="AE166" i="3"/>
  <c r="AD166" i="3"/>
  <c r="AC166" i="3"/>
  <c r="AB166" i="3"/>
  <c r="AA166" i="3"/>
  <c r="Z166" i="3"/>
  <c r="AG165" i="3"/>
  <c r="AF165" i="3"/>
  <c r="AE165" i="3"/>
  <c r="AD165" i="3"/>
  <c r="AC165" i="3"/>
  <c r="AB165" i="3"/>
  <c r="AA165" i="3"/>
  <c r="Z165" i="3"/>
  <c r="AG164" i="3"/>
  <c r="AF164" i="3"/>
  <c r="AE164" i="3"/>
  <c r="AD164" i="3"/>
  <c r="AC164" i="3"/>
  <c r="AB164" i="3"/>
  <c r="AA164" i="3"/>
  <c r="Z164" i="3"/>
  <c r="AG163" i="3"/>
  <c r="AF163" i="3"/>
  <c r="AE163" i="3"/>
  <c r="AD163" i="3"/>
  <c r="AC163" i="3"/>
  <c r="AB163" i="3"/>
  <c r="AA163" i="3"/>
  <c r="Z163" i="3"/>
  <c r="AG162" i="3"/>
  <c r="AF162" i="3"/>
  <c r="AE162" i="3"/>
  <c r="AD162" i="3"/>
  <c r="AC162" i="3"/>
  <c r="AB162" i="3"/>
  <c r="AA162" i="3"/>
  <c r="Z162" i="3"/>
  <c r="AG161" i="3"/>
  <c r="AF161" i="3"/>
  <c r="AE161" i="3"/>
  <c r="AD161" i="3"/>
  <c r="AC161" i="3"/>
  <c r="AB161" i="3"/>
  <c r="AA161" i="3"/>
  <c r="Z161" i="3"/>
  <c r="AG160" i="3"/>
  <c r="AF160" i="3"/>
  <c r="AE160" i="3"/>
  <c r="AD160" i="3"/>
  <c r="AC160" i="3"/>
  <c r="AB160" i="3"/>
  <c r="AA160" i="3"/>
  <c r="Z160" i="3"/>
  <c r="AG159" i="3"/>
  <c r="AF159" i="3"/>
  <c r="AE159" i="3"/>
  <c r="AD159" i="3"/>
  <c r="AC159" i="3"/>
  <c r="AB159" i="3"/>
  <c r="AA159" i="3"/>
  <c r="Z159" i="3"/>
  <c r="AG158" i="3"/>
  <c r="AF158" i="3"/>
  <c r="AE158" i="3"/>
  <c r="AD158" i="3"/>
  <c r="AC158" i="3"/>
  <c r="AB158" i="3"/>
  <c r="AA158" i="3"/>
  <c r="Z158" i="3"/>
  <c r="AG157" i="3"/>
  <c r="AF157" i="3"/>
  <c r="AE157" i="3"/>
  <c r="AD157" i="3"/>
  <c r="AC157" i="3"/>
  <c r="AB157" i="3"/>
  <c r="AA157" i="3"/>
  <c r="Z157" i="3"/>
  <c r="AG156" i="3"/>
  <c r="AF156" i="3"/>
  <c r="AE156" i="3"/>
  <c r="AD156" i="3"/>
  <c r="AC156" i="3"/>
  <c r="AB156" i="3"/>
  <c r="AA156" i="3"/>
  <c r="Z156" i="3"/>
  <c r="AG155" i="3"/>
  <c r="AF155" i="3"/>
  <c r="AE155" i="3"/>
  <c r="AD155" i="3"/>
  <c r="AC155" i="3"/>
  <c r="AB155" i="3"/>
  <c r="AA155" i="3"/>
  <c r="Z155" i="3"/>
  <c r="AG154" i="3"/>
  <c r="AF154" i="3"/>
  <c r="AE154" i="3"/>
  <c r="AD154" i="3"/>
  <c r="AC154" i="3"/>
  <c r="AB154" i="3"/>
  <c r="AA154" i="3"/>
  <c r="Z154" i="3"/>
  <c r="AG153" i="3"/>
  <c r="AF153" i="3"/>
  <c r="AE153" i="3"/>
  <c r="AD153" i="3"/>
  <c r="AC153" i="3"/>
  <c r="AB153" i="3"/>
  <c r="AA153" i="3"/>
  <c r="Z153" i="3"/>
  <c r="AG152" i="3"/>
  <c r="AF152" i="3"/>
  <c r="AE152" i="3"/>
  <c r="AD152" i="3"/>
  <c r="AC152" i="3"/>
  <c r="AB152" i="3"/>
  <c r="AA152" i="3"/>
  <c r="Z152" i="3"/>
  <c r="AG151" i="3"/>
  <c r="AF151" i="3"/>
  <c r="AE151" i="3"/>
  <c r="AD151" i="3"/>
  <c r="AC151" i="3"/>
  <c r="AB151" i="3"/>
  <c r="AA151" i="3"/>
  <c r="Z151" i="3"/>
  <c r="AG150" i="3"/>
  <c r="AF150" i="3"/>
  <c r="AE150" i="3"/>
  <c r="AD150" i="3"/>
  <c r="AC150" i="3"/>
  <c r="AB150" i="3"/>
  <c r="AA150" i="3"/>
  <c r="Z150" i="3"/>
  <c r="AG149" i="3"/>
  <c r="AF149" i="3"/>
  <c r="AE149" i="3"/>
  <c r="AD149" i="3"/>
  <c r="AC149" i="3"/>
  <c r="AB149" i="3"/>
  <c r="AA149" i="3"/>
  <c r="Z149" i="3"/>
  <c r="AG148" i="3"/>
  <c r="AF148" i="3"/>
  <c r="AE148" i="3"/>
  <c r="AD148" i="3"/>
  <c r="AC148" i="3"/>
  <c r="AB148" i="3"/>
  <c r="AA148" i="3"/>
  <c r="Z148" i="3"/>
  <c r="AG147" i="3"/>
  <c r="AF147" i="3"/>
  <c r="AE147" i="3"/>
  <c r="AD147" i="3"/>
  <c r="AC147" i="3"/>
  <c r="AB147" i="3"/>
  <c r="AA147" i="3"/>
  <c r="Z147" i="3"/>
  <c r="AG146" i="3"/>
  <c r="AF146" i="3"/>
  <c r="AE146" i="3"/>
  <c r="AD146" i="3"/>
  <c r="AC146" i="3"/>
  <c r="AB146" i="3"/>
  <c r="AA146" i="3"/>
  <c r="Z146" i="3"/>
  <c r="AG145" i="3"/>
  <c r="AF145" i="3"/>
  <c r="AE145" i="3"/>
  <c r="AD145" i="3"/>
  <c r="AC145" i="3"/>
  <c r="AB145" i="3"/>
  <c r="AA145" i="3"/>
  <c r="Z145" i="3"/>
  <c r="AG144" i="3"/>
  <c r="AF144" i="3"/>
  <c r="AE144" i="3"/>
  <c r="AD144" i="3"/>
  <c r="AC144" i="3"/>
  <c r="AB144" i="3"/>
  <c r="AA144" i="3"/>
  <c r="Z144" i="3"/>
  <c r="AG143" i="3"/>
  <c r="AF143" i="3"/>
  <c r="AE143" i="3"/>
  <c r="AD143" i="3"/>
  <c r="AC143" i="3"/>
  <c r="AB143" i="3"/>
  <c r="AA143" i="3"/>
  <c r="Z143" i="3"/>
  <c r="AG142" i="3"/>
  <c r="AF142" i="3"/>
  <c r="AE142" i="3"/>
  <c r="AD142" i="3"/>
  <c r="AC142" i="3"/>
  <c r="AB142" i="3"/>
  <c r="AA142" i="3"/>
  <c r="Z142" i="3"/>
  <c r="AG141" i="3"/>
  <c r="AF141" i="3"/>
  <c r="AE141" i="3"/>
  <c r="AD141" i="3"/>
  <c r="AC141" i="3"/>
  <c r="AB141" i="3"/>
  <c r="AA141" i="3"/>
  <c r="Z141" i="3"/>
  <c r="AG140" i="3"/>
  <c r="AF140" i="3"/>
  <c r="AE140" i="3"/>
  <c r="AD140" i="3"/>
  <c r="AC140" i="3"/>
  <c r="AB140" i="3"/>
  <c r="AA140" i="3"/>
  <c r="Z140" i="3"/>
  <c r="AG139" i="3"/>
  <c r="AF139" i="3"/>
  <c r="AE139" i="3"/>
  <c r="AD139" i="3"/>
  <c r="AC139" i="3"/>
  <c r="AB139" i="3"/>
  <c r="AA139" i="3"/>
  <c r="Z139" i="3"/>
  <c r="AG138" i="3"/>
  <c r="AF138" i="3"/>
  <c r="AE138" i="3"/>
  <c r="AD138" i="3"/>
  <c r="AC138" i="3"/>
  <c r="AB138" i="3"/>
  <c r="AA138" i="3"/>
  <c r="Z138" i="3"/>
  <c r="AG137" i="3"/>
  <c r="AF137" i="3"/>
  <c r="AE137" i="3"/>
  <c r="AD137" i="3"/>
  <c r="AC137" i="3"/>
  <c r="AB137" i="3"/>
  <c r="AA137" i="3"/>
  <c r="Z137" i="3"/>
  <c r="AG136" i="3"/>
  <c r="AF136" i="3"/>
  <c r="AE136" i="3"/>
  <c r="AD136" i="3"/>
  <c r="AC136" i="3"/>
  <c r="AB136" i="3"/>
  <c r="AA136" i="3"/>
  <c r="Z136" i="3"/>
  <c r="AG135" i="3"/>
  <c r="AF135" i="3"/>
  <c r="AE135" i="3"/>
  <c r="AD135" i="3"/>
  <c r="AC135" i="3"/>
  <c r="AB135" i="3"/>
  <c r="AA135" i="3"/>
  <c r="Z135" i="3"/>
  <c r="AG134" i="3"/>
  <c r="AF134" i="3"/>
  <c r="AE134" i="3"/>
  <c r="AD134" i="3"/>
  <c r="AC134" i="3"/>
  <c r="AB134" i="3"/>
  <c r="AA134" i="3"/>
  <c r="Z134" i="3"/>
  <c r="AG133" i="3"/>
  <c r="AF133" i="3"/>
  <c r="AE133" i="3"/>
  <c r="AD133" i="3"/>
  <c r="AC133" i="3"/>
  <c r="AB133" i="3"/>
  <c r="AA133" i="3"/>
  <c r="Z133" i="3"/>
  <c r="AG132" i="3"/>
  <c r="AF132" i="3"/>
  <c r="AE132" i="3"/>
  <c r="AD132" i="3"/>
  <c r="AC132" i="3"/>
  <c r="AB132" i="3"/>
  <c r="AA132" i="3"/>
  <c r="Z132" i="3"/>
  <c r="AG131" i="3"/>
  <c r="AF131" i="3"/>
  <c r="AE131" i="3"/>
  <c r="AD131" i="3"/>
  <c r="AC131" i="3"/>
  <c r="AB131" i="3"/>
  <c r="AA131" i="3"/>
  <c r="Z131" i="3"/>
  <c r="AG130" i="3"/>
  <c r="AF130" i="3"/>
  <c r="AE130" i="3"/>
  <c r="AD130" i="3"/>
  <c r="AC130" i="3"/>
  <c r="AB130" i="3"/>
  <c r="AA130" i="3"/>
  <c r="Z130" i="3"/>
  <c r="AG129" i="3"/>
  <c r="AF129" i="3"/>
  <c r="AE129" i="3"/>
  <c r="AD129" i="3"/>
  <c r="AC129" i="3"/>
  <c r="AB129" i="3"/>
  <c r="AA129" i="3"/>
  <c r="Z129" i="3"/>
  <c r="AG128" i="3"/>
  <c r="AF128" i="3"/>
  <c r="AE128" i="3"/>
  <c r="AD128" i="3"/>
  <c r="AC128" i="3"/>
  <c r="AB128" i="3"/>
  <c r="AA128" i="3"/>
  <c r="Z128" i="3"/>
  <c r="AG127" i="3"/>
  <c r="AF127" i="3"/>
  <c r="AE127" i="3"/>
  <c r="AD127" i="3"/>
  <c r="AC127" i="3"/>
  <c r="AB127" i="3"/>
  <c r="AA127" i="3"/>
  <c r="Z127" i="3"/>
  <c r="AG126" i="3"/>
  <c r="AF126" i="3"/>
  <c r="AE126" i="3"/>
  <c r="AD126" i="3"/>
  <c r="AC126" i="3"/>
  <c r="AB126" i="3"/>
  <c r="AA126" i="3"/>
  <c r="Z126" i="3"/>
  <c r="AG125" i="3"/>
  <c r="AF125" i="3"/>
  <c r="AE125" i="3"/>
  <c r="AD125" i="3"/>
  <c r="AC125" i="3"/>
  <c r="AB125" i="3"/>
  <c r="AA125" i="3"/>
  <c r="Z125" i="3"/>
  <c r="AG124" i="3"/>
  <c r="AF124" i="3"/>
  <c r="AE124" i="3"/>
  <c r="AD124" i="3"/>
  <c r="AC124" i="3"/>
  <c r="AB124" i="3"/>
  <c r="AA124" i="3"/>
  <c r="Z124" i="3"/>
  <c r="AG123" i="3"/>
  <c r="AF123" i="3"/>
  <c r="AE123" i="3"/>
  <c r="AD123" i="3"/>
  <c r="AC123" i="3"/>
  <c r="AB123" i="3"/>
  <c r="AA123" i="3"/>
  <c r="Z123" i="3"/>
  <c r="AG122" i="3"/>
  <c r="AF122" i="3"/>
  <c r="AE122" i="3"/>
  <c r="AD122" i="3"/>
  <c r="AC122" i="3"/>
  <c r="AB122" i="3"/>
  <c r="AA122" i="3"/>
  <c r="Z122" i="3"/>
  <c r="AG121" i="3"/>
  <c r="AF121" i="3"/>
  <c r="AE121" i="3"/>
  <c r="AD121" i="3"/>
  <c r="AC121" i="3"/>
  <c r="AB121" i="3"/>
  <c r="AA121" i="3"/>
  <c r="Z121" i="3"/>
  <c r="AG120" i="3"/>
  <c r="AF120" i="3"/>
  <c r="AE120" i="3"/>
  <c r="AD120" i="3"/>
  <c r="AC120" i="3"/>
  <c r="AB120" i="3"/>
  <c r="AA120" i="3"/>
  <c r="Z120" i="3"/>
  <c r="AG119" i="3"/>
  <c r="AF119" i="3"/>
  <c r="AE119" i="3"/>
  <c r="AD119" i="3"/>
  <c r="AC119" i="3"/>
  <c r="AB119" i="3"/>
  <c r="AA119" i="3"/>
  <c r="Z119" i="3"/>
  <c r="AG118" i="3"/>
  <c r="AF118" i="3"/>
  <c r="AE118" i="3"/>
  <c r="AD118" i="3"/>
  <c r="AC118" i="3"/>
  <c r="AB118" i="3"/>
  <c r="AA118" i="3"/>
  <c r="Z118" i="3"/>
  <c r="AG117" i="3"/>
  <c r="AF117" i="3"/>
  <c r="AE117" i="3"/>
  <c r="AD117" i="3"/>
  <c r="AC117" i="3"/>
  <c r="AB117" i="3"/>
  <c r="AA117" i="3"/>
  <c r="Z117" i="3"/>
  <c r="AG116" i="3"/>
  <c r="AF116" i="3"/>
  <c r="AE116" i="3"/>
  <c r="AD116" i="3"/>
  <c r="AC116" i="3"/>
  <c r="AB116" i="3"/>
  <c r="AA116" i="3"/>
  <c r="Z116" i="3"/>
  <c r="AG115" i="3"/>
  <c r="AF115" i="3"/>
  <c r="AE115" i="3"/>
  <c r="AD115" i="3"/>
  <c r="AC115" i="3"/>
  <c r="AB115" i="3"/>
  <c r="AA115" i="3"/>
  <c r="Z115" i="3"/>
  <c r="AG114" i="3"/>
  <c r="AF114" i="3"/>
  <c r="AE114" i="3"/>
  <c r="AD114" i="3"/>
  <c r="AC114" i="3"/>
  <c r="AB114" i="3"/>
  <c r="AA114" i="3"/>
  <c r="Z114" i="3"/>
  <c r="AG113" i="3"/>
  <c r="AF113" i="3"/>
  <c r="AE113" i="3"/>
  <c r="AD113" i="3"/>
  <c r="AC113" i="3"/>
  <c r="AB113" i="3"/>
  <c r="AA113" i="3"/>
  <c r="Z113" i="3"/>
  <c r="AG112" i="3"/>
  <c r="AF112" i="3"/>
  <c r="AE112" i="3"/>
  <c r="AD112" i="3"/>
  <c r="AC112" i="3"/>
  <c r="AB112" i="3"/>
  <c r="AA112" i="3"/>
  <c r="Z112" i="3"/>
  <c r="AG111" i="3"/>
  <c r="AF111" i="3"/>
  <c r="AE111" i="3"/>
  <c r="AD111" i="3"/>
  <c r="AC111" i="3"/>
  <c r="AB111" i="3"/>
  <c r="AA111" i="3"/>
  <c r="Z111" i="3"/>
  <c r="AG110" i="3"/>
  <c r="AF110" i="3"/>
  <c r="AE110" i="3"/>
  <c r="AD110" i="3"/>
  <c r="AC110" i="3"/>
  <c r="AB110" i="3"/>
  <c r="AA110" i="3"/>
  <c r="Z110" i="3"/>
  <c r="AG109" i="3"/>
  <c r="AF109" i="3"/>
  <c r="AE109" i="3"/>
  <c r="AD109" i="3"/>
  <c r="AC109" i="3"/>
  <c r="AB109" i="3"/>
  <c r="AA109" i="3"/>
  <c r="Z109" i="3"/>
  <c r="AG108" i="3"/>
  <c r="AF108" i="3"/>
  <c r="AE108" i="3"/>
  <c r="AD108" i="3"/>
  <c r="AC108" i="3"/>
  <c r="AB108" i="3"/>
  <c r="AA108" i="3"/>
  <c r="Z108" i="3"/>
  <c r="AG107" i="3"/>
  <c r="AF107" i="3"/>
  <c r="AE107" i="3"/>
  <c r="AD107" i="3"/>
  <c r="AC107" i="3"/>
  <c r="AB107" i="3"/>
  <c r="AA107" i="3"/>
  <c r="Z107" i="3"/>
  <c r="AG106" i="3"/>
  <c r="AF106" i="3"/>
  <c r="AE106" i="3"/>
  <c r="AD106" i="3"/>
  <c r="AC106" i="3"/>
  <c r="AB106" i="3"/>
  <c r="AA106" i="3"/>
  <c r="Z106" i="3"/>
  <c r="AG105" i="3"/>
  <c r="AF105" i="3"/>
  <c r="AE105" i="3"/>
  <c r="AD105" i="3"/>
  <c r="AC105" i="3"/>
  <c r="AB105" i="3"/>
  <c r="AA105" i="3"/>
  <c r="Z105" i="3"/>
  <c r="AG104" i="3"/>
  <c r="AF104" i="3"/>
  <c r="AE104" i="3"/>
  <c r="AD104" i="3"/>
  <c r="AC104" i="3"/>
  <c r="AB104" i="3"/>
  <c r="AA104" i="3"/>
  <c r="Z104" i="3"/>
  <c r="AG103" i="3"/>
  <c r="AF103" i="3"/>
  <c r="AE103" i="3"/>
  <c r="AD103" i="3"/>
  <c r="AC103" i="3"/>
  <c r="AB103" i="3"/>
  <c r="AA103" i="3"/>
  <c r="Z103" i="3"/>
  <c r="AG102" i="3"/>
  <c r="AF102" i="3"/>
  <c r="AE102" i="3"/>
  <c r="AD102" i="3"/>
  <c r="AC102" i="3"/>
  <c r="AB102" i="3"/>
  <c r="AA102" i="3"/>
  <c r="Z102" i="3"/>
  <c r="AG101" i="3"/>
  <c r="AF101" i="3"/>
  <c r="AE101" i="3"/>
  <c r="AD101" i="3"/>
  <c r="AC101" i="3"/>
  <c r="AB101" i="3"/>
  <c r="AA101" i="3"/>
  <c r="Z101" i="3"/>
  <c r="AG100" i="3"/>
  <c r="AF100" i="3"/>
  <c r="AE100" i="3"/>
  <c r="AD100" i="3"/>
  <c r="AC100" i="3"/>
  <c r="AB100" i="3"/>
  <c r="AA100" i="3"/>
  <c r="Z100" i="3"/>
  <c r="AG99" i="3"/>
  <c r="AF99" i="3"/>
  <c r="AE99" i="3"/>
  <c r="AD99" i="3"/>
  <c r="AC99" i="3"/>
  <c r="AB99" i="3"/>
  <c r="AA99" i="3"/>
  <c r="Z99" i="3"/>
  <c r="AG98" i="3"/>
  <c r="AF98" i="3"/>
  <c r="AE98" i="3"/>
  <c r="AD98" i="3"/>
  <c r="AC98" i="3"/>
  <c r="AB98" i="3"/>
  <c r="AA98" i="3"/>
  <c r="Z98" i="3"/>
  <c r="AG97" i="3"/>
  <c r="AF97" i="3"/>
  <c r="AE97" i="3"/>
  <c r="AD97" i="3"/>
  <c r="AC97" i="3"/>
  <c r="AB97" i="3"/>
  <c r="AA97" i="3"/>
  <c r="Z97" i="3"/>
  <c r="AG96" i="3"/>
  <c r="AF96" i="3"/>
  <c r="AE96" i="3"/>
  <c r="AD96" i="3"/>
  <c r="AC96" i="3"/>
  <c r="AB96" i="3"/>
  <c r="AA96" i="3"/>
  <c r="Z96" i="3"/>
  <c r="AG95" i="3"/>
  <c r="AF95" i="3"/>
  <c r="AE95" i="3"/>
  <c r="AD95" i="3"/>
  <c r="AC95" i="3"/>
  <c r="AB95" i="3"/>
  <c r="AA95" i="3"/>
  <c r="Z95" i="3"/>
  <c r="AG94" i="3"/>
  <c r="AF94" i="3"/>
  <c r="AE94" i="3"/>
  <c r="AD94" i="3"/>
  <c r="AC94" i="3"/>
  <c r="AB94" i="3"/>
  <c r="AA94" i="3"/>
  <c r="Z94" i="3"/>
  <c r="AG93" i="3"/>
  <c r="AF93" i="3"/>
  <c r="AE93" i="3"/>
  <c r="AD93" i="3"/>
  <c r="AC93" i="3"/>
  <c r="AB93" i="3"/>
  <c r="AA93" i="3"/>
  <c r="Z93" i="3"/>
  <c r="AG92" i="3"/>
  <c r="AF92" i="3"/>
  <c r="AE92" i="3"/>
  <c r="AD92" i="3"/>
  <c r="AC92" i="3"/>
  <c r="AB92" i="3"/>
  <c r="AA92" i="3"/>
  <c r="Z92" i="3"/>
  <c r="AG91" i="3"/>
  <c r="AF91" i="3"/>
  <c r="AE91" i="3"/>
  <c r="AD91" i="3"/>
  <c r="AC91" i="3"/>
  <c r="AB91" i="3"/>
  <c r="AA91" i="3"/>
  <c r="Z91" i="3"/>
  <c r="AG90" i="3"/>
  <c r="AF90" i="3"/>
  <c r="AE90" i="3"/>
  <c r="AD90" i="3"/>
  <c r="AC90" i="3"/>
  <c r="AB90" i="3"/>
  <c r="AA90" i="3"/>
  <c r="Z90" i="3"/>
  <c r="AG89" i="3"/>
  <c r="AF89" i="3"/>
  <c r="AE89" i="3"/>
  <c r="AD89" i="3"/>
  <c r="AC89" i="3"/>
  <c r="AB89" i="3"/>
  <c r="AA89" i="3"/>
  <c r="Z89" i="3"/>
  <c r="AG88" i="3"/>
  <c r="AF88" i="3"/>
  <c r="AE88" i="3"/>
  <c r="AD88" i="3"/>
  <c r="AC88" i="3"/>
  <c r="AB88" i="3"/>
  <c r="AA88" i="3"/>
  <c r="Z88" i="3"/>
  <c r="AG87" i="3"/>
  <c r="AF87" i="3"/>
  <c r="AE87" i="3"/>
  <c r="AD87" i="3"/>
  <c r="AC87" i="3"/>
  <c r="AB87" i="3"/>
  <c r="AA87" i="3"/>
  <c r="Z87" i="3"/>
  <c r="AG86" i="3"/>
  <c r="AF86" i="3"/>
  <c r="AE86" i="3"/>
  <c r="AD86" i="3"/>
  <c r="AC86" i="3"/>
  <c r="AB86" i="3"/>
  <c r="AA86" i="3"/>
  <c r="Z86" i="3"/>
  <c r="AG85" i="3"/>
  <c r="AF85" i="3"/>
  <c r="AE85" i="3"/>
  <c r="AD85" i="3"/>
  <c r="AC85" i="3"/>
  <c r="AB85" i="3"/>
  <c r="AA85" i="3"/>
  <c r="Z85" i="3"/>
  <c r="AG84" i="3"/>
  <c r="AF84" i="3"/>
  <c r="AE84" i="3"/>
  <c r="AD84" i="3"/>
  <c r="AC84" i="3"/>
  <c r="AB84" i="3"/>
  <c r="AA84" i="3"/>
  <c r="Z84" i="3"/>
  <c r="AG83" i="3"/>
  <c r="AF83" i="3"/>
  <c r="AE83" i="3"/>
  <c r="AD83" i="3"/>
  <c r="AC83" i="3"/>
  <c r="AB83" i="3"/>
  <c r="AA83" i="3"/>
  <c r="Z83" i="3"/>
  <c r="AG82" i="3"/>
  <c r="AF82" i="3"/>
  <c r="AE82" i="3"/>
  <c r="AD82" i="3"/>
  <c r="AC82" i="3"/>
  <c r="AB82" i="3"/>
  <c r="AA82" i="3"/>
  <c r="Z82" i="3"/>
  <c r="AG81" i="3"/>
  <c r="AF81" i="3"/>
  <c r="AE81" i="3"/>
  <c r="AD81" i="3"/>
  <c r="AC81" i="3"/>
  <c r="AB81" i="3"/>
  <c r="AA81" i="3"/>
  <c r="Z81" i="3"/>
  <c r="AG80" i="3"/>
  <c r="AF80" i="3"/>
  <c r="AE80" i="3"/>
  <c r="AD80" i="3"/>
  <c r="AC80" i="3"/>
  <c r="AB80" i="3"/>
  <c r="AA80" i="3"/>
  <c r="Z80" i="3"/>
  <c r="AG79" i="3"/>
  <c r="AF79" i="3"/>
  <c r="AE79" i="3"/>
  <c r="AD79" i="3"/>
  <c r="AC79" i="3"/>
  <c r="AB79" i="3"/>
  <c r="AA79" i="3"/>
  <c r="Z79" i="3"/>
  <c r="AG78" i="3"/>
  <c r="AF78" i="3"/>
  <c r="AE78" i="3"/>
  <c r="AD78" i="3"/>
  <c r="AC78" i="3"/>
  <c r="AB78" i="3"/>
  <c r="AA78" i="3"/>
  <c r="Z78" i="3"/>
  <c r="AG77" i="3"/>
  <c r="AF77" i="3"/>
  <c r="AE77" i="3"/>
  <c r="AD77" i="3"/>
  <c r="AC77" i="3"/>
  <c r="AB77" i="3"/>
  <c r="AA77" i="3"/>
  <c r="Z77" i="3"/>
  <c r="AG76" i="3"/>
  <c r="AF76" i="3"/>
  <c r="AE76" i="3"/>
  <c r="AD76" i="3"/>
  <c r="AC76" i="3"/>
  <c r="AB76" i="3"/>
  <c r="AA76" i="3"/>
  <c r="Z76" i="3"/>
  <c r="AG75" i="3"/>
  <c r="AF75" i="3"/>
  <c r="AE75" i="3"/>
  <c r="AD75" i="3"/>
  <c r="AC75" i="3"/>
  <c r="AB75" i="3"/>
  <c r="AA75" i="3"/>
  <c r="Z75" i="3"/>
  <c r="AG74" i="3"/>
  <c r="AF74" i="3"/>
  <c r="AE74" i="3"/>
  <c r="AD74" i="3"/>
  <c r="AC74" i="3"/>
  <c r="AB74" i="3"/>
  <c r="AA74" i="3"/>
  <c r="Z74" i="3"/>
  <c r="AG73" i="3"/>
  <c r="AF73" i="3"/>
  <c r="AE73" i="3"/>
  <c r="AD73" i="3"/>
  <c r="AC73" i="3"/>
  <c r="AB73" i="3"/>
  <c r="AA73" i="3"/>
  <c r="Z73" i="3"/>
  <c r="AG72" i="3"/>
  <c r="AF72" i="3"/>
  <c r="AE72" i="3"/>
  <c r="AD72" i="3"/>
  <c r="AC72" i="3"/>
  <c r="AB72" i="3"/>
  <c r="AA72" i="3"/>
  <c r="Z72" i="3"/>
  <c r="AG71" i="3"/>
  <c r="AF71" i="3"/>
  <c r="AE71" i="3"/>
  <c r="AD71" i="3"/>
  <c r="AC71" i="3"/>
  <c r="AB71" i="3"/>
  <c r="AA71" i="3"/>
  <c r="Z71" i="3"/>
  <c r="AG70" i="3"/>
  <c r="AF70" i="3"/>
  <c r="AE70" i="3"/>
  <c r="AD70" i="3"/>
  <c r="AC70" i="3"/>
  <c r="AB70" i="3"/>
  <c r="AA70" i="3"/>
  <c r="Z70" i="3"/>
  <c r="AG69" i="3"/>
  <c r="AF69" i="3"/>
  <c r="AE69" i="3"/>
  <c r="AD69" i="3"/>
  <c r="AC69" i="3"/>
  <c r="AB69" i="3"/>
  <c r="AA69" i="3"/>
  <c r="Z69" i="3"/>
  <c r="AG68" i="3"/>
  <c r="AF68" i="3"/>
  <c r="AE68" i="3"/>
  <c r="AD68" i="3"/>
  <c r="AC68" i="3"/>
  <c r="AB68" i="3"/>
  <c r="AA68" i="3"/>
  <c r="Z68" i="3"/>
  <c r="AG67" i="3"/>
  <c r="AF67" i="3"/>
  <c r="AE67" i="3"/>
  <c r="AD67" i="3"/>
  <c r="AC67" i="3"/>
  <c r="AB67" i="3"/>
  <c r="AA67" i="3"/>
  <c r="Z67" i="3"/>
  <c r="AG66" i="3"/>
  <c r="AF66" i="3"/>
  <c r="AE66" i="3"/>
  <c r="AD66" i="3"/>
  <c r="AC66" i="3"/>
  <c r="AB66" i="3"/>
  <c r="AA66" i="3"/>
  <c r="Z66" i="3"/>
  <c r="AG65" i="3"/>
  <c r="AF65" i="3"/>
  <c r="AE65" i="3"/>
  <c r="AD65" i="3"/>
  <c r="AC65" i="3"/>
  <c r="AB65" i="3"/>
  <c r="AA65" i="3"/>
  <c r="Z65" i="3"/>
  <c r="AG64" i="3"/>
  <c r="AF64" i="3"/>
  <c r="AE64" i="3"/>
  <c r="AD64" i="3"/>
  <c r="AC64" i="3"/>
  <c r="AB64" i="3"/>
  <c r="AA64" i="3"/>
  <c r="Z64" i="3"/>
  <c r="AG63" i="3"/>
  <c r="AF63" i="3"/>
  <c r="AE63" i="3"/>
  <c r="AD63" i="3"/>
  <c r="AC63" i="3"/>
  <c r="AB63" i="3"/>
  <c r="AA63" i="3"/>
  <c r="Z63" i="3"/>
  <c r="AG62" i="3"/>
  <c r="AF62" i="3"/>
  <c r="AE62" i="3"/>
  <c r="AD62" i="3"/>
  <c r="AC62" i="3"/>
  <c r="AB62" i="3"/>
  <c r="AA62" i="3"/>
  <c r="Z62" i="3"/>
  <c r="AG61" i="3"/>
  <c r="AF61" i="3"/>
  <c r="AE61" i="3"/>
  <c r="AD61" i="3"/>
  <c r="AC61" i="3"/>
  <c r="AB61" i="3"/>
  <c r="AA61" i="3"/>
  <c r="Z61" i="3"/>
  <c r="AG60" i="3"/>
  <c r="AF60" i="3"/>
  <c r="AE60" i="3"/>
  <c r="AD60" i="3"/>
  <c r="AC60" i="3"/>
  <c r="AB60" i="3"/>
  <c r="AA60" i="3"/>
  <c r="Z60" i="3"/>
  <c r="AG59" i="3"/>
  <c r="AF59" i="3"/>
  <c r="AE59" i="3"/>
  <c r="AD59" i="3"/>
  <c r="AC59" i="3"/>
  <c r="AB59" i="3"/>
  <c r="AA59" i="3"/>
  <c r="Z59" i="3"/>
  <c r="AG58" i="3"/>
  <c r="AF58" i="3"/>
  <c r="AE58" i="3"/>
  <c r="AD58" i="3"/>
  <c r="AC58" i="3"/>
  <c r="AB58" i="3"/>
  <c r="AA58" i="3"/>
  <c r="Z58" i="3"/>
  <c r="AG57" i="3"/>
  <c r="AF57" i="3"/>
  <c r="AE57" i="3"/>
  <c r="AD57" i="3"/>
  <c r="AC57" i="3"/>
  <c r="AB57" i="3"/>
  <c r="AA57" i="3"/>
  <c r="Z57" i="3"/>
  <c r="AG56" i="3"/>
  <c r="AF56" i="3"/>
  <c r="AE56" i="3"/>
  <c r="AD56" i="3"/>
  <c r="AC56" i="3"/>
  <c r="AB56" i="3"/>
  <c r="AA56" i="3"/>
  <c r="Z56" i="3"/>
  <c r="AG55" i="3"/>
  <c r="AF55" i="3"/>
  <c r="AE55" i="3"/>
  <c r="AD55" i="3"/>
  <c r="AC55" i="3"/>
  <c r="AB55" i="3"/>
  <c r="AA55" i="3"/>
  <c r="Z55" i="3"/>
  <c r="AG54" i="3"/>
  <c r="AF54" i="3"/>
  <c r="AE54" i="3"/>
  <c r="AD54" i="3"/>
  <c r="AC54" i="3"/>
  <c r="AB54" i="3"/>
  <c r="AA54" i="3"/>
  <c r="Z54" i="3"/>
  <c r="AG53" i="3"/>
  <c r="AF53" i="3"/>
  <c r="AE53" i="3"/>
  <c r="AD53" i="3"/>
  <c r="AC53" i="3"/>
  <c r="AB53" i="3"/>
  <c r="AA53" i="3"/>
  <c r="Z53" i="3"/>
  <c r="AG52" i="3"/>
  <c r="AF52" i="3"/>
  <c r="AE52" i="3"/>
  <c r="AD52" i="3"/>
  <c r="AC52" i="3"/>
  <c r="AB52" i="3"/>
  <c r="AA52" i="3"/>
  <c r="Z52" i="3"/>
  <c r="AG51" i="3"/>
  <c r="AF51" i="3"/>
  <c r="AE51" i="3"/>
  <c r="AD51" i="3"/>
  <c r="AC51" i="3"/>
  <c r="AB51" i="3"/>
  <c r="AA51" i="3"/>
  <c r="Z51" i="3"/>
  <c r="AG50" i="3"/>
  <c r="AF50" i="3"/>
  <c r="AE50" i="3"/>
  <c r="AD50" i="3"/>
  <c r="AC50" i="3"/>
  <c r="AB50" i="3"/>
  <c r="AA50" i="3"/>
  <c r="Z50" i="3"/>
  <c r="AG49" i="3"/>
  <c r="AF49" i="3"/>
  <c r="AE49" i="3"/>
  <c r="AD49" i="3"/>
  <c r="AC49" i="3"/>
  <c r="AB49" i="3"/>
  <c r="AA49" i="3"/>
  <c r="Z49" i="3"/>
  <c r="AG48" i="3"/>
  <c r="AF48" i="3"/>
  <c r="AE48" i="3"/>
  <c r="AD48" i="3"/>
  <c r="AC48" i="3"/>
  <c r="AB48" i="3"/>
  <c r="AA48" i="3"/>
  <c r="Z48" i="3"/>
  <c r="AG47" i="3"/>
  <c r="AF47" i="3"/>
  <c r="AE47" i="3"/>
  <c r="AD47" i="3"/>
  <c r="AC47" i="3"/>
  <c r="AB47" i="3"/>
  <c r="AA47" i="3"/>
  <c r="Z47" i="3"/>
  <c r="AG46" i="3"/>
  <c r="AF46" i="3"/>
  <c r="AE46" i="3"/>
  <c r="AD46" i="3"/>
  <c r="AC46" i="3"/>
  <c r="AB46" i="3"/>
  <c r="AA46" i="3"/>
  <c r="Z46" i="3"/>
  <c r="AG45" i="3"/>
  <c r="AF45" i="3"/>
  <c r="AE45" i="3"/>
  <c r="AD45" i="3"/>
  <c r="AC45" i="3"/>
  <c r="AB45" i="3"/>
  <c r="AA45" i="3"/>
  <c r="Z45" i="3"/>
  <c r="AG44" i="3"/>
  <c r="AF44" i="3"/>
  <c r="AE44" i="3"/>
  <c r="AD44" i="3"/>
  <c r="AC44" i="3"/>
  <c r="AB44" i="3"/>
  <c r="AA44" i="3"/>
  <c r="Z44" i="3"/>
  <c r="AG43" i="3"/>
  <c r="AF43" i="3"/>
  <c r="AE43" i="3"/>
  <c r="AD43" i="3"/>
  <c r="AC43" i="3"/>
  <c r="AB43" i="3"/>
  <c r="AA43" i="3"/>
  <c r="Z43" i="3"/>
  <c r="AG42" i="3"/>
  <c r="AF42" i="3"/>
  <c r="AE42" i="3"/>
  <c r="AD42" i="3"/>
  <c r="AC42" i="3"/>
  <c r="AB42" i="3"/>
  <c r="AA42" i="3"/>
  <c r="Z42" i="3"/>
  <c r="AG41" i="3"/>
  <c r="AF41" i="3"/>
  <c r="AE41" i="3"/>
  <c r="AD41" i="3"/>
  <c r="AC41" i="3"/>
  <c r="AB41" i="3"/>
  <c r="AA41" i="3"/>
  <c r="Z41" i="3"/>
  <c r="AG40" i="3"/>
  <c r="AF40" i="3"/>
  <c r="AE40" i="3"/>
  <c r="AD40" i="3"/>
  <c r="AC40" i="3"/>
  <c r="AB40" i="3"/>
  <c r="AA40" i="3"/>
  <c r="Z40" i="3"/>
  <c r="AG39" i="3"/>
  <c r="AF39" i="3"/>
  <c r="AE39" i="3"/>
  <c r="AD39" i="3"/>
  <c r="AC39" i="3"/>
  <c r="AB39" i="3"/>
  <c r="AA39" i="3"/>
  <c r="Z39" i="3"/>
  <c r="AG38" i="3"/>
  <c r="AF38" i="3"/>
  <c r="AE38" i="3"/>
  <c r="AD38" i="3"/>
  <c r="AC38" i="3"/>
  <c r="AB38" i="3"/>
  <c r="AA38" i="3"/>
  <c r="Z38" i="3"/>
  <c r="AG37" i="3"/>
  <c r="AF37" i="3"/>
  <c r="AE37" i="3"/>
  <c r="AD37" i="3"/>
  <c r="AC37" i="3"/>
  <c r="AB37" i="3"/>
  <c r="AA37" i="3"/>
  <c r="Z37" i="3"/>
  <c r="AG36" i="3"/>
  <c r="AF36" i="3"/>
  <c r="AE36" i="3"/>
  <c r="AD36" i="3"/>
  <c r="AC36" i="3"/>
  <c r="AB36" i="3"/>
  <c r="AA36" i="3"/>
  <c r="Z36" i="3"/>
  <c r="AG35" i="3"/>
  <c r="AF35" i="3"/>
  <c r="AE35" i="3"/>
  <c r="AD35" i="3"/>
  <c r="AC35" i="3"/>
  <c r="AB35" i="3"/>
  <c r="AA35" i="3"/>
  <c r="Z35" i="3"/>
  <c r="AG34" i="3"/>
  <c r="AF34" i="3"/>
  <c r="AE34" i="3"/>
  <c r="AD34" i="3"/>
  <c r="AC34" i="3"/>
  <c r="AB34" i="3"/>
  <c r="AA34" i="3"/>
  <c r="Z34" i="3"/>
  <c r="AG33" i="3"/>
  <c r="AF33" i="3"/>
  <c r="AE33" i="3"/>
  <c r="AD33" i="3"/>
  <c r="AC33" i="3"/>
  <c r="AB33" i="3"/>
  <c r="AA33" i="3"/>
  <c r="Z33" i="3"/>
  <c r="AG32" i="3"/>
  <c r="AF32" i="3"/>
  <c r="AE32" i="3"/>
  <c r="AD32" i="3"/>
  <c r="AC32" i="3"/>
  <c r="AB32" i="3"/>
  <c r="AA32" i="3"/>
  <c r="Z32" i="3"/>
  <c r="AG31" i="3"/>
  <c r="AF31" i="3"/>
  <c r="AE31" i="3"/>
  <c r="AD31" i="3"/>
  <c r="AC31" i="3"/>
  <c r="AB31" i="3"/>
  <c r="AA31" i="3"/>
  <c r="Z31" i="3"/>
  <c r="AG30" i="3"/>
  <c r="AF30" i="3"/>
  <c r="AE30" i="3"/>
  <c r="AD30" i="3"/>
  <c r="AC30" i="3"/>
  <c r="AB30" i="3"/>
  <c r="AA30" i="3"/>
  <c r="Z30" i="3"/>
  <c r="AG29" i="3"/>
  <c r="AF29" i="3"/>
  <c r="AE29" i="3"/>
  <c r="AD29" i="3"/>
  <c r="AC29" i="3"/>
  <c r="AB29" i="3"/>
  <c r="AA29" i="3"/>
  <c r="Z29" i="3"/>
  <c r="AG28" i="3"/>
  <c r="AF28" i="3"/>
  <c r="AE28" i="3"/>
  <c r="AD28" i="3"/>
  <c r="AC28" i="3"/>
  <c r="AB28" i="3"/>
  <c r="AA28" i="3"/>
  <c r="Z28" i="3"/>
  <c r="AG27" i="3"/>
  <c r="AF27" i="3"/>
  <c r="AE27" i="3"/>
  <c r="AD27" i="3"/>
  <c r="AC27" i="3"/>
  <c r="AB27" i="3"/>
  <c r="AA27" i="3"/>
  <c r="Z27" i="3"/>
  <c r="AG26" i="3"/>
  <c r="AF26" i="3"/>
  <c r="AE26" i="3"/>
  <c r="AD26" i="3"/>
  <c r="AC26" i="3"/>
  <c r="AB26" i="3"/>
  <c r="AA26" i="3"/>
  <c r="Z26" i="3"/>
  <c r="AG25" i="3"/>
  <c r="AF25" i="3"/>
  <c r="AE25" i="3"/>
  <c r="AD25" i="3"/>
  <c r="AC25" i="3"/>
  <c r="AB25" i="3"/>
  <c r="AA25" i="3"/>
  <c r="Z25" i="3"/>
  <c r="AG24" i="3"/>
  <c r="AF24" i="3"/>
  <c r="AE24" i="3"/>
  <c r="AD24" i="3"/>
  <c r="AC24" i="3"/>
  <c r="AB24" i="3"/>
  <c r="AA24" i="3"/>
  <c r="Z24" i="3"/>
  <c r="AG23" i="3"/>
  <c r="AF23" i="3"/>
  <c r="AE23" i="3"/>
  <c r="AD23" i="3"/>
  <c r="AC23" i="3"/>
  <c r="AB23" i="3"/>
  <c r="AA23" i="3"/>
  <c r="Z23" i="3"/>
  <c r="AG22" i="3"/>
  <c r="AF22" i="3"/>
  <c r="AE22" i="3"/>
  <c r="AD22" i="3"/>
  <c r="AC22" i="3"/>
  <c r="AB22" i="3"/>
  <c r="AA22" i="3"/>
  <c r="Z22" i="3"/>
  <c r="AG21" i="3"/>
  <c r="AF21" i="3"/>
  <c r="AE21" i="3"/>
  <c r="AD21" i="3"/>
  <c r="AC21" i="3"/>
  <c r="AB21" i="3"/>
  <c r="AA21" i="3"/>
  <c r="Z21" i="3"/>
  <c r="AG20" i="3"/>
  <c r="AF20" i="3"/>
  <c r="AE20" i="3"/>
  <c r="AD20" i="3"/>
  <c r="AC20" i="3"/>
  <c r="AB20" i="3"/>
  <c r="AA20" i="3"/>
  <c r="Z20" i="3"/>
  <c r="AG19" i="3"/>
  <c r="AF19" i="3"/>
  <c r="AE19" i="3"/>
  <c r="AD19" i="3"/>
  <c r="AC19" i="3"/>
  <c r="AB19" i="3"/>
  <c r="AA19" i="3"/>
  <c r="Z19" i="3"/>
  <c r="AG18" i="3"/>
  <c r="AF18" i="3"/>
  <c r="AE18" i="3"/>
  <c r="AD18" i="3"/>
  <c r="AC18" i="3"/>
  <c r="AB18" i="3"/>
  <c r="AA18" i="3"/>
  <c r="Z18" i="3"/>
  <c r="AG17" i="3"/>
  <c r="AF17" i="3"/>
  <c r="AE17" i="3"/>
  <c r="AD17" i="3"/>
  <c r="AC17" i="3"/>
  <c r="AB17" i="3"/>
  <c r="AA17" i="3"/>
  <c r="Z17" i="3"/>
  <c r="AG16" i="3"/>
  <c r="AF16" i="3"/>
  <c r="AE16" i="3"/>
  <c r="AD16" i="3"/>
  <c r="AC16" i="3"/>
  <c r="AB16" i="3"/>
  <c r="AA16" i="3"/>
  <c r="Z16" i="3"/>
  <c r="AG15" i="3"/>
  <c r="AF15" i="3"/>
  <c r="AE15" i="3"/>
  <c r="AD15" i="3"/>
  <c r="AC15" i="3"/>
  <c r="AB15" i="3"/>
  <c r="AA15" i="3"/>
  <c r="Z15" i="3"/>
  <c r="AG14" i="3"/>
  <c r="AF14" i="3"/>
  <c r="AE14" i="3"/>
  <c r="AD14" i="3"/>
  <c r="AC14" i="3"/>
  <c r="AB14" i="3"/>
  <c r="AA14" i="3"/>
  <c r="Z14" i="3"/>
  <c r="AG13" i="3"/>
  <c r="AF13" i="3"/>
  <c r="AE13" i="3"/>
  <c r="AD13" i="3"/>
  <c r="AC13" i="3"/>
  <c r="AB13" i="3"/>
  <c r="AA13" i="3"/>
  <c r="Z13" i="3"/>
  <c r="AG12" i="3"/>
  <c r="AF12" i="3"/>
  <c r="AE12" i="3"/>
  <c r="AD12" i="3"/>
  <c r="AC12" i="3"/>
  <c r="AB12" i="3"/>
  <c r="AA12" i="3"/>
  <c r="Z12" i="3"/>
  <c r="AG11" i="3"/>
  <c r="AF11" i="3"/>
  <c r="AE11" i="3"/>
  <c r="AD11" i="3"/>
  <c r="AC11" i="3"/>
  <c r="AB11" i="3"/>
  <c r="AA11" i="3"/>
  <c r="Z11" i="3"/>
  <c r="AG10" i="3"/>
  <c r="AF10" i="3"/>
  <c r="AE10" i="3"/>
  <c r="AD10" i="3"/>
  <c r="AC10" i="3"/>
  <c r="AB10" i="3"/>
  <c r="AA10" i="3"/>
  <c r="Z10" i="3"/>
  <c r="AG9" i="3"/>
  <c r="AF9" i="3"/>
  <c r="AE9" i="3"/>
  <c r="AD9" i="3"/>
  <c r="AC9" i="3"/>
  <c r="AB9" i="3"/>
  <c r="AA9" i="3"/>
  <c r="Z9" i="3"/>
  <c r="AG8" i="3"/>
  <c r="AF8" i="3"/>
  <c r="AE8" i="3"/>
  <c r="AD8" i="3"/>
  <c r="AC8" i="3"/>
  <c r="AB8" i="3"/>
  <c r="AA8" i="3"/>
  <c r="Z8" i="3"/>
  <c r="AG7" i="3"/>
  <c r="AF7" i="3"/>
  <c r="AE7" i="3"/>
  <c r="AD7" i="3"/>
  <c r="AC7" i="3"/>
  <c r="AB7" i="3"/>
  <c r="AA7" i="3"/>
  <c r="Z7" i="3"/>
  <c r="AG6" i="3"/>
  <c r="AF6" i="3"/>
  <c r="AE6" i="3"/>
  <c r="AD6" i="3"/>
  <c r="AC6" i="3"/>
  <c r="AB6" i="3"/>
  <c r="AA6" i="3"/>
  <c r="Z6" i="3"/>
  <c r="AG5" i="3"/>
  <c r="AF5" i="3"/>
  <c r="AE5" i="3"/>
  <c r="AD5" i="3"/>
  <c r="AC5" i="3"/>
  <c r="AB5" i="3"/>
  <c r="AA5" i="3"/>
  <c r="Z5" i="3"/>
  <c r="AG4" i="3"/>
  <c r="AF4" i="3"/>
  <c r="AE4" i="3"/>
  <c r="AD4" i="3"/>
  <c r="AC4" i="3"/>
  <c r="AB4" i="3"/>
  <c r="AA4" i="3"/>
  <c r="Z4" i="3"/>
  <c r="AG3" i="3"/>
  <c r="AF3" i="3"/>
  <c r="AE3" i="3"/>
  <c r="AD3" i="3"/>
  <c r="AC3" i="3"/>
  <c r="AB3" i="3"/>
  <c r="AA3" i="3"/>
  <c r="Z3" i="3"/>
  <c r="AG2" i="3"/>
  <c r="AF2" i="3"/>
  <c r="AD2" i="3"/>
  <c r="AE2" i="3"/>
  <c r="AC2" i="3"/>
  <c r="AB2" i="3"/>
  <c r="AA2" i="3"/>
  <c r="Z2" i="3"/>
  <c r="W2107" i="3"/>
  <c r="V2107" i="3"/>
  <c r="W2106" i="3"/>
  <c r="V2106" i="3"/>
  <c r="W2105" i="3"/>
  <c r="V2105" i="3"/>
  <c r="W2104" i="3"/>
  <c r="V2104" i="3"/>
  <c r="W2103" i="3"/>
  <c r="V2103" i="3"/>
  <c r="W2102" i="3"/>
  <c r="V2102" i="3"/>
  <c r="W2101" i="3"/>
  <c r="V2101" i="3"/>
  <c r="W2100" i="3"/>
  <c r="V2100" i="3"/>
  <c r="W2099" i="3"/>
  <c r="V2099" i="3"/>
  <c r="W2098" i="3"/>
  <c r="V2098" i="3"/>
  <c r="W2097" i="3"/>
  <c r="V2097" i="3"/>
  <c r="W2096" i="3"/>
  <c r="V2096" i="3"/>
  <c r="W2095" i="3"/>
  <c r="V2095" i="3"/>
  <c r="W2094" i="3"/>
  <c r="V2094" i="3"/>
  <c r="W2093" i="3"/>
  <c r="V2093" i="3"/>
  <c r="W2092" i="3"/>
  <c r="V2092" i="3"/>
  <c r="W2091" i="3"/>
  <c r="V2091" i="3"/>
  <c r="W2090" i="3"/>
  <c r="V2090" i="3"/>
  <c r="W2089" i="3"/>
  <c r="V2089" i="3"/>
  <c r="W2088" i="3"/>
  <c r="V2088" i="3"/>
  <c r="W2087" i="3"/>
  <c r="V2087" i="3"/>
  <c r="W2086" i="3"/>
  <c r="V2086" i="3"/>
  <c r="W2085" i="3"/>
  <c r="V2085" i="3"/>
  <c r="W2084" i="3"/>
  <c r="V2084" i="3"/>
  <c r="W2083" i="3"/>
  <c r="V2083" i="3"/>
  <c r="W2082" i="3"/>
  <c r="V2082" i="3"/>
  <c r="W2081" i="3"/>
  <c r="V2081" i="3"/>
  <c r="W2080" i="3"/>
  <c r="V2080" i="3"/>
  <c r="W2079" i="3"/>
  <c r="V2079" i="3"/>
  <c r="W2078" i="3"/>
  <c r="V2078" i="3"/>
  <c r="W2077" i="3"/>
  <c r="V2077" i="3"/>
  <c r="W2076" i="3"/>
  <c r="V2076" i="3"/>
  <c r="W2075" i="3"/>
  <c r="V2075" i="3"/>
  <c r="W2074" i="3"/>
  <c r="V2074" i="3"/>
  <c r="W2073" i="3"/>
  <c r="V2073" i="3"/>
  <c r="W2072" i="3"/>
  <c r="V2072" i="3"/>
  <c r="W2071" i="3"/>
  <c r="V2071" i="3"/>
  <c r="W2070" i="3"/>
  <c r="V2070" i="3"/>
  <c r="W2069" i="3"/>
  <c r="V2069" i="3"/>
  <c r="W2068" i="3"/>
  <c r="V2068" i="3"/>
  <c r="W2067" i="3"/>
  <c r="V2067" i="3"/>
  <c r="W2066" i="3"/>
  <c r="V2066" i="3"/>
  <c r="W2065" i="3"/>
  <c r="V2065" i="3"/>
  <c r="W2064" i="3"/>
  <c r="V2064" i="3"/>
  <c r="W2063" i="3"/>
  <c r="V2063" i="3"/>
  <c r="W2062" i="3"/>
  <c r="V2062" i="3"/>
  <c r="W2061" i="3"/>
  <c r="V2061" i="3"/>
  <c r="W2060" i="3"/>
  <c r="V2060" i="3"/>
  <c r="W2059" i="3"/>
  <c r="V2059" i="3"/>
  <c r="W2058" i="3"/>
  <c r="V2058" i="3"/>
  <c r="W2057" i="3"/>
  <c r="V2057" i="3"/>
  <c r="W2056" i="3"/>
  <c r="V2056" i="3"/>
  <c r="W2055" i="3"/>
  <c r="V2055" i="3"/>
  <c r="W2054" i="3"/>
  <c r="V2054" i="3"/>
  <c r="W2053" i="3"/>
  <c r="V2053" i="3"/>
  <c r="W2052" i="3"/>
  <c r="V2052" i="3"/>
  <c r="W2051" i="3"/>
  <c r="V2051" i="3"/>
  <c r="W2050" i="3"/>
  <c r="V2050" i="3"/>
  <c r="W2049" i="3"/>
  <c r="V2049" i="3"/>
  <c r="W2048" i="3"/>
  <c r="V2048" i="3"/>
  <c r="W2047" i="3"/>
  <c r="V2047" i="3"/>
  <c r="W2046" i="3"/>
  <c r="V2046" i="3"/>
  <c r="W2045" i="3"/>
  <c r="V2045" i="3"/>
  <c r="W2044" i="3"/>
  <c r="V2044" i="3"/>
  <c r="W2043" i="3"/>
  <c r="V2043" i="3"/>
  <c r="W2042" i="3"/>
  <c r="V2042" i="3"/>
  <c r="W2041" i="3"/>
  <c r="V2041" i="3"/>
  <c r="W2040" i="3"/>
  <c r="V2040" i="3"/>
  <c r="W2039" i="3"/>
  <c r="V2039" i="3"/>
  <c r="W2038" i="3"/>
  <c r="V2038" i="3"/>
  <c r="W2037" i="3"/>
  <c r="V2037" i="3"/>
  <c r="W2036" i="3"/>
  <c r="V2036" i="3"/>
  <c r="W2035" i="3"/>
  <c r="V2035" i="3"/>
  <c r="W2034" i="3"/>
  <c r="V2034" i="3"/>
  <c r="W2033" i="3"/>
  <c r="V2033" i="3"/>
  <c r="W2032" i="3"/>
  <c r="V2032" i="3"/>
  <c r="W2031" i="3"/>
  <c r="V2031" i="3"/>
  <c r="W2030" i="3"/>
  <c r="V2030" i="3"/>
  <c r="W2029" i="3"/>
  <c r="V2029" i="3"/>
  <c r="W2028" i="3"/>
  <c r="V2028" i="3"/>
  <c r="W2027" i="3"/>
  <c r="V2027" i="3"/>
  <c r="W2026" i="3"/>
  <c r="V2026" i="3"/>
  <c r="W2025" i="3"/>
  <c r="V2025" i="3"/>
  <c r="W2024" i="3"/>
  <c r="V2024" i="3"/>
  <c r="W2023" i="3"/>
  <c r="V2023" i="3"/>
  <c r="W2022" i="3"/>
  <c r="V2022" i="3"/>
  <c r="W2021" i="3"/>
  <c r="V2021" i="3"/>
  <c r="W2020" i="3"/>
  <c r="V2020" i="3"/>
  <c r="W2019" i="3"/>
  <c r="V2019" i="3"/>
  <c r="W2018" i="3"/>
  <c r="V2018" i="3"/>
  <c r="W2017" i="3"/>
  <c r="V2017" i="3"/>
  <c r="W2016" i="3"/>
  <c r="V2016" i="3"/>
  <c r="W2015" i="3"/>
  <c r="V2015" i="3"/>
  <c r="W2014" i="3"/>
  <c r="V2014" i="3"/>
  <c r="W2013" i="3"/>
  <c r="V2013" i="3"/>
  <c r="W2012" i="3"/>
  <c r="V2012" i="3"/>
  <c r="W2011" i="3"/>
  <c r="V2011" i="3"/>
  <c r="W2010" i="3"/>
  <c r="V2010" i="3"/>
  <c r="W2009" i="3"/>
  <c r="V2009" i="3"/>
  <c r="W2008" i="3"/>
  <c r="V2008" i="3"/>
  <c r="W2007" i="3"/>
  <c r="V2007" i="3"/>
  <c r="W2006" i="3"/>
  <c r="V2006" i="3"/>
  <c r="W2005" i="3"/>
  <c r="V2005" i="3"/>
  <c r="W2004" i="3"/>
  <c r="V2004" i="3"/>
  <c r="W2003" i="3"/>
  <c r="V2003" i="3"/>
  <c r="W2002" i="3"/>
  <c r="V2002" i="3"/>
  <c r="W2001" i="3"/>
  <c r="V2001" i="3"/>
  <c r="W2000" i="3"/>
  <c r="V2000" i="3"/>
  <c r="W1999" i="3"/>
  <c r="V1999" i="3"/>
  <c r="W1998" i="3"/>
  <c r="V1998" i="3"/>
  <c r="W1997" i="3"/>
  <c r="V1997" i="3"/>
  <c r="W1996" i="3"/>
  <c r="V1996" i="3"/>
  <c r="W1995" i="3"/>
  <c r="V1995" i="3"/>
  <c r="W1994" i="3"/>
  <c r="V1994" i="3"/>
  <c r="W1993" i="3"/>
  <c r="V1993" i="3"/>
  <c r="W1992" i="3"/>
  <c r="V1992" i="3"/>
  <c r="W1991" i="3"/>
  <c r="V1991" i="3"/>
  <c r="W1990" i="3"/>
  <c r="V1990" i="3"/>
  <c r="W1989" i="3"/>
  <c r="V1989" i="3"/>
  <c r="W1988" i="3"/>
  <c r="V1988" i="3"/>
  <c r="W1987" i="3"/>
  <c r="V1987" i="3"/>
  <c r="W1986" i="3"/>
  <c r="V1986" i="3"/>
  <c r="W1985" i="3"/>
  <c r="V1985" i="3"/>
  <c r="W1984" i="3"/>
  <c r="V1984" i="3"/>
  <c r="W1983" i="3"/>
  <c r="V1983" i="3"/>
  <c r="W1982" i="3"/>
  <c r="V1982" i="3"/>
  <c r="W1981" i="3"/>
  <c r="V1981" i="3"/>
  <c r="W1980" i="3"/>
  <c r="V1980" i="3"/>
  <c r="W1979" i="3"/>
  <c r="V1979" i="3"/>
  <c r="W1978" i="3"/>
  <c r="V1978" i="3"/>
  <c r="W1977" i="3"/>
  <c r="V1977" i="3"/>
  <c r="W1976" i="3"/>
  <c r="V1976" i="3"/>
  <c r="W1975" i="3"/>
  <c r="V1975" i="3"/>
  <c r="W1974" i="3"/>
  <c r="V1974" i="3"/>
  <c r="W1973" i="3"/>
  <c r="V1973" i="3"/>
  <c r="W1972" i="3"/>
  <c r="V1972" i="3"/>
  <c r="W1971" i="3"/>
  <c r="V1971" i="3"/>
  <c r="W1970" i="3"/>
  <c r="V1970" i="3"/>
  <c r="W1969" i="3"/>
  <c r="V1969" i="3"/>
  <c r="W1968" i="3"/>
  <c r="V1968" i="3"/>
  <c r="W1967" i="3"/>
  <c r="V1967" i="3"/>
  <c r="W1966" i="3"/>
  <c r="V1966" i="3"/>
  <c r="W1965" i="3"/>
  <c r="V1965" i="3"/>
  <c r="W1964" i="3"/>
  <c r="V1964" i="3"/>
  <c r="W1963" i="3"/>
  <c r="V1963" i="3"/>
  <c r="W1962" i="3"/>
  <c r="V1962" i="3"/>
  <c r="W1961" i="3"/>
  <c r="V1961" i="3"/>
  <c r="W1960" i="3"/>
  <c r="V1960" i="3"/>
  <c r="W1959" i="3"/>
  <c r="V1959" i="3"/>
  <c r="W1958" i="3"/>
  <c r="V1958" i="3"/>
  <c r="W1957" i="3"/>
  <c r="V1957" i="3"/>
  <c r="W1956" i="3"/>
  <c r="V1956" i="3"/>
  <c r="W1955" i="3"/>
  <c r="V1955" i="3"/>
  <c r="W1954" i="3"/>
  <c r="V1954" i="3"/>
  <c r="W1953" i="3"/>
  <c r="V1953" i="3"/>
  <c r="W1952" i="3"/>
  <c r="V1952" i="3"/>
  <c r="W1951" i="3"/>
  <c r="V1951" i="3"/>
  <c r="W1950" i="3"/>
  <c r="V1950" i="3"/>
  <c r="W1949" i="3"/>
  <c r="V1949" i="3"/>
  <c r="W1948" i="3"/>
  <c r="V1948" i="3"/>
  <c r="W1947" i="3"/>
  <c r="V1947" i="3"/>
  <c r="W1946" i="3"/>
  <c r="V1946" i="3"/>
  <c r="W1945" i="3"/>
  <c r="V1945" i="3"/>
  <c r="W1944" i="3"/>
  <c r="V1944" i="3"/>
  <c r="W1943" i="3"/>
  <c r="V1943" i="3"/>
  <c r="W1942" i="3"/>
  <c r="V1942" i="3"/>
  <c r="W1941" i="3"/>
  <c r="V1941" i="3"/>
  <c r="W1940" i="3"/>
  <c r="V1940" i="3"/>
  <c r="W1939" i="3"/>
  <c r="V1939" i="3"/>
  <c r="W1938" i="3"/>
  <c r="V1938" i="3"/>
  <c r="W1937" i="3"/>
  <c r="V1937" i="3"/>
  <c r="W1936" i="3"/>
  <c r="V1936" i="3"/>
  <c r="W1935" i="3"/>
  <c r="V1935" i="3"/>
  <c r="W1934" i="3"/>
  <c r="V1934" i="3"/>
  <c r="W1933" i="3"/>
  <c r="V1933" i="3"/>
  <c r="W1932" i="3"/>
  <c r="V1932" i="3"/>
  <c r="W1931" i="3"/>
  <c r="V1931" i="3"/>
  <c r="W1930" i="3"/>
  <c r="V1930" i="3"/>
  <c r="W1929" i="3"/>
  <c r="V1929" i="3"/>
  <c r="W1928" i="3"/>
  <c r="V1928" i="3"/>
  <c r="W1927" i="3"/>
  <c r="V1927" i="3"/>
  <c r="W1926" i="3"/>
  <c r="V1926" i="3"/>
  <c r="W1925" i="3"/>
  <c r="V1925" i="3"/>
  <c r="W1924" i="3"/>
  <c r="V1924" i="3"/>
  <c r="W1923" i="3"/>
  <c r="V1923" i="3"/>
  <c r="W1922" i="3"/>
  <c r="V1922" i="3"/>
  <c r="W1921" i="3"/>
  <c r="V1921" i="3"/>
  <c r="W1920" i="3"/>
  <c r="V1920" i="3"/>
  <c r="W1919" i="3"/>
  <c r="V1919" i="3"/>
  <c r="W1918" i="3"/>
  <c r="V1918" i="3"/>
  <c r="W1917" i="3"/>
  <c r="V1917" i="3"/>
  <c r="W1916" i="3"/>
  <c r="V1916" i="3"/>
  <c r="W1915" i="3"/>
  <c r="V1915" i="3"/>
  <c r="W1914" i="3"/>
  <c r="V1914" i="3"/>
  <c r="W1913" i="3"/>
  <c r="V1913" i="3"/>
  <c r="W1912" i="3"/>
  <c r="V1912" i="3"/>
  <c r="W1911" i="3"/>
  <c r="V1911" i="3"/>
  <c r="W1910" i="3"/>
  <c r="V1910" i="3"/>
  <c r="W1909" i="3"/>
  <c r="V1909" i="3"/>
  <c r="W1908" i="3"/>
  <c r="V1908" i="3"/>
  <c r="W1907" i="3"/>
  <c r="V1907" i="3"/>
  <c r="W1906" i="3"/>
  <c r="V1906" i="3"/>
  <c r="W1905" i="3"/>
  <c r="V1905" i="3"/>
  <c r="W1904" i="3"/>
  <c r="V1904" i="3"/>
  <c r="W1903" i="3"/>
  <c r="V1903" i="3"/>
  <c r="W1902" i="3"/>
  <c r="V1902" i="3"/>
  <c r="W1901" i="3"/>
  <c r="V1901" i="3"/>
  <c r="W1900" i="3"/>
  <c r="V1900" i="3"/>
  <c r="W1899" i="3"/>
  <c r="V1899" i="3"/>
  <c r="W1898" i="3"/>
  <c r="V1898" i="3"/>
  <c r="W1897" i="3"/>
  <c r="V1897" i="3"/>
  <c r="W1896" i="3"/>
  <c r="V1896" i="3"/>
  <c r="W1895" i="3"/>
  <c r="V1895" i="3"/>
  <c r="W1894" i="3"/>
  <c r="V1894" i="3"/>
  <c r="W1893" i="3"/>
  <c r="V1893" i="3"/>
  <c r="W1892" i="3"/>
  <c r="V1892" i="3"/>
  <c r="W1891" i="3"/>
  <c r="V1891" i="3"/>
  <c r="W1890" i="3"/>
  <c r="V1890" i="3"/>
  <c r="W1889" i="3"/>
  <c r="V1889" i="3"/>
  <c r="W1888" i="3"/>
  <c r="V1888" i="3"/>
  <c r="W1887" i="3"/>
  <c r="V1887" i="3"/>
  <c r="W1886" i="3"/>
  <c r="V1886" i="3"/>
  <c r="W1885" i="3"/>
  <c r="V1885" i="3"/>
  <c r="W1884" i="3"/>
  <c r="V1884" i="3"/>
  <c r="W1883" i="3"/>
  <c r="V1883" i="3"/>
  <c r="W1882" i="3"/>
  <c r="V1882" i="3"/>
  <c r="W1881" i="3"/>
  <c r="V1881" i="3"/>
  <c r="W1880" i="3"/>
  <c r="V1880" i="3"/>
  <c r="W1879" i="3"/>
  <c r="V1879" i="3"/>
  <c r="W1878" i="3"/>
  <c r="V1878" i="3"/>
  <c r="W1877" i="3"/>
  <c r="V1877" i="3"/>
  <c r="W1876" i="3"/>
  <c r="V1876" i="3"/>
  <c r="W1875" i="3"/>
  <c r="V1875" i="3"/>
  <c r="W1874" i="3"/>
  <c r="V1874" i="3"/>
  <c r="W1873" i="3"/>
  <c r="V1873" i="3"/>
  <c r="W1872" i="3"/>
  <c r="V1872" i="3"/>
  <c r="W1871" i="3"/>
  <c r="V1871" i="3"/>
  <c r="W1870" i="3"/>
  <c r="V1870" i="3"/>
  <c r="W1869" i="3"/>
  <c r="V1869" i="3"/>
  <c r="W1868" i="3"/>
  <c r="V1868" i="3"/>
  <c r="W1867" i="3"/>
  <c r="V1867" i="3"/>
  <c r="W1866" i="3"/>
  <c r="V1866" i="3"/>
  <c r="W1865" i="3"/>
  <c r="V1865" i="3"/>
  <c r="W1864" i="3"/>
  <c r="V1864" i="3"/>
  <c r="W1863" i="3"/>
  <c r="V1863" i="3"/>
  <c r="W1862" i="3"/>
  <c r="V1862" i="3"/>
  <c r="W1861" i="3"/>
  <c r="V1861" i="3"/>
  <c r="W1860" i="3"/>
  <c r="V1860" i="3"/>
  <c r="W1859" i="3"/>
  <c r="V1859" i="3"/>
  <c r="W1858" i="3"/>
  <c r="V1858" i="3"/>
  <c r="W1857" i="3"/>
  <c r="V1857" i="3"/>
  <c r="W1856" i="3"/>
  <c r="V1856" i="3"/>
  <c r="W1855" i="3"/>
  <c r="V1855" i="3"/>
  <c r="W1854" i="3"/>
  <c r="V1854" i="3"/>
  <c r="W1853" i="3"/>
  <c r="V1853" i="3"/>
  <c r="W1852" i="3"/>
  <c r="V1852" i="3"/>
  <c r="W1851" i="3"/>
  <c r="V1851" i="3"/>
  <c r="W1850" i="3"/>
  <c r="V1850" i="3"/>
  <c r="W1849" i="3"/>
  <c r="V1849" i="3"/>
  <c r="W1848" i="3"/>
  <c r="V1848" i="3"/>
  <c r="W1847" i="3"/>
  <c r="V1847" i="3"/>
  <c r="W1846" i="3"/>
  <c r="V1846" i="3"/>
  <c r="W1845" i="3"/>
  <c r="V1845" i="3"/>
  <c r="W1844" i="3"/>
  <c r="V1844" i="3"/>
  <c r="W1843" i="3"/>
  <c r="V1843" i="3"/>
  <c r="W1842" i="3"/>
  <c r="V1842" i="3"/>
  <c r="W1841" i="3"/>
  <c r="V1841" i="3"/>
  <c r="W1840" i="3"/>
  <c r="V1840" i="3"/>
  <c r="W1839" i="3"/>
  <c r="V1839" i="3"/>
  <c r="W1838" i="3"/>
  <c r="V1838" i="3"/>
  <c r="W1837" i="3"/>
  <c r="V1837" i="3"/>
  <c r="W1836" i="3"/>
  <c r="V1836" i="3"/>
  <c r="W1835" i="3"/>
  <c r="V1835" i="3"/>
  <c r="W1834" i="3"/>
  <c r="V1834" i="3"/>
  <c r="W1833" i="3"/>
  <c r="V1833" i="3"/>
  <c r="W1832" i="3"/>
  <c r="V1832" i="3"/>
  <c r="W1831" i="3"/>
  <c r="V1831" i="3"/>
  <c r="W1830" i="3"/>
  <c r="V1830" i="3"/>
  <c r="W1829" i="3"/>
  <c r="V1829" i="3"/>
  <c r="W1828" i="3"/>
  <c r="V1828" i="3"/>
  <c r="W1827" i="3"/>
  <c r="V1827" i="3"/>
  <c r="W1826" i="3"/>
  <c r="V1826" i="3"/>
  <c r="W1825" i="3"/>
  <c r="V1825" i="3"/>
  <c r="W1824" i="3"/>
  <c r="V1824" i="3"/>
  <c r="W1823" i="3"/>
  <c r="V1823" i="3"/>
  <c r="W1822" i="3"/>
  <c r="V1822" i="3"/>
  <c r="W1821" i="3"/>
  <c r="V1821" i="3"/>
  <c r="W1820" i="3"/>
  <c r="V1820" i="3"/>
  <c r="W1819" i="3"/>
  <c r="V1819" i="3"/>
  <c r="W1818" i="3"/>
  <c r="V1818" i="3"/>
  <c r="W1817" i="3"/>
  <c r="V1817" i="3"/>
  <c r="W1816" i="3"/>
  <c r="V1816" i="3"/>
  <c r="W1815" i="3"/>
  <c r="V1815" i="3"/>
  <c r="W1814" i="3"/>
  <c r="V1814" i="3"/>
  <c r="W1813" i="3"/>
  <c r="V1813" i="3"/>
  <c r="W1812" i="3"/>
  <c r="V1812" i="3"/>
  <c r="W1811" i="3"/>
  <c r="V1811" i="3"/>
  <c r="W1810" i="3"/>
  <c r="V1810" i="3"/>
  <c r="W1809" i="3"/>
  <c r="V1809" i="3"/>
  <c r="W1808" i="3"/>
  <c r="V1808" i="3"/>
  <c r="W1807" i="3"/>
  <c r="V1807" i="3"/>
  <c r="W1806" i="3"/>
  <c r="V1806" i="3"/>
  <c r="W1805" i="3"/>
  <c r="V1805" i="3"/>
  <c r="W1804" i="3"/>
  <c r="V1804" i="3"/>
  <c r="W1803" i="3"/>
  <c r="V1803" i="3"/>
  <c r="W1802" i="3"/>
  <c r="V1802" i="3"/>
  <c r="W1801" i="3"/>
  <c r="V1801" i="3"/>
  <c r="W1800" i="3"/>
  <c r="V1800" i="3"/>
  <c r="W1799" i="3"/>
  <c r="V1799" i="3"/>
  <c r="W1798" i="3"/>
  <c r="V1798" i="3"/>
  <c r="W1797" i="3"/>
  <c r="V1797" i="3"/>
  <c r="W1796" i="3"/>
  <c r="V1796" i="3"/>
  <c r="W1795" i="3"/>
  <c r="V1795" i="3"/>
  <c r="W1794" i="3"/>
  <c r="V1794" i="3"/>
  <c r="W1793" i="3"/>
  <c r="V1793" i="3"/>
  <c r="W1792" i="3"/>
  <c r="V1792" i="3"/>
  <c r="W1791" i="3"/>
  <c r="V1791" i="3"/>
  <c r="W1790" i="3"/>
  <c r="V1790" i="3"/>
  <c r="W1789" i="3"/>
  <c r="V1789" i="3"/>
  <c r="W1788" i="3"/>
  <c r="V1788" i="3"/>
  <c r="W1787" i="3"/>
  <c r="V1787" i="3"/>
  <c r="W1786" i="3"/>
  <c r="V1786" i="3"/>
  <c r="W1785" i="3"/>
  <c r="V1785" i="3"/>
  <c r="W1784" i="3"/>
  <c r="V1784" i="3"/>
  <c r="W1783" i="3"/>
  <c r="V1783" i="3"/>
  <c r="W1782" i="3"/>
  <c r="V1782" i="3"/>
  <c r="W1781" i="3"/>
  <c r="V1781" i="3"/>
  <c r="W1780" i="3"/>
  <c r="V1780" i="3"/>
  <c r="W1779" i="3"/>
  <c r="V1779" i="3"/>
  <c r="W1778" i="3"/>
  <c r="V1778" i="3"/>
  <c r="W1777" i="3"/>
  <c r="V1777" i="3"/>
  <c r="W1776" i="3"/>
  <c r="V1776" i="3"/>
  <c r="W1775" i="3"/>
  <c r="V1775" i="3"/>
  <c r="W1774" i="3"/>
  <c r="V1774" i="3"/>
  <c r="W1773" i="3"/>
  <c r="V1773" i="3"/>
  <c r="W1772" i="3"/>
  <c r="V1772" i="3"/>
  <c r="W1771" i="3"/>
  <c r="V1771" i="3"/>
  <c r="W1770" i="3"/>
  <c r="V1770" i="3"/>
  <c r="W1769" i="3"/>
  <c r="V1769" i="3"/>
  <c r="W1768" i="3"/>
  <c r="V1768" i="3"/>
  <c r="W1767" i="3"/>
  <c r="V1767" i="3"/>
  <c r="W1766" i="3"/>
  <c r="V1766" i="3"/>
  <c r="W1765" i="3"/>
  <c r="V1765" i="3"/>
  <c r="W1764" i="3"/>
  <c r="V1764" i="3"/>
  <c r="W1763" i="3"/>
  <c r="V1763" i="3"/>
  <c r="W1762" i="3"/>
  <c r="V1762" i="3"/>
  <c r="W1761" i="3"/>
  <c r="V1761" i="3"/>
  <c r="W1760" i="3"/>
  <c r="V1760" i="3"/>
  <c r="W1759" i="3"/>
  <c r="V1759" i="3"/>
  <c r="W1758" i="3"/>
  <c r="V1758" i="3"/>
  <c r="W1757" i="3"/>
  <c r="V1757" i="3"/>
  <c r="W1756" i="3"/>
  <c r="V1756" i="3"/>
  <c r="W1755" i="3"/>
  <c r="V1755" i="3"/>
  <c r="W1754" i="3"/>
  <c r="V1754" i="3"/>
  <c r="W1753" i="3"/>
  <c r="V1753" i="3"/>
  <c r="W1752" i="3"/>
  <c r="V1752" i="3"/>
  <c r="W1751" i="3"/>
  <c r="V1751" i="3"/>
  <c r="W1750" i="3"/>
  <c r="V1750" i="3"/>
  <c r="W1749" i="3"/>
  <c r="V1749" i="3"/>
  <c r="W1748" i="3"/>
  <c r="V1748" i="3"/>
  <c r="W1747" i="3"/>
  <c r="V1747" i="3"/>
  <c r="W1746" i="3"/>
  <c r="V1746" i="3"/>
  <c r="W1745" i="3"/>
  <c r="V1745" i="3"/>
  <c r="W1744" i="3"/>
  <c r="V1744" i="3"/>
  <c r="W1743" i="3"/>
  <c r="V1743" i="3"/>
  <c r="W1742" i="3"/>
  <c r="V1742" i="3"/>
  <c r="W1741" i="3"/>
  <c r="V1741" i="3"/>
  <c r="W1740" i="3"/>
  <c r="V1740" i="3"/>
  <c r="W1739" i="3"/>
  <c r="V1739" i="3"/>
  <c r="W1738" i="3"/>
  <c r="V1738" i="3"/>
  <c r="W1737" i="3"/>
  <c r="V1737" i="3"/>
  <c r="W1736" i="3"/>
  <c r="V1736" i="3"/>
  <c r="W1735" i="3"/>
  <c r="V1735" i="3"/>
  <c r="W1734" i="3"/>
  <c r="V1734" i="3"/>
  <c r="W1733" i="3"/>
  <c r="V1733" i="3"/>
  <c r="W1732" i="3"/>
  <c r="V1732" i="3"/>
  <c r="W1731" i="3"/>
  <c r="V1731" i="3"/>
  <c r="W1730" i="3"/>
  <c r="V1730" i="3"/>
  <c r="W1729" i="3"/>
  <c r="V1729" i="3"/>
  <c r="W1728" i="3"/>
  <c r="V1728" i="3"/>
  <c r="W1727" i="3"/>
  <c r="V1727" i="3"/>
  <c r="W1726" i="3"/>
  <c r="V1726" i="3"/>
  <c r="W1725" i="3"/>
  <c r="V1725" i="3"/>
  <c r="W1724" i="3"/>
  <c r="V1724" i="3"/>
  <c r="W1723" i="3"/>
  <c r="V1723" i="3"/>
  <c r="W1722" i="3"/>
  <c r="V1722" i="3"/>
  <c r="W1721" i="3"/>
  <c r="V1721" i="3"/>
  <c r="W1720" i="3"/>
  <c r="V1720" i="3"/>
  <c r="W1719" i="3"/>
  <c r="V1719" i="3"/>
  <c r="W1718" i="3"/>
  <c r="V1718" i="3"/>
  <c r="W1717" i="3"/>
  <c r="V1717" i="3"/>
  <c r="W1716" i="3"/>
  <c r="V1716" i="3"/>
  <c r="W1715" i="3"/>
  <c r="V1715" i="3"/>
  <c r="W1714" i="3"/>
  <c r="V1714" i="3"/>
  <c r="W1713" i="3"/>
  <c r="V1713" i="3"/>
  <c r="W1712" i="3"/>
  <c r="V1712" i="3"/>
  <c r="W1711" i="3"/>
  <c r="V1711" i="3"/>
  <c r="W1710" i="3"/>
  <c r="V1710" i="3"/>
  <c r="W1709" i="3"/>
  <c r="V1709" i="3"/>
  <c r="W1708" i="3"/>
  <c r="V1708" i="3"/>
  <c r="W1707" i="3"/>
  <c r="V1707" i="3"/>
  <c r="W1706" i="3"/>
  <c r="V1706" i="3"/>
  <c r="W1705" i="3"/>
  <c r="V1705" i="3"/>
  <c r="W1704" i="3"/>
  <c r="V1704" i="3"/>
  <c r="W1703" i="3"/>
  <c r="V1703" i="3"/>
  <c r="W1702" i="3"/>
  <c r="V1702" i="3"/>
  <c r="W1701" i="3"/>
  <c r="V1701" i="3"/>
  <c r="W1700" i="3"/>
  <c r="V1700" i="3"/>
  <c r="W1699" i="3"/>
  <c r="V1699" i="3"/>
  <c r="W1698" i="3"/>
  <c r="V1698" i="3"/>
  <c r="W1697" i="3"/>
  <c r="V1697" i="3"/>
  <c r="W1696" i="3"/>
  <c r="V1696" i="3"/>
  <c r="W1695" i="3"/>
  <c r="V1695" i="3"/>
  <c r="W1694" i="3"/>
  <c r="V1694" i="3"/>
  <c r="W1693" i="3"/>
  <c r="V1693" i="3"/>
  <c r="W1692" i="3"/>
  <c r="V1692" i="3"/>
  <c r="W1691" i="3"/>
  <c r="V1691" i="3"/>
  <c r="W1690" i="3"/>
  <c r="V1690" i="3"/>
  <c r="W1689" i="3"/>
  <c r="V1689" i="3"/>
  <c r="W1688" i="3"/>
  <c r="V1688" i="3"/>
  <c r="W1687" i="3"/>
  <c r="V1687" i="3"/>
  <c r="W1686" i="3"/>
  <c r="V1686" i="3"/>
  <c r="W1685" i="3"/>
  <c r="V1685" i="3"/>
  <c r="W1684" i="3"/>
  <c r="V1684" i="3"/>
  <c r="W1683" i="3"/>
  <c r="V1683" i="3"/>
  <c r="W1682" i="3"/>
  <c r="V1682" i="3"/>
  <c r="W1681" i="3"/>
  <c r="V1681" i="3"/>
  <c r="W1680" i="3"/>
  <c r="V1680" i="3"/>
  <c r="W1679" i="3"/>
  <c r="V1679" i="3"/>
  <c r="W1678" i="3"/>
  <c r="V1678" i="3"/>
  <c r="W1677" i="3"/>
  <c r="V1677" i="3"/>
  <c r="W1676" i="3"/>
  <c r="V1676" i="3"/>
  <c r="W1675" i="3"/>
  <c r="V1675" i="3"/>
  <c r="W1674" i="3"/>
  <c r="V1674" i="3"/>
  <c r="W1673" i="3"/>
  <c r="V1673" i="3"/>
  <c r="W1672" i="3"/>
  <c r="V1672" i="3"/>
  <c r="W1671" i="3"/>
  <c r="V1671" i="3"/>
  <c r="W1670" i="3"/>
  <c r="V1670" i="3"/>
  <c r="W1669" i="3"/>
  <c r="V1669" i="3"/>
  <c r="W1668" i="3"/>
  <c r="V1668" i="3"/>
  <c r="W1667" i="3"/>
  <c r="V1667" i="3"/>
  <c r="W1666" i="3"/>
  <c r="V1666" i="3"/>
  <c r="W1665" i="3"/>
  <c r="V1665" i="3"/>
  <c r="W1664" i="3"/>
  <c r="V1664" i="3"/>
  <c r="W1663" i="3"/>
  <c r="V1663" i="3"/>
  <c r="W1662" i="3"/>
  <c r="V1662" i="3"/>
  <c r="W1661" i="3"/>
  <c r="V1661" i="3"/>
  <c r="W1660" i="3"/>
  <c r="V1660" i="3"/>
  <c r="W1659" i="3"/>
  <c r="V1659" i="3"/>
  <c r="W1658" i="3"/>
  <c r="V1658" i="3"/>
  <c r="W1657" i="3"/>
  <c r="V1657" i="3"/>
  <c r="W1656" i="3"/>
  <c r="V1656" i="3"/>
  <c r="W1655" i="3"/>
  <c r="V1655" i="3"/>
  <c r="W1654" i="3"/>
  <c r="V1654" i="3"/>
  <c r="W1653" i="3"/>
  <c r="V1653" i="3"/>
  <c r="W1652" i="3"/>
  <c r="V1652" i="3"/>
  <c r="W1651" i="3"/>
  <c r="V1651" i="3"/>
  <c r="W1650" i="3"/>
  <c r="V1650" i="3"/>
  <c r="W1649" i="3"/>
  <c r="V1649" i="3"/>
  <c r="W1648" i="3"/>
  <c r="V1648" i="3"/>
  <c r="W1647" i="3"/>
  <c r="V1647" i="3"/>
  <c r="W1646" i="3"/>
  <c r="V1646" i="3"/>
  <c r="W1645" i="3"/>
  <c r="V1645" i="3"/>
  <c r="W1644" i="3"/>
  <c r="V1644" i="3"/>
  <c r="W1643" i="3"/>
  <c r="V1643" i="3"/>
  <c r="W1642" i="3"/>
  <c r="V1642" i="3"/>
  <c r="W1641" i="3"/>
  <c r="V1641" i="3"/>
  <c r="W1640" i="3"/>
  <c r="V1640" i="3"/>
  <c r="W1639" i="3"/>
  <c r="V1639" i="3"/>
  <c r="W1638" i="3"/>
  <c r="V1638" i="3"/>
  <c r="W1637" i="3"/>
  <c r="V1637" i="3"/>
  <c r="W1636" i="3"/>
  <c r="V1636" i="3"/>
  <c r="W1635" i="3"/>
  <c r="V1635" i="3"/>
  <c r="W1634" i="3"/>
  <c r="V1634" i="3"/>
  <c r="W1633" i="3"/>
  <c r="V1633" i="3"/>
  <c r="W1632" i="3"/>
  <c r="V1632" i="3"/>
  <c r="W1631" i="3"/>
  <c r="V1631" i="3"/>
  <c r="W1630" i="3"/>
  <c r="V1630" i="3"/>
  <c r="W1629" i="3"/>
  <c r="V1629" i="3"/>
  <c r="W1628" i="3"/>
  <c r="V1628" i="3"/>
  <c r="W1627" i="3"/>
  <c r="V1627" i="3"/>
  <c r="W1626" i="3"/>
  <c r="V1626" i="3"/>
  <c r="W1625" i="3"/>
  <c r="V1625" i="3"/>
  <c r="W1624" i="3"/>
  <c r="V1624" i="3"/>
  <c r="W1623" i="3"/>
  <c r="V1623" i="3"/>
  <c r="W1622" i="3"/>
  <c r="V1622" i="3"/>
  <c r="W1621" i="3"/>
  <c r="V1621" i="3"/>
  <c r="W1620" i="3"/>
  <c r="V1620" i="3"/>
  <c r="W1619" i="3"/>
  <c r="V1619" i="3"/>
  <c r="W1618" i="3"/>
  <c r="V1618" i="3"/>
  <c r="W1617" i="3"/>
  <c r="V1617" i="3"/>
  <c r="W1616" i="3"/>
  <c r="V1616" i="3"/>
  <c r="W1615" i="3"/>
  <c r="V1615" i="3"/>
  <c r="W1614" i="3"/>
  <c r="V1614" i="3"/>
  <c r="W1613" i="3"/>
  <c r="V1613" i="3"/>
  <c r="W1612" i="3"/>
  <c r="V1612" i="3"/>
  <c r="W1611" i="3"/>
  <c r="V1611" i="3"/>
  <c r="W1610" i="3"/>
  <c r="V1610" i="3"/>
  <c r="W1609" i="3"/>
  <c r="V1609" i="3"/>
  <c r="W1608" i="3"/>
  <c r="V1608" i="3"/>
  <c r="W1607" i="3"/>
  <c r="V1607" i="3"/>
  <c r="W1606" i="3"/>
  <c r="V1606" i="3"/>
  <c r="W1605" i="3"/>
  <c r="V1605" i="3"/>
  <c r="W1604" i="3"/>
  <c r="V1604" i="3"/>
  <c r="W1603" i="3"/>
  <c r="V1603" i="3"/>
  <c r="W1602" i="3"/>
  <c r="V1602" i="3"/>
  <c r="W1601" i="3"/>
  <c r="V1601" i="3"/>
  <c r="W1600" i="3"/>
  <c r="V1600" i="3"/>
  <c r="W1599" i="3"/>
  <c r="V1599" i="3"/>
  <c r="W1598" i="3"/>
  <c r="V1598" i="3"/>
  <c r="W1597" i="3"/>
  <c r="V1597" i="3"/>
  <c r="W1596" i="3"/>
  <c r="V1596" i="3"/>
  <c r="W1595" i="3"/>
  <c r="V1595" i="3"/>
  <c r="W1594" i="3"/>
  <c r="V1594" i="3"/>
  <c r="W1593" i="3"/>
  <c r="V1593" i="3"/>
  <c r="W1592" i="3"/>
  <c r="V1592" i="3"/>
  <c r="W1591" i="3"/>
  <c r="V1591" i="3"/>
  <c r="W1590" i="3"/>
  <c r="V1590" i="3"/>
  <c r="W1589" i="3"/>
  <c r="V1589" i="3"/>
  <c r="W1588" i="3"/>
  <c r="V1588" i="3"/>
  <c r="W1587" i="3"/>
  <c r="V1587" i="3"/>
  <c r="W1586" i="3"/>
  <c r="V1586" i="3"/>
  <c r="W1585" i="3"/>
  <c r="V1585" i="3"/>
  <c r="W1584" i="3"/>
  <c r="V1584" i="3"/>
  <c r="W1583" i="3"/>
  <c r="V1583" i="3"/>
  <c r="W1582" i="3"/>
  <c r="V1582" i="3"/>
  <c r="W1581" i="3"/>
  <c r="V1581" i="3"/>
  <c r="W1580" i="3"/>
  <c r="V1580" i="3"/>
  <c r="W1579" i="3"/>
  <c r="V1579" i="3"/>
  <c r="W1578" i="3"/>
  <c r="V1578" i="3"/>
  <c r="W1577" i="3"/>
  <c r="V1577" i="3"/>
  <c r="W1576" i="3"/>
  <c r="V1576" i="3"/>
  <c r="W1575" i="3"/>
  <c r="V1575" i="3"/>
  <c r="W1574" i="3"/>
  <c r="V1574" i="3"/>
  <c r="W1573" i="3"/>
  <c r="V1573" i="3"/>
  <c r="W1572" i="3"/>
  <c r="V1572" i="3"/>
  <c r="W1571" i="3"/>
  <c r="V1571" i="3"/>
  <c r="W1570" i="3"/>
  <c r="V1570" i="3"/>
  <c r="W1569" i="3"/>
  <c r="V1569" i="3"/>
  <c r="W1568" i="3"/>
  <c r="V1568" i="3"/>
  <c r="W1567" i="3"/>
  <c r="V1567" i="3"/>
  <c r="W1566" i="3"/>
  <c r="V1566" i="3"/>
  <c r="W1565" i="3"/>
  <c r="V1565" i="3"/>
  <c r="W1564" i="3"/>
  <c r="V1564" i="3"/>
  <c r="W1563" i="3"/>
  <c r="V1563" i="3"/>
  <c r="W1562" i="3"/>
  <c r="V1562" i="3"/>
  <c r="W1561" i="3"/>
  <c r="V1561" i="3"/>
  <c r="W1560" i="3"/>
  <c r="V1560" i="3"/>
  <c r="W1559" i="3"/>
  <c r="V1559" i="3"/>
  <c r="W1558" i="3"/>
  <c r="V1558" i="3"/>
  <c r="W1557" i="3"/>
  <c r="V1557" i="3"/>
  <c r="W1556" i="3"/>
  <c r="V1556" i="3"/>
  <c r="W1555" i="3"/>
  <c r="V1555" i="3"/>
  <c r="W1554" i="3"/>
  <c r="V1554" i="3"/>
  <c r="W1553" i="3"/>
  <c r="V1553" i="3"/>
  <c r="W1552" i="3"/>
  <c r="V1552" i="3"/>
  <c r="W1551" i="3"/>
  <c r="V1551" i="3"/>
  <c r="W1550" i="3"/>
  <c r="V1550" i="3"/>
  <c r="W1549" i="3"/>
  <c r="V1549" i="3"/>
  <c r="W1548" i="3"/>
  <c r="V1548" i="3"/>
  <c r="W1547" i="3"/>
  <c r="V1547" i="3"/>
  <c r="W1546" i="3"/>
  <c r="V1546" i="3"/>
  <c r="W1545" i="3"/>
  <c r="V1545" i="3"/>
  <c r="W1544" i="3"/>
  <c r="V1544" i="3"/>
  <c r="W1543" i="3"/>
  <c r="V1543" i="3"/>
  <c r="W1542" i="3"/>
  <c r="V1542" i="3"/>
  <c r="W1541" i="3"/>
  <c r="V1541" i="3"/>
  <c r="W1540" i="3"/>
  <c r="V1540" i="3"/>
  <c r="W1539" i="3"/>
  <c r="V1539" i="3"/>
  <c r="W1538" i="3"/>
  <c r="V1538" i="3"/>
  <c r="W1537" i="3"/>
  <c r="V1537" i="3"/>
  <c r="W1536" i="3"/>
  <c r="V1536" i="3"/>
  <c r="W1535" i="3"/>
  <c r="V1535" i="3"/>
  <c r="W1534" i="3"/>
  <c r="V1534" i="3"/>
  <c r="W1533" i="3"/>
  <c r="V1533" i="3"/>
  <c r="W1532" i="3"/>
  <c r="V1532" i="3"/>
  <c r="W1531" i="3"/>
  <c r="V1531" i="3"/>
  <c r="W1530" i="3"/>
  <c r="V1530" i="3"/>
  <c r="W1529" i="3"/>
  <c r="V1529" i="3"/>
  <c r="W1528" i="3"/>
  <c r="V1528" i="3"/>
  <c r="W1527" i="3"/>
  <c r="V1527" i="3"/>
  <c r="W1526" i="3"/>
  <c r="V1526" i="3"/>
  <c r="W1525" i="3"/>
  <c r="V1525" i="3"/>
  <c r="W1524" i="3"/>
  <c r="V1524" i="3"/>
  <c r="W1523" i="3"/>
  <c r="V1523" i="3"/>
  <c r="W1522" i="3"/>
  <c r="V1522" i="3"/>
  <c r="W1521" i="3"/>
  <c r="V1521" i="3"/>
  <c r="W1520" i="3"/>
  <c r="V1520" i="3"/>
  <c r="W1519" i="3"/>
  <c r="V1519" i="3"/>
  <c r="W1518" i="3"/>
  <c r="V1518" i="3"/>
  <c r="W1517" i="3"/>
  <c r="V1517" i="3"/>
  <c r="W1516" i="3"/>
  <c r="V1516" i="3"/>
  <c r="W1515" i="3"/>
  <c r="V1515" i="3"/>
  <c r="W1514" i="3"/>
  <c r="V1514" i="3"/>
  <c r="W1513" i="3"/>
  <c r="V1513" i="3"/>
  <c r="W1512" i="3"/>
  <c r="V1512" i="3"/>
  <c r="W1511" i="3"/>
  <c r="V1511" i="3"/>
  <c r="W1510" i="3"/>
  <c r="V1510" i="3"/>
  <c r="W1509" i="3"/>
  <c r="V1509" i="3"/>
  <c r="W1508" i="3"/>
  <c r="V1508" i="3"/>
  <c r="W1507" i="3"/>
  <c r="V1507" i="3"/>
  <c r="W1506" i="3"/>
  <c r="V1506" i="3"/>
  <c r="W1505" i="3"/>
  <c r="V1505" i="3"/>
  <c r="W1504" i="3"/>
  <c r="V1504" i="3"/>
  <c r="W1503" i="3"/>
  <c r="V1503" i="3"/>
  <c r="W1502" i="3"/>
  <c r="V1502" i="3"/>
  <c r="W1501" i="3"/>
  <c r="V1501" i="3"/>
  <c r="W1500" i="3"/>
  <c r="V1500" i="3"/>
  <c r="W1499" i="3"/>
  <c r="V1499" i="3"/>
  <c r="W1498" i="3"/>
  <c r="V1498" i="3"/>
  <c r="W1497" i="3"/>
  <c r="V1497" i="3"/>
  <c r="W1496" i="3"/>
  <c r="V1496" i="3"/>
  <c r="W1495" i="3"/>
  <c r="V1495" i="3"/>
  <c r="W1494" i="3"/>
  <c r="V1494" i="3"/>
  <c r="W1493" i="3"/>
  <c r="V1493" i="3"/>
  <c r="W1492" i="3"/>
  <c r="V1492" i="3"/>
  <c r="W1491" i="3"/>
  <c r="V1491" i="3"/>
  <c r="W1490" i="3"/>
  <c r="V1490" i="3"/>
  <c r="W1489" i="3"/>
  <c r="V1489" i="3"/>
  <c r="W1488" i="3"/>
  <c r="V1488" i="3"/>
  <c r="W1487" i="3"/>
  <c r="V1487" i="3"/>
  <c r="W1486" i="3"/>
  <c r="V1486" i="3"/>
  <c r="W1485" i="3"/>
  <c r="V1485" i="3"/>
  <c r="W1484" i="3"/>
  <c r="V1484" i="3"/>
  <c r="W1483" i="3"/>
  <c r="V1483" i="3"/>
  <c r="W1482" i="3"/>
  <c r="V1482" i="3"/>
  <c r="W1481" i="3"/>
  <c r="V1481" i="3"/>
  <c r="W1480" i="3"/>
  <c r="V1480" i="3"/>
  <c r="W1479" i="3"/>
  <c r="V1479" i="3"/>
  <c r="W1478" i="3"/>
  <c r="V1478" i="3"/>
  <c r="W1477" i="3"/>
  <c r="V1477" i="3"/>
  <c r="W1476" i="3"/>
  <c r="V1476" i="3"/>
  <c r="W1475" i="3"/>
  <c r="V1475" i="3"/>
  <c r="W1474" i="3"/>
  <c r="V1474" i="3"/>
  <c r="W1473" i="3"/>
  <c r="V1473" i="3"/>
  <c r="W1472" i="3"/>
  <c r="V1472" i="3"/>
  <c r="W1471" i="3"/>
  <c r="V1471" i="3"/>
  <c r="W1470" i="3"/>
  <c r="V1470" i="3"/>
  <c r="W1469" i="3"/>
  <c r="V1469" i="3"/>
  <c r="W1468" i="3"/>
  <c r="V1468" i="3"/>
  <c r="W1467" i="3"/>
  <c r="V1467" i="3"/>
  <c r="W1466" i="3"/>
  <c r="V1466" i="3"/>
  <c r="W1465" i="3"/>
  <c r="V1465" i="3"/>
  <c r="W1464" i="3"/>
  <c r="V1464" i="3"/>
  <c r="W1463" i="3"/>
  <c r="V1463" i="3"/>
  <c r="W1462" i="3"/>
  <c r="V1462" i="3"/>
  <c r="W1461" i="3"/>
  <c r="V1461" i="3"/>
  <c r="W1460" i="3"/>
  <c r="V1460" i="3"/>
  <c r="W1459" i="3"/>
  <c r="V1459" i="3"/>
  <c r="W1458" i="3"/>
  <c r="V1458" i="3"/>
  <c r="W1457" i="3"/>
  <c r="V1457" i="3"/>
  <c r="W1456" i="3"/>
  <c r="V1456" i="3"/>
  <c r="W1455" i="3"/>
  <c r="V1455" i="3"/>
  <c r="W1454" i="3"/>
  <c r="V1454" i="3"/>
  <c r="W1453" i="3"/>
  <c r="V1453" i="3"/>
  <c r="W1452" i="3"/>
  <c r="V1452" i="3"/>
  <c r="W1451" i="3"/>
  <c r="V1451" i="3"/>
  <c r="W1450" i="3"/>
  <c r="V1450" i="3"/>
  <c r="W1449" i="3"/>
  <c r="V1449" i="3"/>
  <c r="W1448" i="3"/>
  <c r="V1448" i="3"/>
  <c r="W1447" i="3"/>
  <c r="V1447" i="3"/>
  <c r="W1446" i="3"/>
  <c r="V1446" i="3"/>
  <c r="W1445" i="3"/>
  <c r="V1445" i="3"/>
  <c r="W1444" i="3"/>
  <c r="V1444" i="3"/>
  <c r="W1443" i="3"/>
  <c r="V1443" i="3"/>
  <c r="W1442" i="3"/>
  <c r="V1442" i="3"/>
  <c r="W1441" i="3"/>
  <c r="V1441" i="3"/>
  <c r="W1440" i="3"/>
  <c r="V1440" i="3"/>
  <c r="W1439" i="3"/>
  <c r="V1439" i="3"/>
  <c r="W1438" i="3"/>
  <c r="V1438" i="3"/>
  <c r="W1437" i="3"/>
  <c r="V1437" i="3"/>
  <c r="W1436" i="3"/>
  <c r="V1436" i="3"/>
  <c r="W1435" i="3"/>
  <c r="V1435" i="3"/>
  <c r="W1434" i="3"/>
  <c r="V1434" i="3"/>
  <c r="W1433" i="3"/>
  <c r="V1433" i="3"/>
  <c r="W1432" i="3"/>
  <c r="V1432" i="3"/>
  <c r="W1431" i="3"/>
  <c r="V1431" i="3"/>
  <c r="W1430" i="3"/>
  <c r="V1430" i="3"/>
  <c r="W1429" i="3"/>
  <c r="V1429" i="3"/>
  <c r="W1428" i="3"/>
  <c r="V1428" i="3"/>
  <c r="W1427" i="3"/>
  <c r="V1427" i="3"/>
  <c r="W1426" i="3"/>
  <c r="V1426" i="3"/>
  <c r="W1425" i="3"/>
  <c r="V1425" i="3"/>
  <c r="W1424" i="3"/>
  <c r="V1424" i="3"/>
  <c r="W1423" i="3"/>
  <c r="V1423" i="3"/>
  <c r="W1422" i="3"/>
  <c r="V1422" i="3"/>
  <c r="W1421" i="3"/>
  <c r="V1421" i="3"/>
  <c r="W1420" i="3"/>
  <c r="V1420" i="3"/>
  <c r="W1419" i="3"/>
  <c r="V1419" i="3"/>
  <c r="W1418" i="3"/>
  <c r="V1418" i="3"/>
  <c r="W1417" i="3"/>
  <c r="V1417" i="3"/>
  <c r="W1416" i="3"/>
  <c r="V1416" i="3"/>
  <c r="W1415" i="3"/>
  <c r="V1415" i="3"/>
  <c r="W1414" i="3"/>
  <c r="V1414" i="3"/>
  <c r="W1413" i="3"/>
  <c r="V1413" i="3"/>
  <c r="W1412" i="3"/>
  <c r="V1412" i="3"/>
  <c r="W1411" i="3"/>
  <c r="V1411" i="3"/>
  <c r="W1410" i="3"/>
  <c r="V1410" i="3"/>
  <c r="W1409" i="3"/>
  <c r="V1409" i="3"/>
  <c r="W1408" i="3"/>
  <c r="V1408" i="3"/>
  <c r="W1407" i="3"/>
  <c r="V1407" i="3"/>
  <c r="W1406" i="3"/>
  <c r="V1406" i="3"/>
  <c r="W1405" i="3"/>
  <c r="V1405" i="3"/>
  <c r="W1404" i="3"/>
  <c r="V1404" i="3"/>
  <c r="W1403" i="3"/>
  <c r="V1403" i="3"/>
  <c r="W1402" i="3"/>
  <c r="V1402" i="3"/>
  <c r="W1401" i="3"/>
  <c r="V1401" i="3"/>
  <c r="W1400" i="3"/>
  <c r="V1400" i="3"/>
  <c r="W1399" i="3"/>
  <c r="V1399" i="3"/>
  <c r="W1398" i="3"/>
  <c r="V1398" i="3"/>
  <c r="W1397" i="3"/>
  <c r="V1397" i="3"/>
  <c r="W1396" i="3"/>
  <c r="V1396" i="3"/>
  <c r="W1395" i="3"/>
  <c r="V1395" i="3"/>
  <c r="W1394" i="3"/>
  <c r="V1394" i="3"/>
  <c r="W1393" i="3"/>
  <c r="V1393" i="3"/>
  <c r="W1392" i="3"/>
  <c r="V1392" i="3"/>
  <c r="W1391" i="3"/>
  <c r="V1391" i="3"/>
  <c r="W1390" i="3"/>
  <c r="V1390" i="3"/>
  <c r="W1389" i="3"/>
  <c r="V1389" i="3"/>
  <c r="W1388" i="3"/>
  <c r="V1388" i="3"/>
  <c r="W1387" i="3"/>
  <c r="V1387" i="3"/>
  <c r="W1386" i="3"/>
  <c r="V1386" i="3"/>
  <c r="W1385" i="3"/>
  <c r="V1385" i="3"/>
  <c r="W1384" i="3"/>
  <c r="V1384" i="3"/>
  <c r="W1383" i="3"/>
  <c r="V1383" i="3"/>
  <c r="W1382" i="3"/>
  <c r="V1382" i="3"/>
  <c r="W1381" i="3"/>
  <c r="V1381" i="3"/>
  <c r="W1380" i="3"/>
  <c r="V1380" i="3"/>
  <c r="W1379" i="3"/>
  <c r="V1379" i="3"/>
  <c r="W1378" i="3"/>
  <c r="V1378" i="3"/>
  <c r="W1377" i="3"/>
  <c r="V1377" i="3"/>
  <c r="W1376" i="3"/>
  <c r="V1376" i="3"/>
  <c r="W1375" i="3"/>
  <c r="V1375" i="3"/>
  <c r="W1374" i="3"/>
  <c r="V1374" i="3"/>
  <c r="W1373" i="3"/>
  <c r="V1373" i="3"/>
  <c r="W1372" i="3"/>
  <c r="V1372" i="3"/>
  <c r="W1371" i="3"/>
  <c r="V1371" i="3"/>
  <c r="W1370" i="3"/>
  <c r="V1370" i="3"/>
  <c r="W1369" i="3"/>
  <c r="V1369" i="3"/>
  <c r="W1368" i="3"/>
  <c r="V1368" i="3"/>
  <c r="W1367" i="3"/>
  <c r="V1367" i="3"/>
  <c r="W1366" i="3"/>
  <c r="V1366" i="3"/>
  <c r="W1365" i="3"/>
  <c r="V1365" i="3"/>
  <c r="W1364" i="3"/>
  <c r="V1364" i="3"/>
  <c r="W1363" i="3"/>
  <c r="V1363" i="3"/>
  <c r="W1362" i="3"/>
  <c r="V1362" i="3"/>
  <c r="W1361" i="3"/>
  <c r="V1361" i="3"/>
  <c r="W1360" i="3"/>
  <c r="V1360" i="3"/>
  <c r="W1359" i="3"/>
  <c r="V1359" i="3"/>
  <c r="W1358" i="3"/>
  <c r="V1358" i="3"/>
  <c r="W1357" i="3"/>
  <c r="V1357" i="3"/>
  <c r="W1356" i="3"/>
  <c r="V1356" i="3"/>
  <c r="W1355" i="3"/>
  <c r="V1355" i="3"/>
  <c r="W1354" i="3"/>
  <c r="V1354" i="3"/>
  <c r="W1353" i="3"/>
  <c r="V1353" i="3"/>
  <c r="W1352" i="3"/>
  <c r="V1352" i="3"/>
  <c r="W1351" i="3"/>
  <c r="V1351" i="3"/>
  <c r="W1350" i="3"/>
  <c r="V1350" i="3"/>
  <c r="W1349" i="3"/>
  <c r="V1349" i="3"/>
  <c r="W1348" i="3"/>
  <c r="V1348" i="3"/>
  <c r="W1347" i="3"/>
  <c r="V1347" i="3"/>
  <c r="W1346" i="3"/>
  <c r="V1346" i="3"/>
  <c r="W1345" i="3"/>
  <c r="V1345" i="3"/>
  <c r="W1344" i="3"/>
  <c r="V1344" i="3"/>
  <c r="W1343" i="3"/>
  <c r="V1343" i="3"/>
  <c r="W1342" i="3"/>
  <c r="V1342" i="3"/>
  <c r="W1341" i="3"/>
  <c r="V1341" i="3"/>
  <c r="W1340" i="3"/>
  <c r="V1340" i="3"/>
  <c r="W1339" i="3"/>
  <c r="V1339" i="3"/>
  <c r="W1338" i="3"/>
  <c r="V1338" i="3"/>
  <c r="W1337" i="3"/>
  <c r="V1337" i="3"/>
  <c r="W1336" i="3"/>
  <c r="V1336" i="3"/>
  <c r="W1335" i="3"/>
  <c r="V1335" i="3"/>
  <c r="W1334" i="3"/>
  <c r="V1334" i="3"/>
  <c r="W1333" i="3"/>
  <c r="V1333" i="3"/>
  <c r="W1332" i="3"/>
  <c r="V1332" i="3"/>
  <c r="W1331" i="3"/>
  <c r="V1331" i="3"/>
  <c r="W1330" i="3"/>
  <c r="V1330" i="3"/>
  <c r="W1329" i="3"/>
  <c r="V1329" i="3"/>
  <c r="W1328" i="3"/>
  <c r="V1328" i="3"/>
  <c r="W1327" i="3"/>
  <c r="V1327" i="3"/>
  <c r="W1326" i="3"/>
  <c r="V1326" i="3"/>
  <c r="W1325" i="3"/>
  <c r="V1325" i="3"/>
  <c r="W1324" i="3"/>
  <c r="V1324" i="3"/>
  <c r="W1323" i="3"/>
  <c r="V1323" i="3"/>
  <c r="W1322" i="3"/>
  <c r="V1322" i="3"/>
  <c r="W1321" i="3"/>
  <c r="V1321" i="3"/>
  <c r="W1320" i="3"/>
  <c r="V1320" i="3"/>
  <c r="W1319" i="3"/>
  <c r="V1319" i="3"/>
  <c r="W1318" i="3"/>
  <c r="V1318" i="3"/>
  <c r="W1317" i="3"/>
  <c r="V1317" i="3"/>
  <c r="W1316" i="3"/>
  <c r="V1316" i="3"/>
  <c r="W1315" i="3"/>
  <c r="V1315" i="3"/>
  <c r="W1314" i="3"/>
  <c r="V1314" i="3"/>
  <c r="W1313" i="3"/>
  <c r="V1313" i="3"/>
  <c r="W1312" i="3"/>
  <c r="V1312" i="3"/>
  <c r="W1311" i="3"/>
  <c r="V1311" i="3"/>
  <c r="W1310" i="3"/>
  <c r="V1310" i="3"/>
  <c r="W1309" i="3"/>
  <c r="V1309" i="3"/>
  <c r="W1308" i="3"/>
  <c r="V1308" i="3"/>
  <c r="W1307" i="3"/>
  <c r="V1307" i="3"/>
  <c r="W1306" i="3"/>
  <c r="V1306" i="3"/>
  <c r="W1305" i="3"/>
  <c r="V1305" i="3"/>
  <c r="W1304" i="3"/>
  <c r="V1304" i="3"/>
  <c r="W1303" i="3"/>
  <c r="V1303" i="3"/>
  <c r="W1302" i="3"/>
  <c r="V1302" i="3"/>
  <c r="W1301" i="3"/>
  <c r="V1301" i="3"/>
  <c r="W1300" i="3"/>
  <c r="V1300" i="3"/>
  <c r="W1299" i="3"/>
  <c r="V1299" i="3"/>
  <c r="W1298" i="3"/>
  <c r="V1298" i="3"/>
  <c r="W1297" i="3"/>
  <c r="V1297" i="3"/>
  <c r="W1296" i="3"/>
  <c r="V1296" i="3"/>
  <c r="W1295" i="3"/>
  <c r="V1295" i="3"/>
  <c r="W1294" i="3"/>
  <c r="V1294" i="3"/>
  <c r="W1293" i="3"/>
  <c r="V1293" i="3"/>
  <c r="W1292" i="3"/>
  <c r="V1292" i="3"/>
  <c r="W1291" i="3"/>
  <c r="V1291" i="3"/>
  <c r="W1290" i="3"/>
  <c r="V1290" i="3"/>
  <c r="W1289" i="3"/>
  <c r="V1289" i="3"/>
  <c r="W1288" i="3"/>
  <c r="V1288" i="3"/>
  <c r="W1287" i="3"/>
  <c r="V1287" i="3"/>
  <c r="W1286" i="3"/>
  <c r="V1286" i="3"/>
  <c r="W1285" i="3"/>
  <c r="V1285" i="3"/>
  <c r="W1284" i="3"/>
  <c r="V1284" i="3"/>
  <c r="W1283" i="3"/>
  <c r="V1283" i="3"/>
  <c r="W1282" i="3"/>
  <c r="V1282" i="3"/>
  <c r="W1281" i="3"/>
  <c r="V1281" i="3"/>
  <c r="W1280" i="3"/>
  <c r="V1280" i="3"/>
  <c r="W1279" i="3"/>
  <c r="V1279" i="3"/>
  <c r="W1278" i="3"/>
  <c r="V1278" i="3"/>
  <c r="W1277" i="3"/>
  <c r="V1277" i="3"/>
  <c r="W1276" i="3"/>
  <c r="V1276" i="3"/>
  <c r="W1275" i="3"/>
  <c r="V1275" i="3"/>
  <c r="W1274" i="3"/>
  <c r="V1274" i="3"/>
  <c r="W1273" i="3"/>
  <c r="V1273" i="3"/>
  <c r="W1272" i="3"/>
  <c r="V1272" i="3"/>
  <c r="W1271" i="3"/>
  <c r="V1271" i="3"/>
  <c r="W1270" i="3"/>
  <c r="V1270" i="3"/>
  <c r="W1269" i="3"/>
  <c r="V1269" i="3"/>
  <c r="W1268" i="3"/>
  <c r="V1268" i="3"/>
  <c r="W1267" i="3"/>
  <c r="V1267" i="3"/>
  <c r="W1266" i="3"/>
  <c r="V1266" i="3"/>
  <c r="W1265" i="3"/>
  <c r="V1265" i="3"/>
  <c r="W1264" i="3"/>
  <c r="V1264" i="3"/>
  <c r="W1263" i="3"/>
  <c r="V1263" i="3"/>
  <c r="W1262" i="3"/>
  <c r="V1262" i="3"/>
  <c r="W1261" i="3"/>
  <c r="V1261" i="3"/>
  <c r="W1260" i="3"/>
  <c r="V1260" i="3"/>
  <c r="W1259" i="3"/>
  <c r="V1259" i="3"/>
  <c r="W1258" i="3"/>
  <c r="V1258" i="3"/>
  <c r="W1257" i="3"/>
  <c r="V1257" i="3"/>
  <c r="W1256" i="3"/>
  <c r="V1256" i="3"/>
  <c r="W1255" i="3"/>
  <c r="V1255" i="3"/>
  <c r="W1254" i="3"/>
  <c r="V1254" i="3"/>
  <c r="W1253" i="3"/>
  <c r="V1253" i="3"/>
  <c r="W1252" i="3"/>
  <c r="V1252" i="3"/>
  <c r="W1251" i="3"/>
  <c r="V1251" i="3"/>
  <c r="W1250" i="3"/>
  <c r="V1250" i="3"/>
  <c r="W1249" i="3"/>
  <c r="V1249" i="3"/>
  <c r="W1248" i="3"/>
  <c r="V1248" i="3"/>
  <c r="W1247" i="3"/>
  <c r="V1247" i="3"/>
  <c r="W1246" i="3"/>
  <c r="V1246" i="3"/>
  <c r="W1245" i="3"/>
  <c r="V1245" i="3"/>
  <c r="W1244" i="3"/>
  <c r="V1244" i="3"/>
  <c r="W1243" i="3"/>
  <c r="V1243" i="3"/>
  <c r="W1242" i="3"/>
  <c r="V1242" i="3"/>
  <c r="W1241" i="3"/>
  <c r="V1241" i="3"/>
  <c r="W1240" i="3"/>
  <c r="V1240" i="3"/>
  <c r="W1239" i="3"/>
  <c r="V1239" i="3"/>
  <c r="W1238" i="3"/>
  <c r="V1238" i="3"/>
  <c r="W1237" i="3"/>
  <c r="V1237" i="3"/>
  <c r="W1236" i="3"/>
  <c r="V1236" i="3"/>
  <c r="W1235" i="3"/>
  <c r="V1235" i="3"/>
  <c r="W1234" i="3"/>
  <c r="V1234" i="3"/>
  <c r="W1233" i="3"/>
  <c r="V1233" i="3"/>
  <c r="W1232" i="3"/>
  <c r="V1232" i="3"/>
  <c r="W1231" i="3"/>
  <c r="V1231" i="3"/>
  <c r="W1230" i="3"/>
  <c r="V1230" i="3"/>
  <c r="W1229" i="3"/>
  <c r="V1229" i="3"/>
  <c r="W1228" i="3"/>
  <c r="V1228" i="3"/>
  <c r="W1227" i="3"/>
  <c r="V1227" i="3"/>
  <c r="W1226" i="3"/>
  <c r="V1226" i="3"/>
  <c r="W1225" i="3"/>
  <c r="V1225" i="3"/>
  <c r="W1224" i="3"/>
  <c r="V1224" i="3"/>
  <c r="W1223" i="3"/>
  <c r="V1223" i="3"/>
  <c r="W1222" i="3"/>
  <c r="V1222" i="3"/>
  <c r="W1221" i="3"/>
  <c r="V1221" i="3"/>
  <c r="W1220" i="3"/>
  <c r="V1220" i="3"/>
  <c r="W1219" i="3"/>
  <c r="V1219" i="3"/>
  <c r="W1218" i="3"/>
  <c r="V1218" i="3"/>
  <c r="W1217" i="3"/>
  <c r="V1217" i="3"/>
  <c r="W1216" i="3"/>
  <c r="V1216" i="3"/>
  <c r="W1215" i="3"/>
  <c r="V1215" i="3"/>
  <c r="W1214" i="3"/>
  <c r="V1214" i="3"/>
  <c r="W1213" i="3"/>
  <c r="V1213" i="3"/>
  <c r="W1212" i="3"/>
  <c r="V1212" i="3"/>
  <c r="W1211" i="3"/>
  <c r="V1211" i="3"/>
  <c r="W1210" i="3"/>
  <c r="V1210" i="3"/>
  <c r="W1209" i="3"/>
  <c r="V1209" i="3"/>
  <c r="W1208" i="3"/>
  <c r="V1208" i="3"/>
  <c r="W1207" i="3"/>
  <c r="V1207" i="3"/>
  <c r="W1206" i="3"/>
  <c r="V1206" i="3"/>
  <c r="W1205" i="3"/>
  <c r="V1205" i="3"/>
  <c r="W1204" i="3"/>
  <c r="V1204" i="3"/>
  <c r="W1203" i="3"/>
  <c r="V1203" i="3"/>
  <c r="W1202" i="3"/>
  <c r="V1202" i="3"/>
  <c r="W1201" i="3"/>
  <c r="V1201" i="3"/>
  <c r="W1200" i="3"/>
  <c r="V1200" i="3"/>
  <c r="W1199" i="3"/>
  <c r="V1199" i="3"/>
  <c r="W1198" i="3"/>
  <c r="V1198" i="3"/>
  <c r="W1197" i="3"/>
  <c r="V1197" i="3"/>
  <c r="W1196" i="3"/>
  <c r="V1196" i="3"/>
  <c r="W1195" i="3"/>
  <c r="V1195" i="3"/>
  <c r="W1194" i="3"/>
  <c r="V1194" i="3"/>
  <c r="W1193" i="3"/>
  <c r="V1193" i="3"/>
  <c r="W1192" i="3"/>
  <c r="V1192" i="3"/>
  <c r="W1191" i="3"/>
  <c r="V1191" i="3"/>
  <c r="W1190" i="3"/>
  <c r="V1190" i="3"/>
  <c r="W1189" i="3"/>
  <c r="V1189" i="3"/>
  <c r="W1188" i="3"/>
  <c r="V1188" i="3"/>
  <c r="W1187" i="3"/>
  <c r="V1187" i="3"/>
  <c r="W1186" i="3"/>
  <c r="V1186" i="3"/>
  <c r="W1185" i="3"/>
  <c r="V1185" i="3"/>
  <c r="W1184" i="3"/>
  <c r="V1184" i="3"/>
  <c r="W1183" i="3"/>
  <c r="V1183" i="3"/>
  <c r="W1182" i="3"/>
  <c r="V1182" i="3"/>
  <c r="W1181" i="3"/>
  <c r="V1181" i="3"/>
  <c r="W1180" i="3"/>
  <c r="V1180" i="3"/>
  <c r="W1179" i="3"/>
  <c r="V1179" i="3"/>
  <c r="W1178" i="3"/>
  <c r="V1178" i="3"/>
  <c r="W1177" i="3"/>
  <c r="V1177" i="3"/>
  <c r="W1176" i="3"/>
  <c r="V1176" i="3"/>
  <c r="W1175" i="3"/>
  <c r="V1175" i="3"/>
  <c r="W1174" i="3"/>
  <c r="V1174" i="3"/>
  <c r="W1173" i="3"/>
  <c r="V1173" i="3"/>
  <c r="W1172" i="3"/>
  <c r="V1172" i="3"/>
  <c r="W1171" i="3"/>
  <c r="V1171" i="3"/>
  <c r="W1170" i="3"/>
  <c r="V1170" i="3"/>
  <c r="W1169" i="3"/>
  <c r="V1169" i="3"/>
  <c r="W1168" i="3"/>
  <c r="V1168" i="3"/>
  <c r="W1167" i="3"/>
  <c r="V1167" i="3"/>
  <c r="W1166" i="3"/>
  <c r="V1166" i="3"/>
  <c r="W1165" i="3"/>
  <c r="V1165" i="3"/>
  <c r="W1164" i="3"/>
  <c r="V1164" i="3"/>
  <c r="W1163" i="3"/>
  <c r="V1163" i="3"/>
  <c r="W1162" i="3"/>
  <c r="V1162" i="3"/>
  <c r="W1161" i="3"/>
  <c r="V1161" i="3"/>
  <c r="W1160" i="3"/>
  <c r="V1160" i="3"/>
  <c r="W1159" i="3"/>
  <c r="V1159" i="3"/>
  <c r="W1158" i="3"/>
  <c r="V1158" i="3"/>
  <c r="W1157" i="3"/>
  <c r="V1157" i="3"/>
  <c r="W1156" i="3"/>
  <c r="V1156" i="3"/>
  <c r="W1155" i="3"/>
  <c r="V1155" i="3"/>
  <c r="W1154" i="3"/>
  <c r="V1154" i="3"/>
  <c r="W1153" i="3"/>
  <c r="V1153" i="3"/>
  <c r="W1152" i="3"/>
  <c r="V1152" i="3"/>
  <c r="W1151" i="3"/>
  <c r="V1151" i="3"/>
  <c r="W1150" i="3"/>
  <c r="V1150" i="3"/>
  <c r="W1149" i="3"/>
  <c r="V1149" i="3"/>
  <c r="W1148" i="3"/>
  <c r="V1148" i="3"/>
  <c r="W1147" i="3"/>
  <c r="V1147" i="3"/>
  <c r="W1146" i="3"/>
  <c r="V1146" i="3"/>
  <c r="W1145" i="3"/>
  <c r="V1145" i="3"/>
  <c r="W1144" i="3"/>
  <c r="V1144" i="3"/>
  <c r="W1143" i="3"/>
  <c r="V1143" i="3"/>
  <c r="W1142" i="3"/>
  <c r="V1142" i="3"/>
  <c r="W1141" i="3"/>
  <c r="V1141" i="3"/>
  <c r="W1140" i="3"/>
  <c r="V1140" i="3"/>
  <c r="W1139" i="3"/>
  <c r="V1139" i="3"/>
  <c r="W1138" i="3"/>
  <c r="V1138" i="3"/>
  <c r="W1137" i="3"/>
  <c r="V1137" i="3"/>
  <c r="W1136" i="3"/>
  <c r="V1136" i="3"/>
  <c r="W1135" i="3"/>
  <c r="V1135" i="3"/>
  <c r="W1134" i="3"/>
  <c r="V1134" i="3"/>
  <c r="W1133" i="3"/>
  <c r="V1133" i="3"/>
  <c r="W1132" i="3"/>
  <c r="V1132" i="3"/>
  <c r="W1131" i="3"/>
  <c r="V1131" i="3"/>
  <c r="W1130" i="3"/>
  <c r="V1130" i="3"/>
  <c r="W1129" i="3"/>
  <c r="V1129" i="3"/>
  <c r="W1128" i="3"/>
  <c r="V1128" i="3"/>
  <c r="W1127" i="3"/>
  <c r="V1127" i="3"/>
  <c r="W1126" i="3"/>
  <c r="V1126" i="3"/>
  <c r="W1125" i="3"/>
  <c r="V1125" i="3"/>
  <c r="W1124" i="3"/>
  <c r="V1124" i="3"/>
  <c r="W1123" i="3"/>
  <c r="V1123" i="3"/>
  <c r="W1122" i="3"/>
  <c r="V1122" i="3"/>
  <c r="W1121" i="3"/>
  <c r="V1121" i="3"/>
  <c r="W1120" i="3"/>
  <c r="V1120" i="3"/>
  <c r="W1119" i="3"/>
  <c r="V1119" i="3"/>
  <c r="W1118" i="3"/>
  <c r="V1118" i="3"/>
  <c r="W1117" i="3"/>
  <c r="V1117" i="3"/>
  <c r="W1116" i="3"/>
  <c r="V1116" i="3"/>
  <c r="W1115" i="3"/>
  <c r="V1115" i="3"/>
  <c r="W1114" i="3"/>
  <c r="V1114" i="3"/>
  <c r="W1113" i="3"/>
  <c r="V1113" i="3"/>
  <c r="W1112" i="3"/>
  <c r="V1112" i="3"/>
  <c r="W1111" i="3"/>
  <c r="V1111" i="3"/>
  <c r="W1110" i="3"/>
  <c r="V1110" i="3"/>
  <c r="W1109" i="3"/>
  <c r="V1109" i="3"/>
  <c r="W1108" i="3"/>
  <c r="V1108" i="3"/>
  <c r="W1107" i="3"/>
  <c r="V1107" i="3"/>
  <c r="W1106" i="3"/>
  <c r="V1106" i="3"/>
  <c r="W1105" i="3"/>
  <c r="V1105" i="3"/>
  <c r="W1104" i="3"/>
  <c r="V1104" i="3"/>
  <c r="W1103" i="3"/>
  <c r="V1103" i="3"/>
  <c r="W1102" i="3"/>
  <c r="V1102" i="3"/>
  <c r="W1101" i="3"/>
  <c r="V1101" i="3"/>
  <c r="W1100" i="3"/>
  <c r="V1100" i="3"/>
  <c r="W1099" i="3"/>
  <c r="V1099" i="3"/>
  <c r="W1098" i="3"/>
  <c r="V1098" i="3"/>
  <c r="W1097" i="3"/>
  <c r="V1097" i="3"/>
  <c r="W1096" i="3"/>
  <c r="V1096" i="3"/>
  <c r="W1095" i="3"/>
  <c r="V1095" i="3"/>
  <c r="W1094" i="3"/>
  <c r="V1094" i="3"/>
  <c r="W1093" i="3"/>
  <c r="V1093" i="3"/>
  <c r="W1092" i="3"/>
  <c r="V1092" i="3"/>
  <c r="W1091" i="3"/>
  <c r="V1091" i="3"/>
  <c r="W1090" i="3"/>
  <c r="V1090" i="3"/>
  <c r="W1089" i="3"/>
  <c r="V1089" i="3"/>
  <c r="W1088" i="3"/>
  <c r="V1088" i="3"/>
  <c r="W1087" i="3"/>
  <c r="V1087" i="3"/>
  <c r="W1086" i="3"/>
  <c r="V1086" i="3"/>
  <c r="W1085" i="3"/>
  <c r="V1085" i="3"/>
  <c r="W1084" i="3"/>
  <c r="V1084" i="3"/>
  <c r="W1083" i="3"/>
  <c r="V1083" i="3"/>
  <c r="W1082" i="3"/>
  <c r="V1082" i="3"/>
  <c r="W1081" i="3"/>
  <c r="V1081" i="3"/>
  <c r="W1080" i="3"/>
  <c r="V1080" i="3"/>
  <c r="W1079" i="3"/>
  <c r="V1079" i="3"/>
  <c r="W1078" i="3"/>
  <c r="V1078" i="3"/>
  <c r="W1077" i="3"/>
  <c r="V1077" i="3"/>
  <c r="W1076" i="3"/>
  <c r="V1076" i="3"/>
  <c r="W1075" i="3"/>
  <c r="V1075" i="3"/>
  <c r="W1074" i="3"/>
  <c r="V1074" i="3"/>
  <c r="W1073" i="3"/>
  <c r="V1073" i="3"/>
  <c r="W1072" i="3"/>
  <c r="V1072" i="3"/>
  <c r="W1071" i="3"/>
  <c r="V1071" i="3"/>
  <c r="W1070" i="3"/>
  <c r="V1070" i="3"/>
  <c r="W1069" i="3"/>
  <c r="V1069" i="3"/>
  <c r="W1068" i="3"/>
  <c r="V1068" i="3"/>
  <c r="W1067" i="3"/>
  <c r="V1067" i="3"/>
  <c r="W1066" i="3"/>
  <c r="V1066" i="3"/>
  <c r="W1065" i="3"/>
  <c r="V1065" i="3"/>
  <c r="W1064" i="3"/>
  <c r="V1064" i="3"/>
  <c r="W1063" i="3"/>
  <c r="V1063" i="3"/>
  <c r="W1062" i="3"/>
  <c r="V1062" i="3"/>
  <c r="W1061" i="3"/>
  <c r="V1061" i="3"/>
  <c r="W1060" i="3"/>
  <c r="V1060" i="3"/>
  <c r="W1059" i="3"/>
  <c r="V1059" i="3"/>
  <c r="W1058" i="3"/>
  <c r="V1058" i="3"/>
  <c r="W1057" i="3"/>
  <c r="V1057" i="3"/>
  <c r="W1056" i="3"/>
  <c r="V1056" i="3"/>
  <c r="W1055" i="3"/>
  <c r="V1055" i="3"/>
  <c r="W1054" i="3"/>
  <c r="V1054" i="3"/>
  <c r="W1053" i="3"/>
  <c r="V1053" i="3"/>
  <c r="W1052" i="3"/>
  <c r="V1052" i="3"/>
  <c r="W1051" i="3"/>
  <c r="V1051" i="3"/>
  <c r="W1050" i="3"/>
  <c r="V1050" i="3"/>
  <c r="W1049" i="3"/>
  <c r="V1049" i="3"/>
  <c r="W1048" i="3"/>
  <c r="V1048" i="3"/>
  <c r="W1047" i="3"/>
  <c r="V1047" i="3"/>
  <c r="W1046" i="3"/>
  <c r="V1046" i="3"/>
  <c r="W1045" i="3"/>
  <c r="V1045" i="3"/>
  <c r="W1044" i="3"/>
  <c r="V1044" i="3"/>
  <c r="W1043" i="3"/>
  <c r="V1043" i="3"/>
  <c r="W1042" i="3"/>
  <c r="V1042" i="3"/>
  <c r="W1041" i="3"/>
  <c r="V1041" i="3"/>
  <c r="W1040" i="3"/>
  <c r="V1040" i="3"/>
  <c r="W1039" i="3"/>
  <c r="V1039" i="3"/>
  <c r="W1038" i="3"/>
  <c r="V1038" i="3"/>
  <c r="W1037" i="3"/>
  <c r="V1037" i="3"/>
  <c r="W1036" i="3"/>
  <c r="V1036" i="3"/>
  <c r="W1035" i="3"/>
  <c r="V1035" i="3"/>
  <c r="W1034" i="3"/>
  <c r="V1034" i="3"/>
  <c r="W1033" i="3"/>
  <c r="V1033" i="3"/>
  <c r="W1032" i="3"/>
  <c r="V1032" i="3"/>
  <c r="W1031" i="3"/>
  <c r="V1031" i="3"/>
  <c r="W1030" i="3"/>
  <c r="V1030" i="3"/>
  <c r="W1029" i="3"/>
  <c r="V1029" i="3"/>
  <c r="W1028" i="3"/>
  <c r="V1028" i="3"/>
  <c r="W1027" i="3"/>
  <c r="V1027" i="3"/>
  <c r="W1026" i="3"/>
  <c r="V1026" i="3"/>
  <c r="W1025" i="3"/>
  <c r="V1025" i="3"/>
  <c r="W1024" i="3"/>
  <c r="V1024" i="3"/>
  <c r="W1023" i="3"/>
  <c r="V1023" i="3"/>
  <c r="W1022" i="3"/>
  <c r="V1022" i="3"/>
  <c r="W1021" i="3"/>
  <c r="V1021" i="3"/>
  <c r="W1020" i="3"/>
  <c r="V1020" i="3"/>
  <c r="W1019" i="3"/>
  <c r="V1019" i="3"/>
  <c r="W1018" i="3"/>
  <c r="V1018" i="3"/>
  <c r="W1017" i="3"/>
  <c r="V1017" i="3"/>
  <c r="W1016" i="3"/>
  <c r="V1016" i="3"/>
  <c r="W1015" i="3"/>
  <c r="V1015" i="3"/>
  <c r="W1014" i="3"/>
  <c r="V1014" i="3"/>
  <c r="W1013" i="3"/>
  <c r="V1013" i="3"/>
  <c r="W1012" i="3"/>
  <c r="V1012" i="3"/>
  <c r="W1011" i="3"/>
  <c r="V1011" i="3"/>
  <c r="W1010" i="3"/>
  <c r="V1010" i="3"/>
  <c r="W1009" i="3"/>
  <c r="V1009" i="3"/>
  <c r="W1008" i="3"/>
  <c r="V1008" i="3"/>
  <c r="W1007" i="3"/>
  <c r="V1007" i="3"/>
  <c r="W1006" i="3"/>
  <c r="V1006" i="3"/>
  <c r="W1005" i="3"/>
  <c r="V1005" i="3"/>
  <c r="W1004" i="3"/>
  <c r="V1004" i="3"/>
  <c r="W1003" i="3"/>
  <c r="V1003" i="3"/>
  <c r="W1002" i="3"/>
  <c r="V1002" i="3"/>
  <c r="W1001" i="3"/>
  <c r="V1001" i="3"/>
  <c r="W1000" i="3"/>
  <c r="V1000" i="3"/>
  <c r="W999" i="3"/>
  <c r="V999" i="3"/>
  <c r="W998" i="3"/>
  <c r="V998" i="3"/>
  <c r="W997" i="3"/>
  <c r="V997" i="3"/>
  <c r="W996" i="3"/>
  <c r="V996" i="3"/>
  <c r="W995" i="3"/>
  <c r="V995" i="3"/>
  <c r="W994" i="3"/>
  <c r="V994" i="3"/>
  <c r="W993" i="3"/>
  <c r="V993" i="3"/>
  <c r="W992" i="3"/>
  <c r="V992" i="3"/>
  <c r="W991" i="3"/>
  <c r="V991" i="3"/>
  <c r="W990" i="3"/>
  <c r="V990" i="3"/>
  <c r="W989" i="3"/>
  <c r="V989" i="3"/>
  <c r="W988" i="3"/>
  <c r="V988" i="3"/>
  <c r="W987" i="3"/>
  <c r="V987" i="3"/>
  <c r="W986" i="3"/>
  <c r="V986" i="3"/>
  <c r="W985" i="3"/>
  <c r="V985" i="3"/>
  <c r="W984" i="3"/>
  <c r="V984" i="3"/>
  <c r="W983" i="3"/>
  <c r="V983" i="3"/>
  <c r="W982" i="3"/>
  <c r="V982" i="3"/>
  <c r="W981" i="3"/>
  <c r="V981" i="3"/>
  <c r="W980" i="3"/>
  <c r="V980" i="3"/>
  <c r="W979" i="3"/>
  <c r="V979" i="3"/>
  <c r="W978" i="3"/>
  <c r="V978" i="3"/>
  <c r="W977" i="3"/>
  <c r="V977" i="3"/>
  <c r="W976" i="3"/>
  <c r="V976" i="3"/>
  <c r="W975" i="3"/>
  <c r="V975" i="3"/>
  <c r="W974" i="3"/>
  <c r="V974" i="3"/>
  <c r="W973" i="3"/>
  <c r="V973" i="3"/>
  <c r="W972" i="3"/>
  <c r="V972" i="3"/>
  <c r="W971" i="3"/>
  <c r="V971" i="3"/>
  <c r="W970" i="3"/>
  <c r="V970" i="3"/>
  <c r="W969" i="3"/>
  <c r="V969" i="3"/>
  <c r="W968" i="3"/>
  <c r="V968" i="3"/>
  <c r="W967" i="3"/>
  <c r="V967" i="3"/>
  <c r="W966" i="3"/>
  <c r="V966" i="3"/>
  <c r="W965" i="3"/>
  <c r="V965" i="3"/>
  <c r="W964" i="3"/>
  <c r="V964" i="3"/>
  <c r="W963" i="3"/>
  <c r="V963" i="3"/>
  <c r="W962" i="3"/>
  <c r="V962" i="3"/>
  <c r="W961" i="3"/>
  <c r="V961" i="3"/>
  <c r="W960" i="3"/>
  <c r="V960" i="3"/>
  <c r="W959" i="3"/>
  <c r="V959" i="3"/>
  <c r="W958" i="3"/>
  <c r="V958" i="3"/>
  <c r="W957" i="3"/>
  <c r="V957" i="3"/>
  <c r="W956" i="3"/>
  <c r="V956" i="3"/>
  <c r="W955" i="3"/>
  <c r="V955" i="3"/>
  <c r="W954" i="3"/>
  <c r="V954" i="3"/>
  <c r="W953" i="3"/>
  <c r="V953" i="3"/>
  <c r="W952" i="3"/>
  <c r="V952" i="3"/>
  <c r="W951" i="3"/>
  <c r="V951" i="3"/>
  <c r="W950" i="3"/>
  <c r="V950" i="3"/>
  <c r="W949" i="3"/>
  <c r="V949" i="3"/>
  <c r="W948" i="3"/>
  <c r="V948" i="3"/>
  <c r="W947" i="3"/>
  <c r="V947" i="3"/>
  <c r="W946" i="3"/>
  <c r="V946" i="3"/>
  <c r="W945" i="3"/>
  <c r="V945" i="3"/>
  <c r="W944" i="3"/>
  <c r="V944" i="3"/>
  <c r="W943" i="3"/>
  <c r="V943" i="3"/>
  <c r="W942" i="3"/>
  <c r="V942" i="3"/>
  <c r="W941" i="3"/>
  <c r="V941" i="3"/>
  <c r="W940" i="3"/>
  <c r="V940" i="3"/>
  <c r="W939" i="3"/>
  <c r="V939" i="3"/>
  <c r="W938" i="3"/>
  <c r="V938" i="3"/>
  <c r="W937" i="3"/>
  <c r="V937" i="3"/>
  <c r="W936" i="3"/>
  <c r="V936" i="3"/>
  <c r="W935" i="3"/>
  <c r="V935" i="3"/>
  <c r="W934" i="3"/>
  <c r="V934" i="3"/>
  <c r="W933" i="3"/>
  <c r="V933" i="3"/>
  <c r="W932" i="3"/>
  <c r="V932" i="3"/>
  <c r="W931" i="3"/>
  <c r="V931" i="3"/>
  <c r="W930" i="3"/>
  <c r="V930" i="3"/>
  <c r="W929" i="3"/>
  <c r="V929" i="3"/>
  <c r="W928" i="3"/>
  <c r="V928" i="3"/>
  <c r="W927" i="3"/>
  <c r="V927" i="3"/>
  <c r="W926" i="3"/>
  <c r="V926" i="3"/>
  <c r="W925" i="3"/>
  <c r="V925" i="3"/>
  <c r="W924" i="3"/>
  <c r="V924" i="3"/>
  <c r="W923" i="3"/>
  <c r="V923" i="3"/>
  <c r="W922" i="3"/>
  <c r="V922" i="3"/>
  <c r="W921" i="3"/>
  <c r="V921" i="3"/>
  <c r="W920" i="3"/>
  <c r="V920" i="3"/>
  <c r="W919" i="3"/>
  <c r="V919" i="3"/>
  <c r="W918" i="3"/>
  <c r="V918" i="3"/>
  <c r="W917" i="3"/>
  <c r="V917" i="3"/>
  <c r="W916" i="3"/>
  <c r="V916" i="3"/>
  <c r="W915" i="3"/>
  <c r="V915" i="3"/>
  <c r="W914" i="3"/>
  <c r="V914" i="3"/>
  <c r="W913" i="3"/>
  <c r="V913" i="3"/>
  <c r="W912" i="3"/>
  <c r="V912" i="3"/>
  <c r="W911" i="3"/>
  <c r="V911" i="3"/>
  <c r="W910" i="3"/>
  <c r="V910" i="3"/>
  <c r="W909" i="3"/>
  <c r="V909" i="3"/>
  <c r="W908" i="3"/>
  <c r="V908" i="3"/>
  <c r="W907" i="3"/>
  <c r="V907" i="3"/>
  <c r="W906" i="3"/>
  <c r="V906" i="3"/>
  <c r="W905" i="3"/>
  <c r="V905" i="3"/>
  <c r="W904" i="3"/>
  <c r="V904" i="3"/>
  <c r="W903" i="3"/>
  <c r="V903" i="3"/>
  <c r="W902" i="3"/>
  <c r="V902" i="3"/>
  <c r="W901" i="3"/>
  <c r="V901" i="3"/>
  <c r="W900" i="3"/>
  <c r="V900" i="3"/>
  <c r="W899" i="3"/>
  <c r="V899" i="3"/>
  <c r="W898" i="3"/>
  <c r="V898" i="3"/>
  <c r="W897" i="3"/>
  <c r="V897" i="3"/>
  <c r="W896" i="3"/>
  <c r="V896" i="3"/>
  <c r="W895" i="3"/>
  <c r="V895" i="3"/>
  <c r="W894" i="3"/>
  <c r="V894" i="3"/>
  <c r="W893" i="3"/>
  <c r="V893" i="3"/>
  <c r="W892" i="3"/>
  <c r="V892" i="3"/>
  <c r="W891" i="3"/>
  <c r="V891" i="3"/>
  <c r="W890" i="3"/>
  <c r="V890" i="3"/>
  <c r="W889" i="3"/>
  <c r="V889" i="3"/>
  <c r="W888" i="3"/>
  <c r="V888" i="3"/>
  <c r="W887" i="3"/>
  <c r="V887" i="3"/>
  <c r="W886" i="3"/>
  <c r="V886" i="3"/>
  <c r="W885" i="3"/>
  <c r="V885" i="3"/>
  <c r="W884" i="3"/>
  <c r="V884" i="3"/>
  <c r="W883" i="3"/>
  <c r="V883" i="3"/>
  <c r="W882" i="3"/>
  <c r="V882" i="3"/>
  <c r="W881" i="3"/>
  <c r="V881" i="3"/>
  <c r="W880" i="3"/>
  <c r="V880" i="3"/>
  <c r="W879" i="3"/>
  <c r="V879" i="3"/>
  <c r="W878" i="3"/>
  <c r="V878" i="3"/>
  <c r="W877" i="3"/>
  <c r="V877" i="3"/>
  <c r="W876" i="3"/>
  <c r="V876" i="3"/>
  <c r="W875" i="3"/>
  <c r="V875" i="3"/>
  <c r="W874" i="3"/>
  <c r="V874" i="3"/>
  <c r="W873" i="3"/>
  <c r="V873" i="3"/>
  <c r="W872" i="3"/>
  <c r="V872" i="3"/>
  <c r="W871" i="3"/>
  <c r="V871" i="3"/>
  <c r="W870" i="3"/>
  <c r="V870" i="3"/>
  <c r="W869" i="3"/>
  <c r="V869" i="3"/>
  <c r="W868" i="3"/>
  <c r="V868" i="3"/>
  <c r="W867" i="3"/>
  <c r="V867" i="3"/>
  <c r="W866" i="3"/>
  <c r="V866" i="3"/>
  <c r="W865" i="3"/>
  <c r="V865" i="3"/>
  <c r="W864" i="3"/>
  <c r="V864" i="3"/>
  <c r="W863" i="3"/>
  <c r="V863" i="3"/>
  <c r="W862" i="3"/>
  <c r="V862" i="3"/>
  <c r="W861" i="3"/>
  <c r="V861" i="3"/>
  <c r="W860" i="3"/>
  <c r="V860" i="3"/>
  <c r="W859" i="3"/>
  <c r="V859" i="3"/>
  <c r="W858" i="3"/>
  <c r="V858" i="3"/>
  <c r="W857" i="3"/>
  <c r="V857" i="3"/>
  <c r="W856" i="3"/>
  <c r="V856" i="3"/>
  <c r="W855" i="3"/>
  <c r="V855" i="3"/>
  <c r="W854" i="3"/>
  <c r="V854" i="3"/>
  <c r="W853" i="3"/>
  <c r="V853" i="3"/>
  <c r="W852" i="3"/>
  <c r="V852" i="3"/>
  <c r="W851" i="3"/>
  <c r="V851" i="3"/>
  <c r="W850" i="3"/>
  <c r="V850" i="3"/>
  <c r="W849" i="3"/>
  <c r="V849" i="3"/>
  <c r="W848" i="3"/>
  <c r="V848" i="3"/>
  <c r="W847" i="3"/>
  <c r="V847" i="3"/>
  <c r="W846" i="3"/>
  <c r="V846" i="3"/>
  <c r="W845" i="3"/>
  <c r="V845" i="3"/>
  <c r="W844" i="3"/>
  <c r="V844" i="3"/>
  <c r="W843" i="3"/>
  <c r="V843" i="3"/>
  <c r="W842" i="3"/>
  <c r="V842" i="3"/>
  <c r="W841" i="3"/>
  <c r="V841" i="3"/>
  <c r="W840" i="3"/>
  <c r="V840" i="3"/>
  <c r="W839" i="3"/>
  <c r="V839" i="3"/>
  <c r="W838" i="3"/>
  <c r="V838" i="3"/>
  <c r="W837" i="3"/>
  <c r="V837" i="3"/>
  <c r="W836" i="3"/>
  <c r="V836" i="3"/>
  <c r="W835" i="3"/>
  <c r="V835" i="3"/>
  <c r="W834" i="3"/>
  <c r="V834" i="3"/>
  <c r="W833" i="3"/>
  <c r="V833" i="3"/>
  <c r="W832" i="3"/>
  <c r="V832" i="3"/>
  <c r="W831" i="3"/>
  <c r="V831" i="3"/>
  <c r="W830" i="3"/>
  <c r="V830" i="3"/>
  <c r="W829" i="3"/>
  <c r="V829" i="3"/>
  <c r="W828" i="3"/>
  <c r="V828" i="3"/>
  <c r="W827" i="3"/>
  <c r="V827" i="3"/>
  <c r="W826" i="3"/>
  <c r="V826" i="3"/>
  <c r="W825" i="3"/>
  <c r="V825" i="3"/>
  <c r="W824" i="3"/>
  <c r="V824" i="3"/>
  <c r="W823" i="3"/>
  <c r="V823" i="3"/>
  <c r="W822" i="3"/>
  <c r="V822" i="3"/>
  <c r="W821" i="3"/>
  <c r="V821" i="3"/>
  <c r="W820" i="3"/>
  <c r="V820" i="3"/>
  <c r="W819" i="3"/>
  <c r="V819" i="3"/>
  <c r="W818" i="3"/>
  <c r="V818" i="3"/>
  <c r="W817" i="3"/>
  <c r="V817" i="3"/>
  <c r="W816" i="3"/>
  <c r="V816" i="3"/>
  <c r="W815" i="3"/>
  <c r="V815" i="3"/>
  <c r="W814" i="3"/>
  <c r="V814" i="3"/>
  <c r="W813" i="3"/>
  <c r="V813" i="3"/>
  <c r="W812" i="3"/>
  <c r="V812" i="3"/>
  <c r="W811" i="3"/>
  <c r="V811" i="3"/>
  <c r="W810" i="3"/>
  <c r="V810" i="3"/>
  <c r="W809" i="3"/>
  <c r="V809" i="3"/>
  <c r="W808" i="3"/>
  <c r="V808" i="3"/>
  <c r="W807" i="3"/>
  <c r="V807" i="3"/>
  <c r="W806" i="3"/>
  <c r="V806" i="3"/>
  <c r="W805" i="3"/>
  <c r="V805" i="3"/>
  <c r="W804" i="3"/>
  <c r="V804" i="3"/>
  <c r="W803" i="3"/>
  <c r="V803" i="3"/>
  <c r="W802" i="3"/>
  <c r="V802" i="3"/>
  <c r="W801" i="3"/>
  <c r="V801" i="3"/>
  <c r="W800" i="3"/>
  <c r="V800" i="3"/>
  <c r="W799" i="3"/>
  <c r="V799" i="3"/>
  <c r="W798" i="3"/>
  <c r="V798" i="3"/>
  <c r="W797" i="3"/>
  <c r="V797" i="3"/>
  <c r="W796" i="3"/>
  <c r="V796" i="3"/>
  <c r="W795" i="3"/>
  <c r="V795" i="3"/>
  <c r="W794" i="3"/>
  <c r="V794" i="3"/>
  <c r="W793" i="3"/>
  <c r="V793" i="3"/>
  <c r="W792" i="3"/>
  <c r="V792" i="3"/>
  <c r="W791" i="3"/>
  <c r="V791" i="3"/>
  <c r="W790" i="3"/>
  <c r="V790" i="3"/>
  <c r="W789" i="3"/>
  <c r="V789" i="3"/>
  <c r="W788" i="3"/>
  <c r="V788" i="3"/>
  <c r="W787" i="3"/>
  <c r="V787" i="3"/>
  <c r="W786" i="3"/>
  <c r="V786" i="3"/>
  <c r="W785" i="3"/>
  <c r="V785" i="3"/>
  <c r="W784" i="3"/>
  <c r="V784" i="3"/>
  <c r="W783" i="3"/>
  <c r="V783" i="3"/>
  <c r="W782" i="3"/>
  <c r="V782" i="3"/>
  <c r="W781" i="3"/>
  <c r="V781" i="3"/>
  <c r="W780" i="3"/>
  <c r="V780" i="3"/>
  <c r="W779" i="3"/>
  <c r="V779" i="3"/>
  <c r="W778" i="3"/>
  <c r="V778" i="3"/>
  <c r="W777" i="3"/>
  <c r="V777" i="3"/>
  <c r="W776" i="3"/>
  <c r="V776" i="3"/>
  <c r="W775" i="3"/>
  <c r="V775" i="3"/>
  <c r="W774" i="3"/>
  <c r="V774" i="3"/>
  <c r="W773" i="3"/>
  <c r="V773" i="3"/>
  <c r="W772" i="3"/>
  <c r="V772" i="3"/>
  <c r="W771" i="3"/>
  <c r="V771" i="3"/>
  <c r="W770" i="3"/>
  <c r="V770" i="3"/>
  <c r="W769" i="3"/>
  <c r="V769" i="3"/>
  <c r="W768" i="3"/>
  <c r="V768" i="3"/>
  <c r="W767" i="3"/>
  <c r="V767" i="3"/>
  <c r="W766" i="3"/>
  <c r="V766" i="3"/>
  <c r="W765" i="3"/>
  <c r="V765" i="3"/>
  <c r="W764" i="3"/>
  <c r="V764" i="3"/>
  <c r="W763" i="3"/>
  <c r="V763" i="3"/>
  <c r="W762" i="3"/>
  <c r="V762" i="3"/>
  <c r="W761" i="3"/>
  <c r="V761" i="3"/>
  <c r="W760" i="3"/>
  <c r="V760" i="3"/>
  <c r="W759" i="3"/>
  <c r="V759" i="3"/>
  <c r="W758" i="3"/>
  <c r="V758" i="3"/>
  <c r="W757" i="3"/>
  <c r="V757" i="3"/>
  <c r="W756" i="3"/>
  <c r="V756" i="3"/>
  <c r="W755" i="3"/>
  <c r="V755" i="3"/>
  <c r="W754" i="3"/>
  <c r="V754" i="3"/>
  <c r="W753" i="3"/>
  <c r="V753" i="3"/>
  <c r="W752" i="3"/>
  <c r="V752" i="3"/>
  <c r="W751" i="3"/>
  <c r="V751" i="3"/>
  <c r="W750" i="3"/>
  <c r="V750" i="3"/>
  <c r="W749" i="3"/>
  <c r="V749" i="3"/>
  <c r="W748" i="3"/>
  <c r="V748" i="3"/>
  <c r="W747" i="3"/>
  <c r="V747" i="3"/>
  <c r="W746" i="3"/>
  <c r="V746" i="3"/>
  <c r="W745" i="3"/>
  <c r="V745" i="3"/>
  <c r="W744" i="3"/>
  <c r="V744" i="3"/>
  <c r="W743" i="3"/>
  <c r="V743" i="3"/>
  <c r="W742" i="3"/>
  <c r="V742" i="3"/>
  <c r="W741" i="3"/>
  <c r="V741" i="3"/>
  <c r="W740" i="3"/>
  <c r="V740" i="3"/>
  <c r="W739" i="3"/>
  <c r="V739" i="3"/>
  <c r="W738" i="3"/>
  <c r="V738" i="3"/>
  <c r="W737" i="3"/>
  <c r="V737" i="3"/>
  <c r="W736" i="3"/>
  <c r="V736" i="3"/>
  <c r="W735" i="3"/>
  <c r="V735" i="3"/>
  <c r="W734" i="3"/>
  <c r="V734" i="3"/>
  <c r="W733" i="3"/>
  <c r="V733" i="3"/>
  <c r="W732" i="3"/>
  <c r="V732" i="3"/>
  <c r="W731" i="3"/>
  <c r="V731" i="3"/>
  <c r="W730" i="3"/>
  <c r="V730" i="3"/>
  <c r="W729" i="3"/>
  <c r="V729" i="3"/>
  <c r="W728" i="3"/>
  <c r="V728" i="3"/>
  <c r="W727" i="3"/>
  <c r="V727" i="3"/>
  <c r="W726" i="3"/>
  <c r="V726" i="3"/>
  <c r="W725" i="3"/>
  <c r="V725" i="3"/>
  <c r="W724" i="3"/>
  <c r="V724" i="3"/>
  <c r="W723" i="3"/>
  <c r="V723" i="3"/>
  <c r="W722" i="3"/>
  <c r="V722" i="3"/>
  <c r="W721" i="3"/>
  <c r="V721" i="3"/>
  <c r="W720" i="3"/>
  <c r="V720" i="3"/>
  <c r="W719" i="3"/>
  <c r="V719" i="3"/>
  <c r="W718" i="3"/>
  <c r="V718" i="3"/>
  <c r="W717" i="3"/>
  <c r="V717" i="3"/>
  <c r="W716" i="3"/>
  <c r="V716" i="3"/>
  <c r="W715" i="3"/>
  <c r="V715" i="3"/>
  <c r="W714" i="3"/>
  <c r="V714" i="3"/>
  <c r="W713" i="3"/>
  <c r="V713" i="3"/>
  <c r="W712" i="3"/>
  <c r="V712" i="3"/>
  <c r="W711" i="3"/>
  <c r="V711" i="3"/>
  <c r="W710" i="3"/>
  <c r="V710" i="3"/>
  <c r="W709" i="3"/>
  <c r="V709" i="3"/>
  <c r="W708" i="3"/>
  <c r="V708" i="3"/>
  <c r="W707" i="3"/>
  <c r="V707" i="3"/>
  <c r="W706" i="3"/>
  <c r="V706" i="3"/>
  <c r="W705" i="3"/>
  <c r="V705" i="3"/>
  <c r="W704" i="3"/>
  <c r="V704" i="3"/>
  <c r="W703" i="3"/>
  <c r="V703" i="3"/>
  <c r="W702" i="3"/>
  <c r="V702" i="3"/>
  <c r="W701" i="3"/>
  <c r="V701" i="3"/>
  <c r="W700" i="3"/>
  <c r="V700" i="3"/>
  <c r="W699" i="3"/>
  <c r="V699" i="3"/>
  <c r="W698" i="3"/>
  <c r="V698" i="3"/>
  <c r="W697" i="3"/>
  <c r="V697" i="3"/>
  <c r="W696" i="3"/>
  <c r="V696" i="3"/>
  <c r="W695" i="3"/>
  <c r="V695" i="3"/>
  <c r="W694" i="3"/>
  <c r="V694" i="3"/>
  <c r="W693" i="3"/>
  <c r="V693" i="3"/>
  <c r="W692" i="3"/>
  <c r="V692" i="3"/>
  <c r="W691" i="3"/>
  <c r="V691" i="3"/>
  <c r="W690" i="3"/>
  <c r="V690" i="3"/>
  <c r="W689" i="3"/>
  <c r="V689" i="3"/>
  <c r="W688" i="3"/>
  <c r="V688" i="3"/>
  <c r="W687" i="3"/>
  <c r="V687" i="3"/>
  <c r="W686" i="3"/>
  <c r="V686" i="3"/>
  <c r="W685" i="3"/>
  <c r="V685" i="3"/>
  <c r="W684" i="3"/>
  <c r="V684" i="3"/>
  <c r="W683" i="3"/>
  <c r="V683" i="3"/>
  <c r="W682" i="3"/>
  <c r="V682" i="3"/>
  <c r="W681" i="3"/>
  <c r="V681" i="3"/>
  <c r="W680" i="3"/>
  <c r="V680" i="3"/>
  <c r="W679" i="3"/>
  <c r="V679" i="3"/>
  <c r="W678" i="3"/>
  <c r="V678" i="3"/>
  <c r="W677" i="3"/>
  <c r="V677" i="3"/>
  <c r="W676" i="3"/>
  <c r="V676" i="3"/>
  <c r="W675" i="3"/>
  <c r="V675" i="3"/>
  <c r="W674" i="3"/>
  <c r="V674" i="3"/>
  <c r="W673" i="3"/>
  <c r="V673" i="3"/>
  <c r="W672" i="3"/>
  <c r="V672" i="3"/>
  <c r="W671" i="3"/>
  <c r="V671" i="3"/>
  <c r="W670" i="3"/>
  <c r="V670" i="3"/>
  <c r="W669" i="3"/>
  <c r="V669" i="3"/>
  <c r="W668" i="3"/>
  <c r="V668" i="3"/>
  <c r="W667" i="3"/>
  <c r="V667" i="3"/>
  <c r="W666" i="3"/>
  <c r="V666" i="3"/>
  <c r="W665" i="3"/>
  <c r="V665" i="3"/>
  <c r="W664" i="3"/>
  <c r="V664" i="3"/>
  <c r="W663" i="3"/>
  <c r="V663" i="3"/>
  <c r="W662" i="3"/>
  <c r="V662" i="3"/>
  <c r="W661" i="3"/>
  <c r="V661" i="3"/>
  <c r="W660" i="3"/>
  <c r="V660" i="3"/>
  <c r="W659" i="3"/>
  <c r="V659" i="3"/>
  <c r="W658" i="3"/>
  <c r="V658" i="3"/>
  <c r="W657" i="3"/>
  <c r="V657" i="3"/>
  <c r="W656" i="3"/>
  <c r="V656" i="3"/>
  <c r="W655" i="3"/>
  <c r="V655" i="3"/>
  <c r="W654" i="3"/>
  <c r="V654" i="3"/>
  <c r="W653" i="3"/>
  <c r="V653" i="3"/>
  <c r="W652" i="3"/>
  <c r="V652" i="3"/>
  <c r="W651" i="3"/>
  <c r="V651" i="3"/>
  <c r="W650" i="3"/>
  <c r="V650" i="3"/>
  <c r="W649" i="3"/>
  <c r="V649" i="3"/>
  <c r="W648" i="3"/>
  <c r="V648" i="3"/>
  <c r="W647" i="3"/>
  <c r="V647" i="3"/>
  <c r="W646" i="3"/>
  <c r="V646" i="3"/>
  <c r="W645" i="3"/>
  <c r="V645" i="3"/>
  <c r="W644" i="3"/>
  <c r="V644" i="3"/>
  <c r="W643" i="3"/>
  <c r="V643" i="3"/>
  <c r="W642" i="3"/>
  <c r="V642" i="3"/>
  <c r="W641" i="3"/>
  <c r="V641" i="3"/>
  <c r="W640" i="3"/>
  <c r="V640" i="3"/>
  <c r="W639" i="3"/>
  <c r="V639" i="3"/>
  <c r="W638" i="3"/>
  <c r="V638" i="3"/>
  <c r="W637" i="3"/>
  <c r="V637" i="3"/>
  <c r="W636" i="3"/>
  <c r="V636" i="3"/>
  <c r="W635" i="3"/>
  <c r="V635" i="3"/>
  <c r="W634" i="3"/>
  <c r="V634" i="3"/>
  <c r="W633" i="3"/>
  <c r="V633" i="3"/>
  <c r="W632" i="3"/>
  <c r="V632" i="3"/>
  <c r="W631" i="3"/>
  <c r="V631" i="3"/>
  <c r="W630" i="3"/>
  <c r="V630" i="3"/>
  <c r="W629" i="3"/>
  <c r="V629" i="3"/>
  <c r="W628" i="3"/>
  <c r="V628" i="3"/>
  <c r="W627" i="3"/>
  <c r="V627" i="3"/>
  <c r="W626" i="3"/>
  <c r="V626" i="3"/>
  <c r="W625" i="3"/>
  <c r="V625" i="3"/>
  <c r="W624" i="3"/>
  <c r="V624" i="3"/>
  <c r="W623" i="3"/>
  <c r="V623" i="3"/>
  <c r="W622" i="3"/>
  <c r="V622" i="3"/>
  <c r="W621" i="3"/>
  <c r="V621" i="3"/>
  <c r="W620" i="3"/>
  <c r="V620" i="3"/>
  <c r="W619" i="3"/>
  <c r="V619" i="3"/>
  <c r="W618" i="3"/>
  <c r="V618" i="3"/>
  <c r="W617" i="3"/>
  <c r="V617" i="3"/>
  <c r="W616" i="3"/>
  <c r="V616" i="3"/>
  <c r="W615" i="3"/>
  <c r="V615" i="3"/>
  <c r="W614" i="3"/>
  <c r="V614" i="3"/>
  <c r="W613" i="3"/>
  <c r="V613" i="3"/>
  <c r="W612" i="3"/>
  <c r="V612" i="3"/>
  <c r="W611" i="3"/>
  <c r="V611" i="3"/>
  <c r="W610" i="3"/>
  <c r="V610" i="3"/>
  <c r="W609" i="3"/>
  <c r="V609" i="3"/>
  <c r="W608" i="3"/>
  <c r="V608" i="3"/>
  <c r="W607" i="3"/>
  <c r="V607" i="3"/>
  <c r="W606" i="3"/>
  <c r="V606" i="3"/>
  <c r="W605" i="3"/>
  <c r="V605" i="3"/>
  <c r="W604" i="3"/>
  <c r="V604" i="3"/>
  <c r="W603" i="3"/>
  <c r="V603" i="3"/>
  <c r="W602" i="3"/>
  <c r="V602" i="3"/>
  <c r="W601" i="3"/>
  <c r="V601" i="3"/>
  <c r="W600" i="3"/>
  <c r="V600" i="3"/>
  <c r="W599" i="3"/>
  <c r="V599" i="3"/>
  <c r="W598" i="3"/>
  <c r="V598" i="3"/>
  <c r="W597" i="3"/>
  <c r="V597" i="3"/>
  <c r="W596" i="3"/>
  <c r="V596" i="3"/>
  <c r="W595" i="3"/>
  <c r="V595" i="3"/>
  <c r="W594" i="3"/>
  <c r="V594" i="3"/>
  <c r="W593" i="3"/>
  <c r="V593" i="3"/>
  <c r="W592" i="3"/>
  <c r="V592" i="3"/>
  <c r="W591" i="3"/>
  <c r="V591" i="3"/>
  <c r="W590" i="3"/>
  <c r="V590" i="3"/>
  <c r="W589" i="3"/>
  <c r="V589" i="3"/>
  <c r="W588" i="3"/>
  <c r="V588" i="3"/>
  <c r="W587" i="3"/>
  <c r="V587" i="3"/>
  <c r="W586" i="3"/>
  <c r="V586" i="3"/>
  <c r="W585" i="3"/>
  <c r="V585" i="3"/>
  <c r="W584" i="3"/>
  <c r="V584" i="3"/>
  <c r="W583" i="3"/>
  <c r="V583" i="3"/>
  <c r="W582" i="3"/>
  <c r="V582" i="3"/>
  <c r="W581" i="3"/>
  <c r="V581" i="3"/>
  <c r="W580" i="3"/>
  <c r="V580" i="3"/>
  <c r="W579" i="3"/>
  <c r="V579" i="3"/>
  <c r="W578" i="3"/>
  <c r="V578" i="3"/>
  <c r="W577" i="3"/>
  <c r="V577" i="3"/>
  <c r="W576" i="3"/>
  <c r="V576" i="3"/>
  <c r="W575" i="3"/>
  <c r="V575" i="3"/>
  <c r="W574" i="3"/>
  <c r="V574" i="3"/>
  <c r="W573" i="3"/>
  <c r="V573" i="3"/>
  <c r="W572" i="3"/>
  <c r="V572" i="3"/>
  <c r="W571" i="3"/>
  <c r="V571" i="3"/>
  <c r="W570" i="3"/>
  <c r="V570" i="3"/>
  <c r="W569" i="3"/>
  <c r="V569" i="3"/>
  <c r="W568" i="3"/>
  <c r="V568" i="3"/>
  <c r="W567" i="3"/>
  <c r="V567" i="3"/>
  <c r="W566" i="3"/>
  <c r="V566" i="3"/>
  <c r="W565" i="3"/>
  <c r="V565" i="3"/>
  <c r="W564" i="3"/>
  <c r="V564" i="3"/>
  <c r="W563" i="3"/>
  <c r="V563" i="3"/>
  <c r="W562" i="3"/>
  <c r="V562" i="3"/>
  <c r="W561" i="3"/>
  <c r="V561" i="3"/>
  <c r="W560" i="3"/>
  <c r="V560" i="3"/>
  <c r="W559" i="3"/>
  <c r="V559" i="3"/>
  <c r="W558" i="3"/>
  <c r="V558" i="3"/>
  <c r="W557" i="3"/>
  <c r="V557" i="3"/>
  <c r="W556" i="3"/>
  <c r="V556" i="3"/>
  <c r="W555" i="3"/>
  <c r="V555" i="3"/>
  <c r="W554" i="3"/>
  <c r="V554" i="3"/>
  <c r="W553" i="3"/>
  <c r="V553" i="3"/>
  <c r="W552" i="3"/>
  <c r="V552" i="3"/>
  <c r="W551" i="3"/>
  <c r="V551" i="3"/>
  <c r="W550" i="3"/>
  <c r="V550" i="3"/>
  <c r="W549" i="3"/>
  <c r="V549" i="3"/>
  <c r="W548" i="3"/>
  <c r="V548" i="3"/>
  <c r="W547" i="3"/>
  <c r="V547" i="3"/>
  <c r="W546" i="3"/>
  <c r="V546" i="3"/>
  <c r="W545" i="3"/>
  <c r="V545" i="3"/>
  <c r="W544" i="3"/>
  <c r="V544" i="3"/>
  <c r="W543" i="3"/>
  <c r="V543" i="3"/>
  <c r="W542" i="3"/>
  <c r="V542" i="3"/>
  <c r="W541" i="3"/>
  <c r="V541" i="3"/>
  <c r="W540" i="3"/>
  <c r="V540" i="3"/>
  <c r="W539" i="3"/>
  <c r="V539" i="3"/>
  <c r="W538" i="3"/>
  <c r="V538" i="3"/>
  <c r="W537" i="3"/>
  <c r="V537" i="3"/>
  <c r="W536" i="3"/>
  <c r="V536" i="3"/>
  <c r="W535" i="3"/>
  <c r="V535" i="3"/>
  <c r="W534" i="3"/>
  <c r="V534" i="3"/>
  <c r="W533" i="3"/>
  <c r="V533" i="3"/>
  <c r="W532" i="3"/>
  <c r="V532" i="3"/>
  <c r="W531" i="3"/>
  <c r="V531" i="3"/>
  <c r="W530" i="3"/>
  <c r="V530" i="3"/>
  <c r="W529" i="3"/>
  <c r="V529" i="3"/>
  <c r="W528" i="3"/>
  <c r="V528" i="3"/>
  <c r="W527" i="3"/>
  <c r="V527" i="3"/>
  <c r="W526" i="3"/>
  <c r="V526" i="3"/>
  <c r="W525" i="3"/>
  <c r="V525" i="3"/>
  <c r="W524" i="3"/>
  <c r="V524" i="3"/>
  <c r="W523" i="3"/>
  <c r="V523" i="3"/>
  <c r="W522" i="3"/>
  <c r="V522" i="3"/>
  <c r="W521" i="3"/>
  <c r="V521" i="3"/>
  <c r="W520" i="3"/>
  <c r="V520" i="3"/>
  <c r="W519" i="3"/>
  <c r="V519" i="3"/>
  <c r="W518" i="3"/>
  <c r="V518" i="3"/>
  <c r="W517" i="3"/>
  <c r="V517" i="3"/>
  <c r="W516" i="3"/>
  <c r="V516" i="3"/>
  <c r="W515" i="3"/>
  <c r="V515" i="3"/>
  <c r="W514" i="3"/>
  <c r="V514" i="3"/>
  <c r="W513" i="3"/>
  <c r="V513" i="3"/>
  <c r="W512" i="3"/>
  <c r="V512" i="3"/>
  <c r="W511" i="3"/>
  <c r="V511" i="3"/>
  <c r="W510" i="3"/>
  <c r="V510" i="3"/>
  <c r="W509" i="3"/>
  <c r="V509" i="3"/>
  <c r="W508" i="3"/>
  <c r="V508" i="3"/>
  <c r="W507" i="3"/>
  <c r="V507" i="3"/>
  <c r="W506" i="3"/>
  <c r="V506" i="3"/>
  <c r="W505" i="3"/>
  <c r="V505" i="3"/>
  <c r="W504" i="3"/>
  <c r="V504" i="3"/>
  <c r="W503" i="3"/>
  <c r="V503" i="3"/>
  <c r="W502" i="3"/>
  <c r="V502" i="3"/>
  <c r="W501" i="3"/>
  <c r="V501" i="3"/>
  <c r="W500" i="3"/>
  <c r="V500" i="3"/>
  <c r="W499" i="3"/>
  <c r="V499" i="3"/>
  <c r="W498" i="3"/>
  <c r="V498" i="3"/>
  <c r="W497" i="3"/>
  <c r="V497" i="3"/>
  <c r="W496" i="3"/>
  <c r="V496" i="3"/>
  <c r="W495" i="3"/>
  <c r="V495" i="3"/>
  <c r="W494" i="3"/>
  <c r="V494" i="3"/>
  <c r="W493" i="3"/>
  <c r="V493" i="3"/>
  <c r="W492" i="3"/>
  <c r="V492" i="3"/>
  <c r="W491" i="3"/>
  <c r="V491" i="3"/>
  <c r="W490" i="3"/>
  <c r="V490" i="3"/>
  <c r="W489" i="3"/>
  <c r="V489" i="3"/>
  <c r="W488" i="3"/>
  <c r="V488" i="3"/>
  <c r="W487" i="3"/>
  <c r="V487" i="3"/>
  <c r="W486" i="3"/>
  <c r="V486" i="3"/>
  <c r="W485" i="3"/>
  <c r="V485" i="3"/>
  <c r="W484" i="3"/>
  <c r="V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W456" i="3"/>
  <c r="V456" i="3"/>
  <c r="W455" i="3"/>
  <c r="V455" i="3"/>
  <c r="W454" i="3"/>
  <c r="V454" i="3"/>
  <c r="W453" i="3"/>
  <c r="V453" i="3"/>
  <c r="W452" i="3"/>
  <c r="V452" i="3"/>
  <c r="W451" i="3"/>
  <c r="V451" i="3"/>
  <c r="W450" i="3"/>
  <c r="V450" i="3"/>
  <c r="W449" i="3"/>
  <c r="V449" i="3"/>
  <c r="W448" i="3"/>
  <c r="V448" i="3"/>
  <c r="W447" i="3"/>
  <c r="V447" i="3"/>
  <c r="W446" i="3"/>
  <c r="V446" i="3"/>
  <c r="W445" i="3"/>
  <c r="V445" i="3"/>
  <c r="W444" i="3"/>
  <c r="V444" i="3"/>
  <c r="W443" i="3"/>
  <c r="V443" i="3"/>
  <c r="W442" i="3"/>
  <c r="V442" i="3"/>
  <c r="W441" i="3"/>
  <c r="V441" i="3"/>
  <c r="W440" i="3"/>
  <c r="V440" i="3"/>
  <c r="W439" i="3"/>
  <c r="V439" i="3"/>
  <c r="W438" i="3"/>
  <c r="V438" i="3"/>
  <c r="W437" i="3"/>
  <c r="V437" i="3"/>
  <c r="W436" i="3"/>
  <c r="V436" i="3"/>
  <c r="W435" i="3"/>
  <c r="V435" i="3"/>
  <c r="W434" i="3"/>
  <c r="V434" i="3"/>
  <c r="W433" i="3"/>
  <c r="V433" i="3"/>
  <c r="W432" i="3"/>
  <c r="V432" i="3"/>
  <c r="W431" i="3"/>
  <c r="V431" i="3"/>
  <c r="W430" i="3"/>
  <c r="V430" i="3"/>
  <c r="W429" i="3"/>
  <c r="V429" i="3"/>
  <c r="W428" i="3"/>
  <c r="V428" i="3"/>
  <c r="W427" i="3"/>
  <c r="V427" i="3"/>
  <c r="W426" i="3"/>
  <c r="V426" i="3"/>
  <c r="W425" i="3"/>
  <c r="V425" i="3"/>
  <c r="W424" i="3"/>
  <c r="V424" i="3"/>
  <c r="W423" i="3"/>
  <c r="V423" i="3"/>
  <c r="W422" i="3"/>
  <c r="V422" i="3"/>
  <c r="W421" i="3"/>
  <c r="V421" i="3"/>
  <c r="W420" i="3"/>
  <c r="V420" i="3"/>
  <c r="W419" i="3"/>
  <c r="V419" i="3"/>
  <c r="W418" i="3"/>
  <c r="V418" i="3"/>
  <c r="W417" i="3"/>
  <c r="V417" i="3"/>
  <c r="W416" i="3"/>
  <c r="V416" i="3"/>
  <c r="W415" i="3"/>
  <c r="V415" i="3"/>
  <c r="W414" i="3"/>
  <c r="V414" i="3"/>
  <c r="W413" i="3"/>
  <c r="V413" i="3"/>
  <c r="W412" i="3"/>
  <c r="V412" i="3"/>
  <c r="W411" i="3"/>
  <c r="V411" i="3"/>
  <c r="W410" i="3"/>
  <c r="V410" i="3"/>
  <c r="W409" i="3"/>
  <c r="V409" i="3"/>
  <c r="W408" i="3"/>
  <c r="V408" i="3"/>
  <c r="W407" i="3"/>
  <c r="V407" i="3"/>
  <c r="W406" i="3"/>
  <c r="V406" i="3"/>
  <c r="W405" i="3"/>
  <c r="V405" i="3"/>
  <c r="W404" i="3"/>
  <c r="V404" i="3"/>
  <c r="W403" i="3"/>
  <c r="V403" i="3"/>
  <c r="W402" i="3"/>
  <c r="V402" i="3"/>
  <c r="W401" i="3"/>
  <c r="V401" i="3"/>
  <c r="W400" i="3"/>
  <c r="V400" i="3"/>
  <c r="W399" i="3"/>
  <c r="V399" i="3"/>
  <c r="W398" i="3"/>
  <c r="V398" i="3"/>
  <c r="W397" i="3"/>
  <c r="V397" i="3"/>
  <c r="W396" i="3"/>
  <c r="V396" i="3"/>
  <c r="W395" i="3"/>
  <c r="V395" i="3"/>
  <c r="W394" i="3"/>
  <c r="V394" i="3"/>
  <c r="W393" i="3"/>
  <c r="V393" i="3"/>
  <c r="W392" i="3"/>
  <c r="V392" i="3"/>
  <c r="W391" i="3"/>
  <c r="V391" i="3"/>
  <c r="W390" i="3"/>
  <c r="V390" i="3"/>
  <c r="W389" i="3"/>
  <c r="V389" i="3"/>
  <c r="W388" i="3"/>
  <c r="V388" i="3"/>
  <c r="W387" i="3"/>
  <c r="V387" i="3"/>
  <c r="W386" i="3"/>
  <c r="V386" i="3"/>
  <c r="W385" i="3"/>
  <c r="V385" i="3"/>
  <c r="W384" i="3"/>
  <c r="V384" i="3"/>
  <c r="W383" i="3"/>
  <c r="V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W376" i="3"/>
  <c r="V376" i="3"/>
  <c r="W375" i="3"/>
  <c r="V375" i="3"/>
  <c r="W374" i="3"/>
  <c r="V374" i="3"/>
  <c r="W373" i="3"/>
  <c r="V373" i="3"/>
  <c r="W372" i="3"/>
  <c r="V372" i="3"/>
  <c r="W371" i="3"/>
  <c r="V371" i="3"/>
  <c r="W370" i="3"/>
  <c r="V370" i="3"/>
  <c r="W369" i="3"/>
  <c r="V369" i="3"/>
  <c r="W368" i="3"/>
  <c r="V368" i="3"/>
  <c r="W367" i="3"/>
  <c r="V367" i="3"/>
  <c r="W366" i="3"/>
  <c r="V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W358" i="3"/>
  <c r="V358" i="3"/>
  <c r="W357" i="3"/>
  <c r="V357" i="3"/>
  <c r="W356" i="3"/>
  <c r="V356" i="3"/>
  <c r="W355" i="3"/>
  <c r="V355" i="3"/>
  <c r="W354" i="3"/>
  <c r="V354" i="3"/>
  <c r="W353" i="3"/>
  <c r="V353" i="3"/>
  <c r="W352" i="3"/>
  <c r="V352" i="3"/>
  <c r="W351" i="3"/>
  <c r="V351" i="3"/>
  <c r="W350" i="3"/>
  <c r="V350" i="3"/>
  <c r="W349" i="3"/>
  <c r="V349" i="3"/>
  <c r="W348" i="3"/>
  <c r="V348" i="3"/>
  <c r="W347" i="3"/>
  <c r="V347" i="3"/>
  <c r="W346" i="3"/>
  <c r="V346" i="3"/>
  <c r="W345" i="3"/>
  <c r="V345" i="3"/>
  <c r="W344" i="3"/>
  <c r="V344" i="3"/>
  <c r="W343" i="3"/>
  <c r="V343" i="3"/>
  <c r="W342" i="3"/>
  <c r="V342" i="3"/>
  <c r="W341" i="3"/>
  <c r="V341" i="3"/>
  <c r="W340" i="3"/>
  <c r="V340" i="3"/>
  <c r="W339" i="3"/>
  <c r="V339" i="3"/>
  <c r="W338" i="3"/>
  <c r="V338" i="3"/>
  <c r="W337" i="3"/>
  <c r="V337" i="3"/>
  <c r="W336" i="3"/>
  <c r="V336" i="3"/>
  <c r="W335" i="3"/>
  <c r="V335" i="3"/>
  <c r="W334" i="3"/>
  <c r="V334" i="3"/>
  <c r="W333" i="3"/>
  <c r="V333" i="3"/>
  <c r="W332" i="3"/>
  <c r="V332" i="3"/>
  <c r="W331" i="3"/>
  <c r="V331" i="3"/>
  <c r="W330" i="3"/>
  <c r="V330" i="3"/>
  <c r="W329" i="3"/>
  <c r="V329" i="3"/>
  <c r="W328" i="3"/>
  <c r="V328" i="3"/>
  <c r="W327" i="3"/>
  <c r="V327" i="3"/>
  <c r="W326" i="3"/>
  <c r="V326" i="3"/>
  <c r="W325" i="3"/>
  <c r="V325" i="3"/>
  <c r="W324" i="3"/>
  <c r="V324" i="3"/>
  <c r="W323" i="3"/>
  <c r="V323" i="3"/>
  <c r="W322" i="3"/>
  <c r="V322" i="3"/>
  <c r="W321" i="3"/>
  <c r="V321" i="3"/>
  <c r="W320" i="3"/>
  <c r="V320" i="3"/>
  <c r="W319" i="3"/>
  <c r="V319" i="3"/>
  <c r="W318" i="3"/>
  <c r="V318" i="3"/>
  <c r="W317" i="3"/>
  <c r="V317" i="3"/>
  <c r="W316" i="3"/>
  <c r="V316" i="3"/>
  <c r="W315" i="3"/>
  <c r="V315" i="3"/>
  <c r="W314" i="3"/>
  <c r="V314" i="3"/>
  <c r="W313" i="3"/>
  <c r="V313" i="3"/>
  <c r="W312" i="3"/>
  <c r="V312" i="3"/>
  <c r="W311" i="3"/>
  <c r="V311" i="3"/>
  <c r="W310" i="3"/>
  <c r="V310" i="3"/>
  <c r="W309" i="3"/>
  <c r="V309" i="3"/>
  <c r="W308" i="3"/>
  <c r="V308" i="3"/>
  <c r="W307" i="3"/>
  <c r="V307" i="3"/>
  <c r="W306" i="3"/>
  <c r="V306" i="3"/>
  <c r="W305" i="3"/>
  <c r="V305" i="3"/>
  <c r="W304" i="3"/>
  <c r="V304" i="3"/>
  <c r="W303" i="3"/>
  <c r="V303" i="3"/>
  <c r="W302" i="3"/>
  <c r="V302" i="3"/>
  <c r="W301" i="3"/>
  <c r="V301" i="3"/>
  <c r="W300" i="3"/>
  <c r="V300" i="3"/>
  <c r="W299" i="3"/>
  <c r="V299" i="3"/>
  <c r="W298" i="3"/>
  <c r="V298" i="3"/>
  <c r="W297" i="3"/>
  <c r="V297" i="3"/>
  <c r="W296" i="3"/>
  <c r="V296" i="3"/>
  <c r="W295" i="3"/>
  <c r="V295" i="3"/>
  <c r="W294" i="3"/>
  <c r="V294" i="3"/>
  <c r="W293" i="3"/>
  <c r="V293" i="3"/>
  <c r="W292" i="3"/>
  <c r="V292" i="3"/>
  <c r="W291" i="3"/>
  <c r="V291" i="3"/>
  <c r="W290" i="3"/>
  <c r="V290" i="3"/>
  <c r="W289" i="3"/>
  <c r="V289" i="3"/>
  <c r="W288" i="3"/>
  <c r="V288" i="3"/>
  <c r="W287" i="3"/>
  <c r="V287" i="3"/>
  <c r="W286" i="3"/>
  <c r="V286" i="3"/>
  <c r="W285" i="3"/>
  <c r="V285" i="3"/>
  <c r="W284" i="3"/>
  <c r="V284" i="3"/>
  <c r="W283" i="3"/>
  <c r="V283" i="3"/>
  <c r="W282" i="3"/>
  <c r="V282" i="3"/>
  <c r="W281" i="3"/>
  <c r="V281" i="3"/>
  <c r="W280" i="3"/>
  <c r="V280" i="3"/>
  <c r="W279" i="3"/>
  <c r="V279" i="3"/>
  <c r="W278" i="3"/>
  <c r="V278" i="3"/>
  <c r="W277" i="3"/>
  <c r="V277" i="3"/>
  <c r="W276" i="3"/>
  <c r="V276" i="3"/>
  <c r="W275" i="3"/>
  <c r="V275" i="3"/>
  <c r="W274" i="3"/>
  <c r="V274" i="3"/>
  <c r="W273" i="3"/>
  <c r="V273" i="3"/>
  <c r="W272" i="3"/>
  <c r="V272" i="3"/>
  <c r="W271" i="3"/>
  <c r="V271" i="3"/>
  <c r="W270" i="3"/>
  <c r="V270" i="3"/>
  <c r="W269" i="3"/>
  <c r="V269" i="3"/>
  <c r="W268" i="3"/>
  <c r="V268" i="3"/>
  <c r="W267" i="3"/>
  <c r="V267" i="3"/>
  <c r="W266" i="3"/>
  <c r="V266" i="3"/>
  <c r="W265" i="3"/>
  <c r="V265" i="3"/>
  <c r="W264" i="3"/>
  <c r="V264" i="3"/>
  <c r="W263" i="3"/>
  <c r="V263" i="3"/>
  <c r="W262" i="3"/>
  <c r="V262" i="3"/>
  <c r="W261" i="3"/>
  <c r="V261" i="3"/>
  <c r="W260" i="3"/>
  <c r="V260" i="3"/>
  <c r="W259" i="3"/>
  <c r="V259" i="3"/>
  <c r="W258" i="3"/>
  <c r="V258" i="3"/>
  <c r="W257" i="3"/>
  <c r="V257" i="3"/>
  <c r="W256" i="3"/>
  <c r="V256" i="3"/>
  <c r="W255" i="3"/>
  <c r="V255" i="3"/>
  <c r="W254" i="3"/>
  <c r="V254" i="3"/>
  <c r="W253" i="3"/>
  <c r="V253" i="3"/>
  <c r="W252" i="3"/>
  <c r="V252" i="3"/>
  <c r="W251" i="3"/>
  <c r="V251" i="3"/>
  <c r="W250" i="3"/>
  <c r="V250" i="3"/>
  <c r="W249" i="3"/>
  <c r="V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W236" i="3"/>
  <c r="V236" i="3"/>
  <c r="W235" i="3"/>
  <c r="V235" i="3"/>
  <c r="W234" i="3"/>
  <c r="V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W223" i="3"/>
  <c r="V223" i="3"/>
  <c r="W222" i="3"/>
  <c r="V222" i="3"/>
  <c r="W221" i="3"/>
  <c r="V221" i="3"/>
  <c r="W220" i="3"/>
  <c r="V220" i="3"/>
  <c r="W219" i="3"/>
  <c r="V219" i="3"/>
  <c r="W218" i="3"/>
  <c r="V218" i="3"/>
  <c r="W217" i="3"/>
  <c r="V217" i="3"/>
  <c r="W216" i="3"/>
  <c r="V216" i="3"/>
  <c r="W215" i="3"/>
  <c r="V215" i="3"/>
  <c r="W214" i="3"/>
  <c r="V214" i="3"/>
  <c r="W213" i="3"/>
  <c r="V213" i="3"/>
  <c r="W212" i="3"/>
  <c r="V212" i="3"/>
  <c r="W211" i="3"/>
  <c r="V211" i="3"/>
  <c r="W210" i="3"/>
  <c r="V210" i="3"/>
  <c r="W209" i="3"/>
  <c r="V209" i="3"/>
  <c r="W208" i="3"/>
  <c r="V208" i="3"/>
  <c r="W207" i="3"/>
  <c r="V207" i="3"/>
  <c r="W206" i="3"/>
  <c r="V206" i="3"/>
  <c r="W205" i="3"/>
  <c r="V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W198" i="3"/>
  <c r="V198" i="3"/>
  <c r="W197" i="3"/>
  <c r="V197" i="3"/>
  <c r="W196" i="3"/>
  <c r="V196" i="3"/>
  <c r="W195" i="3"/>
  <c r="V195" i="3"/>
  <c r="W194" i="3"/>
  <c r="V194" i="3"/>
  <c r="W193" i="3"/>
  <c r="V193" i="3"/>
  <c r="W192" i="3"/>
  <c r="V192" i="3"/>
  <c r="W191" i="3"/>
  <c r="V191" i="3"/>
  <c r="W190" i="3"/>
  <c r="V190" i="3"/>
  <c r="W189" i="3"/>
  <c r="V189" i="3"/>
  <c r="W188" i="3"/>
  <c r="V188" i="3"/>
  <c r="W187" i="3"/>
  <c r="V187" i="3"/>
  <c r="W186" i="3"/>
  <c r="V186" i="3"/>
  <c r="W185" i="3"/>
  <c r="V185" i="3"/>
  <c r="W184" i="3"/>
  <c r="V184" i="3"/>
  <c r="W183" i="3"/>
  <c r="V183" i="3"/>
  <c r="W182" i="3"/>
  <c r="V182" i="3"/>
  <c r="W181" i="3"/>
  <c r="V181" i="3"/>
  <c r="W180" i="3"/>
  <c r="V180" i="3"/>
  <c r="W179" i="3"/>
  <c r="V179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W161" i="3"/>
  <c r="V161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W2" i="3"/>
  <c r="V2" i="3"/>
  <c r="U3" i="3"/>
  <c r="U2107" i="3"/>
  <c r="U2106" i="3"/>
  <c r="U2105" i="3"/>
  <c r="U2104" i="3"/>
  <c r="U2103" i="3"/>
  <c r="U2102" i="3"/>
  <c r="U2101" i="3"/>
  <c r="U2100" i="3"/>
  <c r="U2099" i="3"/>
  <c r="U2098" i="3"/>
  <c r="U2097" i="3"/>
  <c r="U2096" i="3"/>
  <c r="U2095" i="3"/>
  <c r="U2094" i="3"/>
  <c r="U2093" i="3"/>
  <c r="U2092" i="3"/>
  <c r="U2091" i="3"/>
  <c r="U2090" i="3"/>
  <c r="U2089" i="3"/>
  <c r="U2088" i="3"/>
  <c r="U2087" i="3"/>
  <c r="U2086" i="3"/>
  <c r="U2085" i="3"/>
  <c r="U2084" i="3"/>
  <c r="U2083" i="3"/>
  <c r="U2082" i="3"/>
  <c r="U2081" i="3"/>
  <c r="U2080" i="3"/>
  <c r="U2079" i="3"/>
  <c r="U2078" i="3"/>
  <c r="U2077" i="3"/>
  <c r="U2076" i="3"/>
  <c r="U2075" i="3"/>
  <c r="U2074" i="3"/>
  <c r="U2073" i="3"/>
  <c r="U2072" i="3"/>
  <c r="U2071" i="3"/>
  <c r="U2070" i="3"/>
  <c r="U2069" i="3"/>
  <c r="U2068" i="3"/>
  <c r="U2067" i="3"/>
  <c r="U2066" i="3"/>
  <c r="U2065" i="3"/>
  <c r="U2064" i="3"/>
  <c r="U2063" i="3"/>
  <c r="U2062" i="3"/>
  <c r="U2061" i="3"/>
  <c r="U2060" i="3"/>
  <c r="U2059" i="3"/>
  <c r="U2058" i="3"/>
  <c r="U2057" i="3"/>
  <c r="U2056" i="3"/>
  <c r="U2055" i="3"/>
  <c r="U2054" i="3"/>
  <c r="U2053" i="3"/>
  <c r="U2052" i="3"/>
  <c r="U2051" i="3"/>
  <c r="U2050" i="3"/>
  <c r="U2049" i="3"/>
  <c r="U2048" i="3"/>
  <c r="U2047" i="3"/>
  <c r="U2046" i="3"/>
  <c r="U2045" i="3"/>
  <c r="U2044" i="3"/>
  <c r="U2043" i="3"/>
  <c r="U2042" i="3"/>
  <c r="U2041" i="3"/>
  <c r="U2040" i="3"/>
  <c r="U2039" i="3"/>
  <c r="U2038" i="3"/>
  <c r="U2037" i="3"/>
  <c r="U2036" i="3"/>
  <c r="U2035" i="3"/>
  <c r="U2034" i="3"/>
  <c r="U2033" i="3"/>
  <c r="U2032" i="3"/>
  <c r="U2031" i="3"/>
  <c r="U2030" i="3"/>
  <c r="U2029" i="3"/>
  <c r="U2028" i="3"/>
  <c r="U2027" i="3"/>
  <c r="U2026" i="3"/>
  <c r="U2025" i="3"/>
  <c r="U2024" i="3"/>
  <c r="U2023" i="3"/>
  <c r="U2022" i="3"/>
  <c r="U2021" i="3"/>
  <c r="U2020" i="3"/>
  <c r="U2019" i="3"/>
  <c r="U2018" i="3"/>
  <c r="U2017" i="3"/>
  <c r="U2016" i="3"/>
  <c r="U2015" i="3"/>
  <c r="U2014" i="3"/>
  <c r="U2013" i="3"/>
  <c r="U2012" i="3"/>
  <c r="U2011" i="3"/>
  <c r="U2010" i="3"/>
  <c r="U2009" i="3"/>
  <c r="U2008" i="3"/>
  <c r="U2007" i="3"/>
  <c r="U2006" i="3"/>
  <c r="U2005" i="3"/>
  <c r="U2004" i="3"/>
  <c r="U2003" i="3"/>
  <c r="U2002" i="3"/>
  <c r="U2001" i="3"/>
  <c r="U2000" i="3"/>
  <c r="U1999" i="3"/>
  <c r="U1998" i="3"/>
  <c r="U1997" i="3"/>
  <c r="U1996" i="3"/>
  <c r="U1995" i="3"/>
  <c r="U1994" i="3"/>
  <c r="U1993" i="3"/>
  <c r="U1992" i="3"/>
  <c r="U1991" i="3"/>
  <c r="U1990" i="3"/>
  <c r="U1989" i="3"/>
  <c r="U1988" i="3"/>
  <c r="U1987" i="3"/>
  <c r="U1986" i="3"/>
  <c r="U1985" i="3"/>
  <c r="U1984" i="3"/>
  <c r="U1983" i="3"/>
  <c r="U1982" i="3"/>
  <c r="U1981" i="3"/>
  <c r="U1980" i="3"/>
  <c r="U1979" i="3"/>
  <c r="U1978" i="3"/>
  <c r="U1977" i="3"/>
  <c r="U1976" i="3"/>
  <c r="U1975" i="3"/>
  <c r="U1974" i="3"/>
  <c r="U1973" i="3"/>
  <c r="U1972" i="3"/>
  <c r="U1971" i="3"/>
  <c r="U1970" i="3"/>
  <c r="U1969" i="3"/>
  <c r="U1968" i="3"/>
  <c r="U1967" i="3"/>
  <c r="U1966" i="3"/>
  <c r="U1965" i="3"/>
  <c r="U1964" i="3"/>
  <c r="U1963" i="3"/>
  <c r="U1962" i="3"/>
  <c r="U1961" i="3"/>
  <c r="U1960" i="3"/>
  <c r="U1959" i="3"/>
  <c r="U1958" i="3"/>
  <c r="U1957" i="3"/>
  <c r="U1956" i="3"/>
  <c r="U1955" i="3"/>
  <c r="U1954" i="3"/>
  <c r="U1953" i="3"/>
  <c r="U1952" i="3"/>
  <c r="U1951" i="3"/>
  <c r="U1950" i="3"/>
  <c r="U1949" i="3"/>
  <c r="U1948" i="3"/>
  <c r="U1947" i="3"/>
  <c r="U1946" i="3"/>
  <c r="U1945" i="3"/>
  <c r="U1944" i="3"/>
  <c r="U1943" i="3"/>
  <c r="U1942" i="3"/>
  <c r="U1941" i="3"/>
  <c r="U1940" i="3"/>
  <c r="U1939" i="3"/>
  <c r="U1938" i="3"/>
  <c r="U1937" i="3"/>
  <c r="U1936" i="3"/>
  <c r="U1935" i="3"/>
  <c r="U1934" i="3"/>
  <c r="U1933" i="3"/>
  <c r="U1932" i="3"/>
  <c r="U1931" i="3"/>
  <c r="U1930" i="3"/>
  <c r="U1929" i="3"/>
  <c r="U1928" i="3"/>
  <c r="U1927" i="3"/>
  <c r="U1926" i="3"/>
  <c r="U1925" i="3"/>
  <c r="U1924" i="3"/>
  <c r="U1923" i="3"/>
  <c r="U1922" i="3"/>
  <c r="U1921" i="3"/>
  <c r="U1920" i="3"/>
  <c r="U1919" i="3"/>
  <c r="U1918" i="3"/>
  <c r="U1917" i="3"/>
  <c r="U1916" i="3"/>
  <c r="U1915" i="3"/>
  <c r="U1914" i="3"/>
  <c r="U1913" i="3"/>
  <c r="U1912" i="3"/>
  <c r="U1911" i="3"/>
  <c r="U1910" i="3"/>
  <c r="U1909" i="3"/>
  <c r="U1908" i="3"/>
  <c r="U1907" i="3"/>
  <c r="U1906" i="3"/>
  <c r="U1905" i="3"/>
  <c r="U1904" i="3"/>
  <c r="U1903" i="3"/>
  <c r="U1902" i="3"/>
  <c r="U1901" i="3"/>
  <c r="U1900" i="3"/>
  <c r="U1899" i="3"/>
  <c r="U1898" i="3"/>
  <c r="U1897" i="3"/>
  <c r="U1896" i="3"/>
  <c r="U1895" i="3"/>
  <c r="U1894" i="3"/>
  <c r="U1893" i="3"/>
  <c r="U1892" i="3"/>
  <c r="U1891" i="3"/>
  <c r="U1890" i="3"/>
  <c r="U1889" i="3"/>
  <c r="U1888" i="3"/>
  <c r="U1887" i="3"/>
  <c r="U1886" i="3"/>
  <c r="U1885" i="3"/>
  <c r="U1884" i="3"/>
  <c r="U1883" i="3"/>
  <c r="U1882" i="3"/>
  <c r="U1881" i="3"/>
  <c r="U1880" i="3"/>
  <c r="U1879" i="3"/>
  <c r="U1878" i="3"/>
  <c r="U1877" i="3"/>
  <c r="U1876" i="3"/>
  <c r="U1875" i="3"/>
  <c r="U1874" i="3"/>
  <c r="U1873" i="3"/>
  <c r="U1872" i="3"/>
  <c r="U1871" i="3"/>
  <c r="U1870" i="3"/>
  <c r="U1869" i="3"/>
  <c r="U1868" i="3"/>
  <c r="U1867" i="3"/>
  <c r="U1866" i="3"/>
  <c r="U1865" i="3"/>
  <c r="U1864" i="3"/>
  <c r="U1863" i="3"/>
  <c r="U1862" i="3"/>
  <c r="U1861" i="3"/>
  <c r="U1860" i="3"/>
  <c r="U1859" i="3"/>
  <c r="U1858" i="3"/>
  <c r="U1857" i="3"/>
  <c r="U1856" i="3"/>
  <c r="U1855" i="3"/>
  <c r="U1854" i="3"/>
  <c r="U1853" i="3"/>
  <c r="U1852" i="3"/>
  <c r="U1851" i="3"/>
  <c r="U1850" i="3"/>
  <c r="U1849" i="3"/>
  <c r="U1848" i="3"/>
  <c r="U1847" i="3"/>
  <c r="U1846" i="3"/>
  <c r="U1845" i="3"/>
  <c r="U1844" i="3"/>
  <c r="U1843" i="3"/>
  <c r="U1842" i="3"/>
  <c r="U1841" i="3"/>
  <c r="U1840" i="3"/>
  <c r="U1839" i="3"/>
  <c r="U1838" i="3"/>
  <c r="U1837" i="3"/>
  <c r="U1836" i="3"/>
  <c r="U1835" i="3"/>
  <c r="U1834" i="3"/>
  <c r="U1833" i="3"/>
  <c r="U1832" i="3"/>
  <c r="U1831" i="3"/>
  <c r="U1830" i="3"/>
  <c r="U1829" i="3"/>
  <c r="U1828" i="3"/>
  <c r="U1827" i="3"/>
  <c r="U1826" i="3"/>
  <c r="U1825" i="3"/>
  <c r="U1824" i="3"/>
  <c r="U1823" i="3"/>
  <c r="U1822" i="3"/>
  <c r="U1821" i="3"/>
  <c r="U1820" i="3"/>
  <c r="U1819" i="3"/>
  <c r="U1818" i="3"/>
  <c r="U1817" i="3"/>
  <c r="U1816" i="3"/>
  <c r="U1815" i="3"/>
  <c r="U1814" i="3"/>
  <c r="U1813" i="3"/>
  <c r="U1812" i="3"/>
  <c r="U1811" i="3"/>
  <c r="U1810" i="3"/>
  <c r="U1809" i="3"/>
  <c r="U1808" i="3"/>
  <c r="U1807" i="3"/>
  <c r="U1806" i="3"/>
  <c r="U1805" i="3"/>
  <c r="U1804" i="3"/>
  <c r="U1803" i="3"/>
  <c r="U1802" i="3"/>
  <c r="U1801" i="3"/>
  <c r="U1800" i="3"/>
  <c r="U1799" i="3"/>
  <c r="U1798" i="3"/>
  <c r="U1797" i="3"/>
  <c r="U1796" i="3"/>
  <c r="U1795" i="3"/>
  <c r="U1794" i="3"/>
  <c r="U1793" i="3"/>
  <c r="U1792" i="3"/>
  <c r="U1791" i="3"/>
  <c r="U1790" i="3"/>
  <c r="U1789" i="3"/>
  <c r="U1788" i="3"/>
  <c r="U1787" i="3"/>
  <c r="U1786" i="3"/>
  <c r="U1785" i="3"/>
  <c r="U1784" i="3"/>
  <c r="U1783" i="3"/>
  <c r="U1782" i="3"/>
  <c r="U1781" i="3"/>
  <c r="U1780" i="3"/>
  <c r="U1779" i="3"/>
  <c r="U1778" i="3"/>
  <c r="U1777" i="3"/>
  <c r="U1776" i="3"/>
  <c r="U1775" i="3"/>
  <c r="U1774" i="3"/>
  <c r="U1773" i="3"/>
  <c r="U1772" i="3"/>
  <c r="U1771" i="3"/>
  <c r="U1770" i="3"/>
  <c r="U1769" i="3"/>
  <c r="U1768" i="3"/>
  <c r="U1767" i="3"/>
  <c r="U1766" i="3"/>
  <c r="U1765" i="3"/>
  <c r="U1764" i="3"/>
  <c r="U1763" i="3"/>
  <c r="U1762" i="3"/>
  <c r="U1761" i="3"/>
  <c r="U1760" i="3"/>
  <c r="U1759" i="3"/>
  <c r="U1758" i="3"/>
  <c r="U1757" i="3"/>
  <c r="U1756" i="3"/>
  <c r="U1755" i="3"/>
  <c r="U1754" i="3"/>
  <c r="U1753" i="3"/>
  <c r="U1752" i="3"/>
  <c r="U1751" i="3"/>
  <c r="U1750" i="3"/>
  <c r="U1749" i="3"/>
  <c r="U1748" i="3"/>
  <c r="U1747" i="3"/>
  <c r="U1746" i="3"/>
  <c r="U1745" i="3"/>
  <c r="U1744" i="3"/>
  <c r="U1743" i="3"/>
  <c r="U1742" i="3"/>
  <c r="U1741" i="3"/>
  <c r="U1740" i="3"/>
  <c r="U1739" i="3"/>
  <c r="U1738" i="3"/>
  <c r="U1737" i="3"/>
  <c r="U1736" i="3"/>
  <c r="U1735" i="3"/>
  <c r="U1734" i="3"/>
  <c r="U1733" i="3"/>
  <c r="U1732" i="3"/>
  <c r="U1731" i="3"/>
  <c r="U1730" i="3"/>
  <c r="U1729" i="3"/>
  <c r="U1728" i="3"/>
  <c r="U1727" i="3"/>
  <c r="U1726" i="3"/>
  <c r="U1725" i="3"/>
  <c r="U1724" i="3"/>
  <c r="U1723" i="3"/>
  <c r="U1722" i="3"/>
  <c r="U1721" i="3"/>
  <c r="U1720" i="3"/>
  <c r="U1719" i="3"/>
  <c r="U1718" i="3"/>
  <c r="U1717" i="3"/>
  <c r="U1716" i="3"/>
  <c r="U1715" i="3"/>
  <c r="U1714" i="3"/>
  <c r="U1713" i="3"/>
  <c r="U1712" i="3"/>
  <c r="U1711" i="3"/>
  <c r="U1710" i="3"/>
  <c r="U1709" i="3"/>
  <c r="U1708" i="3"/>
  <c r="U1707" i="3"/>
  <c r="U1706" i="3"/>
  <c r="U1705" i="3"/>
  <c r="U1704" i="3"/>
  <c r="U1703" i="3"/>
  <c r="U1702" i="3"/>
  <c r="U1701" i="3"/>
  <c r="U1700" i="3"/>
  <c r="U1699" i="3"/>
  <c r="U1698" i="3"/>
  <c r="U1697" i="3"/>
  <c r="U1696" i="3"/>
  <c r="U1695" i="3"/>
  <c r="U1694" i="3"/>
  <c r="U1693" i="3"/>
  <c r="U1692" i="3"/>
  <c r="U1691" i="3"/>
  <c r="U1690" i="3"/>
  <c r="U1689" i="3"/>
  <c r="U1688" i="3"/>
  <c r="U1687" i="3"/>
  <c r="U1686" i="3"/>
  <c r="U1685" i="3"/>
  <c r="U1684" i="3"/>
  <c r="U1683" i="3"/>
  <c r="U1682" i="3"/>
  <c r="U1681" i="3"/>
  <c r="U1680" i="3"/>
  <c r="U1679" i="3"/>
  <c r="U1678" i="3"/>
  <c r="U1677" i="3"/>
  <c r="U1676" i="3"/>
  <c r="U1675" i="3"/>
  <c r="U1674" i="3"/>
  <c r="U1673" i="3"/>
  <c r="U1672" i="3"/>
  <c r="U1671" i="3"/>
  <c r="U1670" i="3"/>
  <c r="U1669" i="3"/>
  <c r="U1668" i="3"/>
  <c r="U1667" i="3"/>
  <c r="U1666" i="3"/>
  <c r="U1665" i="3"/>
  <c r="U1664" i="3"/>
  <c r="U1663" i="3"/>
  <c r="U1662" i="3"/>
  <c r="U1661" i="3"/>
  <c r="U1660" i="3"/>
  <c r="U1659" i="3"/>
  <c r="U1658" i="3"/>
  <c r="U1657" i="3"/>
  <c r="U1656" i="3"/>
  <c r="U1655" i="3"/>
  <c r="U1654" i="3"/>
  <c r="U1653" i="3"/>
  <c r="U1652" i="3"/>
  <c r="U1651" i="3"/>
  <c r="U1650" i="3"/>
  <c r="U1649" i="3"/>
  <c r="U1648" i="3"/>
  <c r="U1647" i="3"/>
  <c r="U1646" i="3"/>
  <c r="U1645" i="3"/>
  <c r="U1644" i="3"/>
  <c r="U1643" i="3"/>
  <c r="U1642" i="3"/>
  <c r="U1641" i="3"/>
  <c r="U1640" i="3"/>
  <c r="U1639" i="3"/>
  <c r="U1638" i="3"/>
  <c r="U1637" i="3"/>
  <c r="U1636" i="3"/>
  <c r="U1635" i="3"/>
  <c r="U1634" i="3"/>
  <c r="U1633" i="3"/>
  <c r="U1632" i="3"/>
  <c r="U1631" i="3"/>
  <c r="U1630" i="3"/>
  <c r="U1629" i="3"/>
  <c r="U1628" i="3"/>
  <c r="U1627" i="3"/>
  <c r="U1626" i="3"/>
  <c r="U1625" i="3"/>
  <c r="U1624" i="3"/>
  <c r="U1623" i="3"/>
  <c r="U1622" i="3"/>
  <c r="U1621" i="3"/>
  <c r="U1620" i="3"/>
  <c r="U1619" i="3"/>
  <c r="U1618" i="3"/>
  <c r="U1617" i="3"/>
  <c r="U1616" i="3"/>
  <c r="U1615" i="3"/>
  <c r="U1614" i="3"/>
  <c r="U1613" i="3"/>
  <c r="U1612" i="3"/>
  <c r="U1611" i="3"/>
  <c r="U1610" i="3"/>
  <c r="U1609" i="3"/>
  <c r="U1608" i="3"/>
  <c r="U1607" i="3"/>
  <c r="U1606" i="3"/>
  <c r="U1605" i="3"/>
  <c r="U1604" i="3"/>
  <c r="U1603" i="3"/>
  <c r="U1602" i="3"/>
  <c r="U1601" i="3"/>
  <c r="U1600" i="3"/>
  <c r="U1599" i="3"/>
  <c r="U1598" i="3"/>
  <c r="U1597" i="3"/>
  <c r="U1596" i="3"/>
  <c r="U1595" i="3"/>
  <c r="U1594" i="3"/>
  <c r="U1593" i="3"/>
  <c r="U1592" i="3"/>
  <c r="U1591" i="3"/>
  <c r="U1590" i="3"/>
  <c r="U1589" i="3"/>
  <c r="U1588" i="3"/>
  <c r="U1587" i="3"/>
  <c r="U1586" i="3"/>
  <c r="U1585" i="3"/>
  <c r="U1584" i="3"/>
  <c r="U1583" i="3"/>
  <c r="U1582" i="3"/>
  <c r="U1581" i="3"/>
  <c r="U1580" i="3"/>
  <c r="U1579" i="3"/>
  <c r="U1578" i="3"/>
  <c r="U1577" i="3"/>
  <c r="U1576" i="3"/>
  <c r="U1575" i="3"/>
  <c r="U1574" i="3"/>
  <c r="U1573" i="3"/>
  <c r="U1572" i="3"/>
  <c r="U1571" i="3"/>
  <c r="U1570" i="3"/>
  <c r="U1569" i="3"/>
  <c r="U1568" i="3"/>
  <c r="U1567" i="3"/>
  <c r="U1566" i="3"/>
  <c r="U1565" i="3"/>
  <c r="U1564" i="3"/>
  <c r="U1563" i="3"/>
  <c r="U1562" i="3"/>
  <c r="U1561" i="3"/>
  <c r="U1560" i="3"/>
  <c r="U1559" i="3"/>
  <c r="U1558" i="3"/>
  <c r="U1557" i="3"/>
  <c r="U1556" i="3"/>
  <c r="U1555" i="3"/>
  <c r="U1554" i="3"/>
  <c r="U1553" i="3"/>
  <c r="U1552" i="3"/>
  <c r="U1551" i="3"/>
  <c r="U1550" i="3"/>
  <c r="U1549" i="3"/>
  <c r="U1548" i="3"/>
  <c r="U1547" i="3"/>
  <c r="U1546" i="3"/>
  <c r="U1545" i="3"/>
  <c r="U1544" i="3"/>
  <c r="U1543" i="3"/>
  <c r="U1542" i="3"/>
  <c r="U1541" i="3"/>
  <c r="U1540" i="3"/>
  <c r="U1539" i="3"/>
  <c r="U1538" i="3"/>
  <c r="U1537" i="3"/>
  <c r="U1536" i="3"/>
  <c r="U1535" i="3"/>
  <c r="U1534" i="3"/>
  <c r="U1533" i="3"/>
  <c r="U1532" i="3"/>
  <c r="U1531" i="3"/>
  <c r="U1530" i="3"/>
  <c r="U1529" i="3"/>
  <c r="U1528" i="3"/>
  <c r="U1527" i="3"/>
  <c r="U1526" i="3"/>
  <c r="U1525" i="3"/>
  <c r="U1524" i="3"/>
  <c r="U1523" i="3"/>
  <c r="U1522" i="3"/>
  <c r="U1521" i="3"/>
  <c r="U1520" i="3"/>
  <c r="U1519" i="3"/>
  <c r="U1518" i="3"/>
  <c r="U1517" i="3"/>
  <c r="U1516" i="3"/>
  <c r="U1515" i="3"/>
  <c r="U1514" i="3"/>
  <c r="U1513" i="3"/>
  <c r="U1512" i="3"/>
  <c r="U1511" i="3"/>
  <c r="U1510" i="3"/>
  <c r="U1509" i="3"/>
  <c r="U1508" i="3"/>
  <c r="U1507" i="3"/>
  <c r="U1506" i="3"/>
  <c r="U1505" i="3"/>
  <c r="U1504" i="3"/>
  <c r="U1503" i="3"/>
  <c r="U1502" i="3"/>
  <c r="U1501" i="3"/>
  <c r="U1500" i="3"/>
  <c r="U1499" i="3"/>
  <c r="U1498" i="3"/>
  <c r="U1497" i="3"/>
  <c r="U1496" i="3"/>
  <c r="U1495" i="3"/>
  <c r="U1494" i="3"/>
  <c r="U1493" i="3"/>
  <c r="U1492" i="3"/>
  <c r="U1491" i="3"/>
  <c r="U1490" i="3"/>
  <c r="U1489" i="3"/>
  <c r="U1488" i="3"/>
  <c r="U1487" i="3"/>
  <c r="U1486" i="3"/>
  <c r="U1485" i="3"/>
  <c r="U1484" i="3"/>
  <c r="U1483" i="3"/>
  <c r="U1482" i="3"/>
  <c r="U1481" i="3"/>
  <c r="U1480" i="3"/>
  <c r="U1479" i="3"/>
  <c r="U1478" i="3"/>
  <c r="U1477" i="3"/>
  <c r="U1476" i="3"/>
  <c r="U1475" i="3"/>
  <c r="U1474" i="3"/>
  <c r="U1473" i="3"/>
  <c r="U1472" i="3"/>
  <c r="U1471" i="3"/>
  <c r="U1470" i="3"/>
  <c r="U1469" i="3"/>
  <c r="U1468" i="3"/>
  <c r="U1467" i="3"/>
  <c r="U1466" i="3"/>
  <c r="U1465" i="3"/>
  <c r="U1464" i="3"/>
  <c r="U1463" i="3"/>
  <c r="U1462" i="3"/>
  <c r="U1461" i="3"/>
  <c r="U1460" i="3"/>
  <c r="U1459" i="3"/>
  <c r="U1458" i="3"/>
  <c r="U1457" i="3"/>
  <c r="U1456" i="3"/>
  <c r="U1455" i="3"/>
  <c r="U1454" i="3"/>
  <c r="U1453" i="3"/>
  <c r="U1452" i="3"/>
  <c r="U1451" i="3"/>
  <c r="U1450" i="3"/>
  <c r="U1449" i="3"/>
  <c r="U1448" i="3"/>
  <c r="U1447" i="3"/>
  <c r="U1446" i="3"/>
  <c r="U1445" i="3"/>
  <c r="U1444" i="3"/>
  <c r="U1443" i="3"/>
  <c r="U1442" i="3"/>
  <c r="U1441" i="3"/>
  <c r="U1440" i="3"/>
  <c r="U1439" i="3"/>
  <c r="U1438" i="3"/>
  <c r="U1437" i="3"/>
  <c r="U1436" i="3"/>
  <c r="U1435" i="3"/>
  <c r="U1434" i="3"/>
  <c r="U1433" i="3"/>
  <c r="U1432" i="3"/>
  <c r="U1431" i="3"/>
  <c r="U1430" i="3"/>
  <c r="U1429" i="3"/>
  <c r="U1428" i="3"/>
  <c r="U1427" i="3"/>
  <c r="U1426" i="3"/>
  <c r="U1425" i="3"/>
  <c r="U1424" i="3"/>
  <c r="U1423" i="3"/>
  <c r="U1422" i="3"/>
  <c r="U1421" i="3"/>
  <c r="U1420" i="3"/>
  <c r="U1419" i="3"/>
  <c r="U1418" i="3"/>
  <c r="U1417" i="3"/>
  <c r="U1416" i="3"/>
  <c r="U1415" i="3"/>
  <c r="U1414" i="3"/>
  <c r="U1413" i="3"/>
  <c r="U1412" i="3"/>
  <c r="U1411" i="3"/>
  <c r="U1410" i="3"/>
  <c r="U1409" i="3"/>
  <c r="U1408" i="3"/>
  <c r="U1407" i="3"/>
  <c r="U1406" i="3"/>
  <c r="U1405" i="3"/>
  <c r="U1404" i="3"/>
  <c r="U1403" i="3"/>
  <c r="U1402" i="3"/>
  <c r="U1401" i="3"/>
  <c r="U1400" i="3"/>
  <c r="U1399" i="3"/>
  <c r="U1398" i="3"/>
  <c r="U1397" i="3"/>
  <c r="U1396" i="3"/>
  <c r="U1395" i="3"/>
  <c r="U1394" i="3"/>
  <c r="U1393" i="3"/>
  <c r="U1392" i="3"/>
  <c r="U1391" i="3"/>
  <c r="U1390" i="3"/>
  <c r="U1389" i="3"/>
  <c r="U1388" i="3"/>
  <c r="U1387" i="3"/>
  <c r="U1386" i="3"/>
  <c r="U1385" i="3"/>
  <c r="U1384" i="3"/>
  <c r="U1383" i="3"/>
  <c r="U1382" i="3"/>
  <c r="U1381" i="3"/>
  <c r="U1380" i="3"/>
  <c r="U1379" i="3"/>
  <c r="U1378" i="3"/>
  <c r="U1377" i="3"/>
  <c r="U1376" i="3"/>
  <c r="U1375" i="3"/>
  <c r="U1374" i="3"/>
  <c r="U1373" i="3"/>
  <c r="U1372" i="3"/>
  <c r="U1371" i="3"/>
  <c r="U1370" i="3"/>
  <c r="U1369" i="3"/>
  <c r="U1368" i="3"/>
  <c r="U1367" i="3"/>
  <c r="U1366" i="3"/>
  <c r="U1365" i="3"/>
  <c r="U1364" i="3"/>
  <c r="U1363" i="3"/>
  <c r="U1362" i="3"/>
  <c r="U1361" i="3"/>
  <c r="U1360" i="3"/>
  <c r="U1359" i="3"/>
  <c r="U1358" i="3"/>
  <c r="U1357" i="3"/>
  <c r="U1356" i="3"/>
  <c r="U1355" i="3"/>
  <c r="U1354" i="3"/>
  <c r="U1353" i="3"/>
  <c r="U1352" i="3"/>
  <c r="U1351" i="3"/>
  <c r="U1350" i="3"/>
  <c r="U1349" i="3"/>
  <c r="U1348" i="3"/>
  <c r="U1347" i="3"/>
  <c r="U1346" i="3"/>
  <c r="U1345" i="3"/>
  <c r="U1344" i="3"/>
  <c r="U1343" i="3"/>
  <c r="U1342" i="3"/>
  <c r="U1341" i="3"/>
  <c r="U1340" i="3"/>
  <c r="U1339" i="3"/>
  <c r="U1338" i="3"/>
  <c r="U1337" i="3"/>
  <c r="U1336" i="3"/>
  <c r="U1335" i="3"/>
  <c r="U1334" i="3"/>
  <c r="U1333" i="3"/>
  <c r="U1332" i="3"/>
  <c r="U1331" i="3"/>
  <c r="U1330" i="3"/>
  <c r="U1329" i="3"/>
  <c r="U1328" i="3"/>
  <c r="U1327" i="3"/>
  <c r="U1326" i="3"/>
  <c r="U1325" i="3"/>
  <c r="U1324" i="3"/>
  <c r="U1323" i="3"/>
  <c r="U1322" i="3"/>
  <c r="U1321" i="3"/>
  <c r="U1320" i="3"/>
  <c r="U1319" i="3"/>
  <c r="U1318" i="3"/>
  <c r="U1317" i="3"/>
  <c r="U1316" i="3"/>
  <c r="U1315" i="3"/>
  <c r="U1314" i="3"/>
  <c r="U1313" i="3"/>
  <c r="U1312" i="3"/>
  <c r="U1311" i="3"/>
  <c r="U1310" i="3"/>
  <c r="U1309" i="3"/>
  <c r="U1308" i="3"/>
  <c r="U1307" i="3"/>
  <c r="U1306" i="3"/>
  <c r="U1305" i="3"/>
  <c r="U1304" i="3"/>
  <c r="U1303" i="3"/>
  <c r="U1302" i="3"/>
  <c r="U1301" i="3"/>
  <c r="U1300" i="3"/>
  <c r="U1299" i="3"/>
  <c r="U1298" i="3"/>
  <c r="U1297" i="3"/>
  <c r="U1296" i="3"/>
  <c r="U1295" i="3"/>
  <c r="U1294" i="3"/>
  <c r="U1293" i="3"/>
  <c r="U1292" i="3"/>
  <c r="U1291" i="3"/>
  <c r="U1290" i="3"/>
  <c r="U1289" i="3"/>
  <c r="U1288" i="3"/>
  <c r="U1287" i="3"/>
  <c r="U1286" i="3"/>
  <c r="U1285" i="3"/>
  <c r="U1284" i="3"/>
  <c r="U1283" i="3"/>
  <c r="U1282" i="3"/>
  <c r="U1281" i="3"/>
  <c r="U1280" i="3"/>
  <c r="U1279" i="3"/>
  <c r="U1278" i="3"/>
  <c r="U1277" i="3"/>
  <c r="U1276" i="3"/>
  <c r="U1275" i="3"/>
  <c r="U1274" i="3"/>
  <c r="U1273" i="3"/>
  <c r="U1272" i="3"/>
  <c r="U1271" i="3"/>
  <c r="U1270" i="3"/>
  <c r="U1269" i="3"/>
  <c r="U1268" i="3"/>
  <c r="U1267" i="3"/>
  <c r="U1266" i="3"/>
  <c r="U1265" i="3"/>
  <c r="U1264" i="3"/>
  <c r="U1263" i="3"/>
  <c r="U1262" i="3"/>
  <c r="U1261" i="3"/>
  <c r="U1260" i="3"/>
  <c r="U1259" i="3"/>
  <c r="U1258" i="3"/>
  <c r="U1257" i="3"/>
  <c r="U1256" i="3"/>
  <c r="U1255" i="3"/>
  <c r="U1254" i="3"/>
  <c r="U1253" i="3"/>
  <c r="U1252" i="3"/>
  <c r="U1251" i="3"/>
  <c r="U1250" i="3"/>
  <c r="U1249" i="3"/>
  <c r="U1248" i="3"/>
  <c r="U1247" i="3"/>
  <c r="U1246" i="3"/>
  <c r="U1245" i="3"/>
  <c r="U1244" i="3"/>
  <c r="U1243" i="3"/>
  <c r="U1242" i="3"/>
  <c r="U1241" i="3"/>
  <c r="U1240" i="3"/>
  <c r="U1239" i="3"/>
  <c r="U1238" i="3"/>
  <c r="U1237" i="3"/>
  <c r="U1236" i="3"/>
  <c r="U1235" i="3"/>
  <c r="U1234" i="3"/>
  <c r="U1233" i="3"/>
  <c r="U1232" i="3"/>
  <c r="U1231" i="3"/>
  <c r="U1230" i="3"/>
  <c r="U1229" i="3"/>
  <c r="U1228" i="3"/>
  <c r="U1227" i="3"/>
  <c r="U1226" i="3"/>
  <c r="U1225" i="3"/>
  <c r="U1224" i="3"/>
  <c r="U1223" i="3"/>
  <c r="U1222" i="3"/>
  <c r="U1221" i="3"/>
  <c r="U1220" i="3"/>
  <c r="U1219" i="3"/>
  <c r="U1218" i="3"/>
  <c r="U1217" i="3"/>
  <c r="U1216" i="3"/>
  <c r="U1215" i="3"/>
  <c r="U1214" i="3"/>
  <c r="U1213" i="3"/>
  <c r="U1212" i="3"/>
  <c r="U1211" i="3"/>
  <c r="U1210" i="3"/>
  <c r="U1209" i="3"/>
  <c r="U1208" i="3"/>
  <c r="U1207" i="3"/>
  <c r="U1206" i="3"/>
  <c r="U1205" i="3"/>
  <c r="U1204" i="3"/>
  <c r="U1203" i="3"/>
  <c r="U1202" i="3"/>
  <c r="U1201" i="3"/>
  <c r="U1200" i="3"/>
  <c r="U1199" i="3"/>
  <c r="U1198" i="3"/>
  <c r="U1197" i="3"/>
  <c r="U1196" i="3"/>
  <c r="U1195" i="3"/>
  <c r="U1194" i="3"/>
  <c r="U1193" i="3"/>
  <c r="U1192" i="3"/>
  <c r="U1191" i="3"/>
  <c r="U1190" i="3"/>
  <c r="U1189" i="3"/>
  <c r="U1188" i="3"/>
  <c r="U1187" i="3"/>
  <c r="U1186" i="3"/>
  <c r="U1185" i="3"/>
  <c r="U1184" i="3"/>
  <c r="U1183" i="3"/>
  <c r="U1182" i="3"/>
  <c r="U1181" i="3"/>
  <c r="U1180" i="3"/>
  <c r="U1179" i="3"/>
  <c r="U1178" i="3"/>
  <c r="U1177" i="3"/>
  <c r="U1176" i="3"/>
  <c r="U1175" i="3"/>
  <c r="U1174" i="3"/>
  <c r="U1173" i="3"/>
  <c r="U1172" i="3"/>
  <c r="U1171" i="3"/>
  <c r="U1170" i="3"/>
  <c r="U1169" i="3"/>
  <c r="U1168" i="3"/>
  <c r="U1167" i="3"/>
  <c r="U1166" i="3"/>
  <c r="U1165" i="3"/>
  <c r="U1164" i="3"/>
  <c r="U1163" i="3"/>
  <c r="U1162" i="3"/>
  <c r="U1161" i="3"/>
  <c r="U1160" i="3"/>
  <c r="U1159" i="3"/>
  <c r="U1158" i="3"/>
  <c r="U1157" i="3"/>
  <c r="U1156" i="3"/>
  <c r="U1155" i="3"/>
  <c r="U1154" i="3"/>
  <c r="U1153" i="3"/>
  <c r="U1152" i="3"/>
  <c r="U1151" i="3"/>
  <c r="U1150" i="3"/>
  <c r="U1149" i="3"/>
  <c r="U1148" i="3"/>
  <c r="U1147" i="3"/>
  <c r="U1146" i="3"/>
  <c r="U1145" i="3"/>
  <c r="U1144" i="3"/>
  <c r="U1143" i="3"/>
  <c r="U1142" i="3"/>
  <c r="U1141" i="3"/>
  <c r="U1140" i="3"/>
  <c r="U1139" i="3"/>
  <c r="U1138" i="3"/>
  <c r="U1137" i="3"/>
  <c r="U1136" i="3"/>
  <c r="U1135" i="3"/>
  <c r="U1134" i="3"/>
  <c r="U1133" i="3"/>
  <c r="U1132" i="3"/>
  <c r="U1131" i="3"/>
  <c r="U1130" i="3"/>
  <c r="U1129" i="3"/>
  <c r="U1128" i="3"/>
  <c r="U1127" i="3"/>
  <c r="U1126" i="3"/>
  <c r="U1125" i="3"/>
  <c r="U1124" i="3"/>
  <c r="U1123" i="3"/>
  <c r="U1122" i="3"/>
  <c r="U1121" i="3"/>
  <c r="U1120" i="3"/>
  <c r="U1119" i="3"/>
  <c r="U1118" i="3"/>
  <c r="U1117" i="3"/>
  <c r="U1116" i="3"/>
  <c r="U1115" i="3"/>
  <c r="U1114" i="3"/>
  <c r="U1113" i="3"/>
  <c r="U1112" i="3"/>
  <c r="U1111" i="3"/>
  <c r="U1110" i="3"/>
  <c r="U1109" i="3"/>
  <c r="U1108" i="3"/>
  <c r="U1107" i="3"/>
  <c r="U1106" i="3"/>
  <c r="U1105" i="3"/>
  <c r="U1104" i="3"/>
  <c r="U1103" i="3"/>
  <c r="U1102" i="3"/>
  <c r="U1101" i="3"/>
  <c r="U1100" i="3"/>
  <c r="U1099" i="3"/>
  <c r="U1098" i="3"/>
  <c r="U1097" i="3"/>
  <c r="U1096" i="3"/>
  <c r="U1095" i="3"/>
  <c r="U1094" i="3"/>
  <c r="U1093" i="3"/>
  <c r="U1092" i="3"/>
  <c r="U1091" i="3"/>
  <c r="U1090" i="3"/>
  <c r="U1089" i="3"/>
  <c r="U1088" i="3"/>
  <c r="U1087" i="3"/>
  <c r="U1086" i="3"/>
  <c r="U1085" i="3"/>
  <c r="U1084" i="3"/>
  <c r="U1083" i="3"/>
  <c r="U1082" i="3"/>
  <c r="U1081" i="3"/>
  <c r="U1080" i="3"/>
  <c r="U1079" i="3"/>
  <c r="U1078" i="3"/>
  <c r="U1077" i="3"/>
  <c r="U1076" i="3"/>
  <c r="U1075" i="3"/>
  <c r="U1074" i="3"/>
  <c r="U1073" i="3"/>
  <c r="U1072" i="3"/>
  <c r="U1071" i="3"/>
  <c r="U1070" i="3"/>
  <c r="U1069" i="3"/>
  <c r="U1068" i="3"/>
  <c r="U1067" i="3"/>
  <c r="U1066" i="3"/>
  <c r="U1065" i="3"/>
  <c r="U1064" i="3"/>
  <c r="U1063" i="3"/>
  <c r="U1062" i="3"/>
  <c r="U1061" i="3"/>
  <c r="U1060" i="3"/>
  <c r="U1059" i="3"/>
  <c r="U1058" i="3"/>
  <c r="U1057" i="3"/>
  <c r="U1056" i="3"/>
  <c r="U1055" i="3"/>
  <c r="U1054" i="3"/>
  <c r="U1053" i="3"/>
  <c r="U1052" i="3"/>
  <c r="U1051" i="3"/>
  <c r="U1050" i="3"/>
  <c r="U1049" i="3"/>
  <c r="U1048" i="3"/>
  <c r="U1047" i="3"/>
  <c r="U1046" i="3"/>
  <c r="U1045" i="3"/>
  <c r="U1044" i="3"/>
  <c r="U1043" i="3"/>
  <c r="U1042" i="3"/>
  <c r="U1041" i="3"/>
  <c r="U1040" i="3"/>
  <c r="U1039" i="3"/>
  <c r="U1038" i="3"/>
  <c r="U1037" i="3"/>
  <c r="U1036" i="3"/>
  <c r="U1035" i="3"/>
  <c r="U1034" i="3"/>
  <c r="U1033" i="3"/>
  <c r="U1032" i="3"/>
  <c r="U1031" i="3"/>
  <c r="U1030" i="3"/>
  <c r="U1029" i="3"/>
  <c r="U1028" i="3"/>
  <c r="U1027" i="3"/>
  <c r="U1026" i="3"/>
  <c r="U1025" i="3"/>
  <c r="U1024" i="3"/>
  <c r="U1023" i="3"/>
  <c r="U1022" i="3"/>
  <c r="U1021" i="3"/>
  <c r="U1020" i="3"/>
  <c r="U1019" i="3"/>
  <c r="U1018" i="3"/>
  <c r="U1017" i="3"/>
  <c r="U1016" i="3"/>
  <c r="U1015" i="3"/>
  <c r="U1014" i="3"/>
  <c r="U1013" i="3"/>
  <c r="U1012" i="3"/>
  <c r="U1011" i="3"/>
  <c r="U1010" i="3"/>
  <c r="U1009" i="3"/>
  <c r="U1008" i="3"/>
  <c r="U1007" i="3"/>
  <c r="U1006" i="3"/>
  <c r="U1005" i="3"/>
  <c r="U1004" i="3"/>
  <c r="U1003" i="3"/>
  <c r="U1002" i="3"/>
  <c r="U1001" i="3"/>
  <c r="U1000" i="3"/>
  <c r="U999" i="3"/>
  <c r="U998" i="3"/>
  <c r="U997" i="3"/>
  <c r="U996" i="3"/>
  <c r="U995" i="3"/>
  <c r="U994" i="3"/>
  <c r="U993" i="3"/>
  <c r="U992" i="3"/>
  <c r="U991" i="3"/>
  <c r="U990" i="3"/>
  <c r="U989" i="3"/>
  <c r="U988" i="3"/>
  <c r="U987" i="3"/>
  <c r="U986" i="3"/>
  <c r="U985" i="3"/>
  <c r="U984" i="3"/>
  <c r="U983" i="3"/>
  <c r="U982" i="3"/>
  <c r="U981" i="3"/>
  <c r="U980" i="3"/>
  <c r="U979" i="3"/>
  <c r="U978" i="3"/>
  <c r="U977" i="3"/>
  <c r="U976" i="3"/>
  <c r="U975" i="3"/>
  <c r="U974" i="3"/>
  <c r="U973" i="3"/>
  <c r="U972" i="3"/>
  <c r="U971" i="3"/>
  <c r="U970" i="3"/>
  <c r="U969" i="3"/>
  <c r="U968" i="3"/>
  <c r="U967" i="3"/>
  <c r="U966" i="3"/>
  <c r="U965" i="3"/>
  <c r="U964" i="3"/>
  <c r="U963" i="3"/>
  <c r="U962" i="3"/>
  <c r="U961" i="3"/>
  <c r="U960" i="3"/>
  <c r="U959" i="3"/>
  <c r="U958" i="3"/>
  <c r="U957" i="3"/>
  <c r="U956" i="3"/>
  <c r="U955" i="3"/>
  <c r="U954" i="3"/>
  <c r="U953" i="3"/>
  <c r="U952" i="3"/>
  <c r="U951" i="3"/>
  <c r="U950" i="3"/>
  <c r="U949" i="3"/>
  <c r="U948" i="3"/>
  <c r="U947" i="3"/>
  <c r="U946" i="3"/>
  <c r="U945" i="3"/>
  <c r="U944" i="3"/>
  <c r="U943" i="3"/>
  <c r="U942" i="3"/>
  <c r="U941" i="3"/>
  <c r="U940" i="3"/>
  <c r="U939" i="3"/>
  <c r="U938" i="3"/>
  <c r="U937" i="3"/>
  <c r="U936" i="3"/>
  <c r="U935" i="3"/>
  <c r="U934" i="3"/>
  <c r="U933" i="3"/>
  <c r="U932" i="3"/>
  <c r="U931" i="3"/>
  <c r="U930" i="3"/>
  <c r="U929" i="3"/>
  <c r="U928" i="3"/>
  <c r="U927" i="3"/>
  <c r="U926" i="3"/>
  <c r="U925" i="3"/>
  <c r="U924" i="3"/>
  <c r="U923" i="3"/>
  <c r="U922" i="3"/>
  <c r="U921" i="3"/>
  <c r="U920" i="3"/>
  <c r="U919" i="3"/>
  <c r="U918" i="3"/>
  <c r="U917" i="3"/>
  <c r="U916" i="3"/>
  <c r="U915" i="3"/>
  <c r="U914" i="3"/>
  <c r="U913" i="3"/>
  <c r="U912" i="3"/>
  <c r="U911" i="3"/>
  <c r="U910" i="3"/>
  <c r="U909" i="3"/>
  <c r="U908" i="3"/>
  <c r="U907" i="3"/>
  <c r="U906" i="3"/>
  <c r="U905" i="3"/>
  <c r="U904" i="3"/>
  <c r="U903" i="3"/>
  <c r="U902" i="3"/>
  <c r="U901" i="3"/>
  <c r="U900" i="3"/>
  <c r="U899" i="3"/>
  <c r="U898" i="3"/>
  <c r="U897" i="3"/>
  <c r="U896" i="3"/>
  <c r="U895" i="3"/>
  <c r="U894" i="3"/>
  <c r="U893" i="3"/>
  <c r="U892" i="3"/>
  <c r="U891" i="3"/>
  <c r="U890" i="3"/>
  <c r="U889" i="3"/>
  <c r="U888" i="3"/>
  <c r="U887" i="3"/>
  <c r="U886" i="3"/>
  <c r="U885" i="3"/>
  <c r="U884" i="3"/>
  <c r="U883" i="3"/>
  <c r="U882" i="3"/>
  <c r="U881" i="3"/>
  <c r="U880" i="3"/>
  <c r="U879" i="3"/>
  <c r="U878" i="3"/>
  <c r="U877" i="3"/>
  <c r="U876" i="3"/>
  <c r="U875" i="3"/>
  <c r="U874" i="3"/>
  <c r="U873" i="3"/>
  <c r="U872" i="3"/>
  <c r="U871" i="3"/>
  <c r="U870" i="3"/>
  <c r="U869" i="3"/>
  <c r="U868" i="3"/>
  <c r="U867" i="3"/>
  <c r="U866" i="3"/>
  <c r="U865" i="3"/>
  <c r="U864" i="3"/>
  <c r="U863" i="3"/>
  <c r="U862" i="3"/>
  <c r="U861" i="3"/>
  <c r="U860" i="3"/>
  <c r="U859" i="3"/>
  <c r="U858" i="3"/>
  <c r="U857" i="3"/>
  <c r="U856" i="3"/>
  <c r="U855" i="3"/>
  <c r="U854" i="3"/>
  <c r="U853" i="3"/>
  <c r="U852" i="3"/>
  <c r="U851" i="3"/>
  <c r="U850" i="3"/>
  <c r="U849" i="3"/>
  <c r="U848" i="3"/>
  <c r="U847" i="3"/>
  <c r="U846" i="3"/>
  <c r="U845" i="3"/>
  <c r="U844" i="3"/>
  <c r="U843" i="3"/>
  <c r="U842" i="3"/>
  <c r="U841" i="3"/>
  <c r="U840" i="3"/>
  <c r="U839" i="3"/>
  <c r="U838" i="3"/>
  <c r="U837" i="3"/>
  <c r="U836" i="3"/>
  <c r="U835" i="3"/>
  <c r="U834" i="3"/>
  <c r="U833" i="3"/>
  <c r="U832" i="3"/>
  <c r="U831" i="3"/>
  <c r="U830" i="3"/>
  <c r="U829" i="3"/>
  <c r="U828" i="3"/>
  <c r="U827" i="3"/>
  <c r="U826" i="3"/>
  <c r="U825" i="3"/>
  <c r="U824" i="3"/>
  <c r="U823" i="3"/>
  <c r="U822" i="3"/>
  <c r="U821" i="3"/>
  <c r="U820" i="3"/>
  <c r="U819" i="3"/>
  <c r="U818" i="3"/>
  <c r="U817" i="3"/>
  <c r="U816" i="3"/>
  <c r="U815" i="3"/>
  <c r="U814" i="3"/>
  <c r="U813" i="3"/>
  <c r="U812" i="3"/>
  <c r="U811" i="3"/>
  <c r="U810" i="3"/>
  <c r="U809" i="3"/>
  <c r="U808" i="3"/>
  <c r="U807" i="3"/>
  <c r="U806" i="3"/>
  <c r="U805" i="3"/>
  <c r="U804" i="3"/>
  <c r="U803" i="3"/>
  <c r="U802" i="3"/>
  <c r="U801" i="3"/>
  <c r="U800" i="3"/>
  <c r="U799" i="3"/>
  <c r="U798" i="3"/>
  <c r="U797" i="3"/>
  <c r="U796" i="3"/>
  <c r="U795" i="3"/>
  <c r="U794" i="3"/>
  <c r="U793" i="3"/>
  <c r="U792" i="3"/>
  <c r="U791" i="3"/>
  <c r="U790" i="3"/>
  <c r="U789" i="3"/>
  <c r="U788" i="3"/>
  <c r="U787" i="3"/>
  <c r="U786" i="3"/>
  <c r="U785" i="3"/>
  <c r="U784" i="3"/>
  <c r="U783" i="3"/>
  <c r="U782" i="3"/>
  <c r="U781" i="3"/>
  <c r="U780" i="3"/>
  <c r="U779" i="3"/>
  <c r="U778" i="3"/>
  <c r="U777" i="3"/>
  <c r="U776" i="3"/>
  <c r="U775" i="3"/>
  <c r="U774" i="3"/>
  <c r="U773" i="3"/>
  <c r="U772" i="3"/>
  <c r="U771" i="3"/>
  <c r="U770" i="3"/>
  <c r="U769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3" i="3"/>
  <c r="U742" i="3"/>
  <c r="U741" i="3"/>
  <c r="U740" i="3"/>
  <c r="U739" i="3"/>
  <c r="U738" i="3"/>
  <c r="U737" i="3"/>
  <c r="U736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700" i="3"/>
  <c r="U699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1" i="3"/>
  <c r="U590" i="3"/>
  <c r="U589" i="3"/>
  <c r="U588" i="3"/>
  <c r="U587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9" i="3"/>
  <c r="U548" i="3"/>
  <c r="U547" i="3"/>
  <c r="U546" i="3"/>
  <c r="U545" i="3"/>
  <c r="U544" i="3"/>
  <c r="U543" i="3"/>
  <c r="U542" i="3"/>
  <c r="U541" i="3"/>
  <c r="U540" i="3"/>
  <c r="U539" i="3"/>
  <c r="U538" i="3"/>
  <c r="U537" i="3"/>
  <c r="U536" i="3"/>
  <c r="U535" i="3"/>
  <c r="U534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7" i="3"/>
  <c r="U456" i="3"/>
  <c r="U455" i="3"/>
  <c r="U454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2" i="3"/>
  <c r="T2107" i="3"/>
  <c r="T2106" i="3"/>
  <c r="T2105" i="3"/>
  <c r="T2104" i="3"/>
  <c r="T2103" i="3"/>
  <c r="T2102" i="3"/>
  <c r="T2101" i="3"/>
  <c r="T2100" i="3"/>
  <c r="T2099" i="3"/>
  <c r="T2098" i="3"/>
  <c r="T2097" i="3"/>
  <c r="T2096" i="3"/>
  <c r="T2095" i="3"/>
  <c r="T2094" i="3"/>
  <c r="T2093" i="3"/>
  <c r="T2092" i="3"/>
  <c r="T2091" i="3"/>
  <c r="T2090" i="3"/>
  <c r="T2089" i="3"/>
  <c r="T2088" i="3"/>
  <c r="T2087" i="3"/>
  <c r="T2086" i="3"/>
  <c r="T2085" i="3"/>
  <c r="T2084" i="3"/>
  <c r="T2083" i="3"/>
  <c r="T2082" i="3"/>
  <c r="T2081" i="3"/>
  <c r="T2080" i="3"/>
  <c r="T2079" i="3"/>
  <c r="T2078" i="3"/>
  <c r="T2077" i="3"/>
  <c r="T2076" i="3"/>
  <c r="T2075" i="3"/>
  <c r="T2074" i="3"/>
  <c r="T2073" i="3"/>
  <c r="T2072" i="3"/>
  <c r="T2071" i="3"/>
  <c r="T2070" i="3"/>
  <c r="T2069" i="3"/>
  <c r="T2068" i="3"/>
  <c r="T2067" i="3"/>
  <c r="T2066" i="3"/>
  <c r="T2065" i="3"/>
  <c r="T2064" i="3"/>
  <c r="T2063" i="3"/>
  <c r="T2062" i="3"/>
  <c r="T2061" i="3"/>
  <c r="T2060" i="3"/>
  <c r="T2059" i="3"/>
  <c r="T2058" i="3"/>
  <c r="T2057" i="3"/>
  <c r="T2056" i="3"/>
  <c r="T2055" i="3"/>
  <c r="T2054" i="3"/>
  <c r="T2053" i="3"/>
  <c r="T2052" i="3"/>
  <c r="T2051" i="3"/>
  <c r="T2050" i="3"/>
  <c r="T2049" i="3"/>
  <c r="T2048" i="3"/>
  <c r="T2047" i="3"/>
  <c r="T2046" i="3"/>
  <c r="T2045" i="3"/>
  <c r="T2044" i="3"/>
  <c r="T2043" i="3"/>
  <c r="T2042" i="3"/>
  <c r="T2041" i="3"/>
  <c r="T2040" i="3"/>
  <c r="T2039" i="3"/>
  <c r="T2038" i="3"/>
  <c r="T2037" i="3"/>
  <c r="T2036" i="3"/>
  <c r="T2035" i="3"/>
  <c r="T2034" i="3"/>
  <c r="T2033" i="3"/>
  <c r="T2032" i="3"/>
  <c r="T2031" i="3"/>
  <c r="T2030" i="3"/>
  <c r="T2029" i="3"/>
  <c r="T2028" i="3"/>
  <c r="T2027" i="3"/>
  <c r="T2026" i="3"/>
  <c r="T2025" i="3"/>
  <c r="T2024" i="3"/>
  <c r="T2023" i="3"/>
  <c r="T2022" i="3"/>
  <c r="T2021" i="3"/>
  <c r="T2020" i="3"/>
  <c r="T2019" i="3"/>
  <c r="T2018" i="3"/>
  <c r="T2017" i="3"/>
  <c r="T2016" i="3"/>
  <c r="T2015" i="3"/>
  <c r="T2014" i="3"/>
  <c r="T2013" i="3"/>
  <c r="T2012" i="3"/>
  <c r="T2011" i="3"/>
  <c r="T2010" i="3"/>
  <c r="T2009" i="3"/>
  <c r="T2008" i="3"/>
  <c r="T2007" i="3"/>
  <c r="T2006" i="3"/>
  <c r="T2005" i="3"/>
  <c r="T2004" i="3"/>
  <c r="T2003" i="3"/>
  <c r="T2002" i="3"/>
  <c r="T2001" i="3"/>
  <c r="T2000" i="3"/>
  <c r="T1999" i="3"/>
  <c r="T1998" i="3"/>
  <c r="T1997" i="3"/>
  <c r="T1996" i="3"/>
  <c r="T1995" i="3"/>
  <c r="T1994" i="3"/>
  <c r="T1993" i="3"/>
  <c r="T1992" i="3"/>
  <c r="T1991" i="3"/>
  <c r="T1990" i="3"/>
  <c r="T1989" i="3"/>
  <c r="T1988" i="3"/>
  <c r="T1987" i="3"/>
  <c r="T1986" i="3"/>
  <c r="T1985" i="3"/>
  <c r="T1984" i="3"/>
  <c r="T1983" i="3"/>
  <c r="T1982" i="3"/>
  <c r="T1981" i="3"/>
  <c r="T1980" i="3"/>
  <c r="T1979" i="3"/>
  <c r="T1978" i="3"/>
  <c r="T1977" i="3"/>
  <c r="T1976" i="3"/>
  <c r="T1975" i="3"/>
  <c r="T1974" i="3"/>
  <c r="T1973" i="3"/>
  <c r="T1972" i="3"/>
  <c r="T1971" i="3"/>
  <c r="T1970" i="3"/>
  <c r="T1969" i="3"/>
  <c r="T1968" i="3"/>
  <c r="T1967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1953" i="3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60" i="3"/>
  <c r="T1859" i="3"/>
  <c r="T1858" i="3"/>
  <c r="T1857" i="3"/>
  <c r="T1856" i="3"/>
  <c r="T1855" i="3"/>
  <c r="T1854" i="3"/>
  <c r="T1853" i="3"/>
  <c r="T1852" i="3"/>
  <c r="T1851" i="3"/>
  <c r="T1850" i="3"/>
  <c r="T1849" i="3"/>
  <c r="T1848" i="3"/>
  <c r="T1847" i="3"/>
  <c r="T1846" i="3"/>
  <c r="T1845" i="3"/>
  <c r="T1844" i="3"/>
  <c r="T1843" i="3"/>
  <c r="T1842" i="3"/>
  <c r="T1841" i="3"/>
  <c r="T1840" i="3"/>
  <c r="T1839" i="3"/>
  <c r="T1838" i="3"/>
  <c r="T1837" i="3"/>
  <c r="T1836" i="3"/>
  <c r="T1835" i="3"/>
  <c r="T1834" i="3"/>
  <c r="T1833" i="3"/>
  <c r="T1832" i="3"/>
  <c r="T1831" i="3"/>
  <c r="T1830" i="3"/>
  <c r="T1829" i="3"/>
  <c r="T1828" i="3"/>
  <c r="T1827" i="3"/>
  <c r="T1826" i="3"/>
  <c r="T1825" i="3"/>
  <c r="T1824" i="3"/>
  <c r="T1823" i="3"/>
  <c r="T1822" i="3"/>
  <c r="T1821" i="3"/>
  <c r="T1820" i="3"/>
  <c r="T1819" i="3"/>
  <c r="T1818" i="3"/>
  <c r="T1817" i="3"/>
  <c r="T1816" i="3"/>
  <c r="T1815" i="3"/>
  <c r="T1814" i="3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T1749" i="3"/>
  <c r="T1748" i="3"/>
  <c r="T1747" i="3"/>
  <c r="T1746" i="3"/>
  <c r="T1745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3" i="3"/>
  <c r="T2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4" i="3"/>
  <c r="S3" i="3"/>
  <c r="S2" i="3"/>
  <c r="AB2108" i="3" l="1"/>
  <c r="I2" i="4" s="1"/>
  <c r="AG2108" i="3"/>
  <c r="N2" i="4" s="1"/>
  <c r="AC2108" i="3"/>
  <c r="AF2108" i="3"/>
  <c r="AE2108" i="3"/>
  <c r="Z2108" i="3"/>
  <c r="Y4" i="3"/>
  <c r="Y12" i="3"/>
  <c r="Y20" i="3"/>
  <c r="Y28" i="3"/>
  <c r="Y36" i="3"/>
  <c r="Y44" i="3"/>
  <c r="Y52" i="3"/>
  <c r="Y60" i="3"/>
  <c r="Y68" i="3"/>
  <c r="Y76" i="3"/>
  <c r="Y84" i="3"/>
  <c r="Y92" i="3"/>
  <c r="Y100" i="3"/>
  <c r="Y108" i="3"/>
  <c r="Y116" i="3"/>
  <c r="Y124" i="3"/>
  <c r="Y132" i="3"/>
  <c r="Y140" i="3"/>
  <c r="Y148" i="3"/>
  <c r="Y156" i="3"/>
  <c r="Y164" i="3"/>
  <c r="Y172" i="3"/>
  <c r="Y180" i="3"/>
  <c r="Y8" i="3"/>
  <c r="Y16" i="3"/>
  <c r="Y32" i="3"/>
  <c r="Y40" i="3"/>
  <c r="Y48" i="3"/>
  <c r="Y64" i="3"/>
  <c r="Y72" i="3"/>
  <c r="Y80" i="3"/>
  <c r="Y120" i="3"/>
  <c r="Y128" i="3"/>
  <c r="Y24" i="3"/>
  <c r="Y56" i="3"/>
  <c r="Y88" i="3"/>
  <c r="Y96" i="3"/>
  <c r="Y104" i="3"/>
  <c r="Y112" i="3"/>
  <c r="Y136" i="3"/>
  <c r="Y144" i="3"/>
  <c r="Y152" i="3"/>
  <c r="Y160" i="3"/>
  <c r="Y168" i="3"/>
  <c r="Y176" i="3"/>
  <c r="Y184" i="3"/>
  <c r="Y188" i="3"/>
  <c r="Y192" i="3"/>
  <c r="Y196" i="3"/>
  <c r="Y200" i="3"/>
  <c r="Y204" i="3"/>
  <c r="Y208" i="3"/>
  <c r="Y212" i="3"/>
  <c r="Y216" i="3"/>
  <c r="Y220" i="3"/>
  <c r="Y224" i="3"/>
  <c r="Y228" i="3"/>
  <c r="Y232" i="3"/>
  <c r="Y236" i="3"/>
  <c r="Y240" i="3"/>
  <c r="Y244" i="3"/>
  <c r="Y248" i="3"/>
  <c r="Y252" i="3"/>
  <c r="Y256" i="3"/>
  <c r="Y260" i="3"/>
  <c r="Y264" i="3"/>
  <c r="Y268" i="3"/>
  <c r="Y272" i="3"/>
  <c r="Y276" i="3"/>
  <c r="Y280" i="3"/>
  <c r="Y284" i="3"/>
  <c r="Y288" i="3"/>
  <c r="Y292" i="3"/>
  <c r="Y296" i="3"/>
  <c r="Y300" i="3"/>
  <c r="Y304" i="3"/>
  <c r="Y308" i="3"/>
  <c r="Y312" i="3"/>
  <c r="Y316" i="3"/>
  <c r="Y320" i="3"/>
  <c r="Y324" i="3"/>
  <c r="Y328" i="3"/>
  <c r="Y332" i="3"/>
  <c r="Y336" i="3"/>
  <c r="Y340" i="3"/>
  <c r="Y344" i="3"/>
  <c r="Y348" i="3"/>
  <c r="Y352" i="3"/>
  <c r="Y356" i="3"/>
  <c r="Y360" i="3"/>
  <c r="Y364" i="3"/>
  <c r="Y368" i="3"/>
  <c r="Y372" i="3"/>
  <c r="Y376" i="3"/>
  <c r="Y380" i="3"/>
  <c r="Y384" i="3"/>
  <c r="Y388" i="3"/>
  <c r="Y392" i="3"/>
  <c r="Y396" i="3"/>
  <c r="Y400" i="3"/>
  <c r="Y404" i="3"/>
  <c r="Y408" i="3"/>
  <c r="Y412" i="3"/>
  <c r="Y416" i="3"/>
  <c r="Y420" i="3"/>
  <c r="Y424" i="3"/>
  <c r="Y428" i="3"/>
  <c r="Y432" i="3"/>
  <c r="Y436" i="3"/>
  <c r="Y440" i="3"/>
  <c r="Y444" i="3"/>
  <c r="Y448" i="3"/>
  <c r="Y452" i="3"/>
  <c r="Y456" i="3"/>
  <c r="Y460" i="3"/>
  <c r="Y464" i="3"/>
  <c r="Y468" i="3"/>
  <c r="Y472" i="3"/>
  <c r="Y476" i="3"/>
  <c r="Y480" i="3"/>
  <c r="Y484" i="3"/>
  <c r="Y488" i="3"/>
  <c r="Y492" i="3"/>
  <c r="Y496" i="3"/>
  <c r="Y500" i="3"/>
  <c r="Y504" i="3"/>
  <c r="Y508" i="3"/>
  <c r="Y512" i="3"/>
  <c r="Y516" i="3"/>
  <c r="Y520" i="3"/>
  <c r="AA2108" i="3"/>
  <c r="X4" i="3"/>
  <c r="X8" i="3"/>
  <c r="X12" i="3"/>
  <c r="X16" i="3"/>
  <c r="X20" i="3"/>
  <c r="X24" i="3"/>
  <c r="X28" i="3"/>
  <c r="X32" i="3"/>
  <c r="X36" i="3"/>
  <c r="X40" i="3"/>
  <c r="X44" i="3"/>
  <c r="X48" i="3"/>
  <c r="X52" i="3"/>
  <c r="X56" i="3"/>
  <c r="X60" i="3"/>
  <c r="X64" i="3"/>
  <c r="X68" i="3"/>
  <c r="X72" i="3"/>
  <c r="X76" i="3"/>
  <c r="X80" i="3"/>
  <c r="X84" i="3"/>
  <c r="X88" i="3"/>
  <c r="X92" i="3"/>
  <c r="X96" i="3"/>
  <c r="X100" i="3"/>
  <c r="X104" i="3"/>
  <c r="X108" i="3"/>
  <c r="X112" i="3"/>
  <c r="X116" i="3"/>
  <c r="X120" i="3"/>
  <c r="X124" i="3"/>
  <c r="X128" i="3"/>
  <c r="X132" i="3"/>
  <c r="X136" i="3"/>
  <c r="X140" i="3"/>
  <c r="X144" i="3"/>
  <c r="X148" i="3"/>
  <c r="X152" i="3"/>
  <c r="X156" i="3"/>
  <c r="X160" i="3"/>
  <c r="X164" i="3"/>
  <c r="X168" i="3"/>
  <c r="X172" i="3"/>
  <c r="X176" i="3"/>
  <c r="X180" i="3"/>
  <c r="X184" i="3"/>
  <c r="X188" i="3"/>
  <c r="X192" i="3"/>
  <c r="X196" i="3"/>
  <c r="X200" i="3"/>
  <c r="X204" i="3"/>
  <c r="X208" i="3"/>
  <c r="X212" i="3"/>
  <c r="X216" i="3"/>
  <c r="X220" i="3"/>
  <c r="X224" i="3"/>
  <c r="X228" i="3"/>
  <c r="X232" i="3"/>
  <c r="X236" i="3"/>
  <c r="X240" i="3"/>
  <c r="X244" i="3"/>
  <c r="X248" i="3"/>
  <c r="X252" i="3"/>
  <c r="X256" i="3"/>
  <c r="X260" i="3"/>
  <c r="X264" i="3"/>
  <c r="X268" i="3"/>
  <c r="X272" i="3"/>
  <c r="X276" i="3"/>
  <c r="X280" i="3"/>
  <c r="X284" i="3"/>
  <c r="X288" i="3"/>
  <c r="X292" i="3"/>
  <c r="X296" i="3"/>
  <c r="X300" i="3"/>
  <c r="X304" i="3"/>
  <c r="X308" i="3"/>
  <c r="X312" i="3"/>
  <c r="X316" i="3"/>
  <c r="X320" i="3"/>
  <c r="X324" i="3"/>
  <c r="X328" i="3"/>
  <c r="X332" i="3"/>
  <c r="X336" i="3"/>
  <c r="X340" i="3"/>
  <c r="X344" i="3"/>
  <c r="X348" i="3"/>
  <c r="X352" i="3"/>
  <c r="X356" i="3"/>
  <c r="X360" i="3"/>
  <c r="X364" i="3"/>
  <c r="X368" i="3"/>
  <c r="X372" i="3"/>
  <c r="X376" i="3"/>
  <c r="X380" i="3"/>
  <c r="X384" i="3"/>
  <c r="X388" i="3"/>
  <c r="X392" i="3"/>
  <c r="X396" i="3"/>
  <c r="X400" i="3"/>
  <c r="X404" i="3"/>
  <c r="X408" i="3"/>
  <c r="X412" i="3"/>
  <c r="X416" i="3"/>
  <c r="X420" i="3"/>
  <c r="X424" i="3"/>
  <c r="X428" i="3"/>
  <c r="X432" i="3"/>
  <c r="X436" i="3"/>
  <c r="X440" i="3"/>
  <c r="X444" i="3"/>
  <c r="X448" i="3"/>
  <c r="X452" i="3"/>
  <c r="X456" i="3"/>
  <c r="X460" i="3"/>
  <c r="X464" i="3"/>
  <c r="X468" i="3"/>
  <c r="X472" i="3"/>
  <c r="X476" i="3"/>
  <c r="X480" i="3"/>
  <c r="X484" i="3"/>
  <c r="X488" i="3"/>
  <c r="X492" i="3"/>
  <c r="X496" i="3"/>
  <c r="X500" i="3"/>
  <c r="X504" i="3"/>
  <c r="X508" i="3"/>
  <c r="X512" i="3"/>
  <c r="X516" i="3"/>
  <c r="X520" i="3"/>
  <c r="X524" i="3"/>
  <c r="X528" i="3"/>
  <c r="X532" i="3"/>
  <c r="X536" i="3"/>
  <c r="X540" i="3"/>
  <c r="X544" i="3"/>
  <c r="X548" i="3"/>
  <c r="X552" i="3"/>
  <c r="X556" i="3"/>
  <c r="X560" i="3"/>
  <c r="X564" i="3"/>
  <c r="X568" i="3"/>
  <c r="X572" i="3"/>
  <c r="X576" i="3"/>
  <c r="X580" i="3"/>
  <c r="X584" i="3"/>
  <c r="X588" i="3"/>
  <c r="X592" i="3"/>
  <c r="X596" i="3"/>
  <c r="X600" i="3"/>
  <c r="X604" i="3"/>
  <c r="X608" i="3"/>
  <c r="X612" i="3"/>
  <c r="X616" i="3"/>
  <c r="X620" i="3"/>
  <c r="X624" i="3"/>
  <c r="X628" i="3"/>
  <c r="X632" i="3"/>
  <c r="X636" i="3"/>
  <c r="X640" i="3"/>
  <c r="X644" i="3"/>
  <c r="X648" i="3"/>
  <c r="X652" i="3"/>
  <c r="X656" i="3"/>
  <c r="X660" i="3"/>
  <c r="X664" i="3"/>
  <c r="X668" i="3"/>
  <c r="X672" i="3"/>
  <c r="X676" i="3"/>
  <c r="X680" i="3"/>
  <c r="X684" i="3"/>
  <c r="X688" i="3"/>
  <c r="X692" i="3"/>
  <c r="X696" i="3"/>
  <c r="X700" i="3"/>
  <c r="X704" i="3"/>
  <c r="X708" i="3"/>
  <c r="X712" i="3"/>
  <c r="X716" i="3"/>
  <c r="X720" i="3"/>
  <c r="X724" i="3"/>
  <c r="X728" i="3"/>
  <c r="X732" i="3"/>
  <c r="X736" i="3"/>
  <c r="X740" i="3"/>
  <c r="X744" i="3"/>
  <c r="X748" i="3"/>
  <c r="X752" i="3"/>
  <c r="X756" i="3"/>
  <c r="X760" i="3"/>
  <c r="X764" i="3"/>
  <c r="X768" i="3"/>
  <c r="X772" i="3"/>
  <c r="X776" i="3"/>
  <c r="X780" i="3"/>
  <c r="X784" i="3"/>
  <c r="X788" i="3"/>
  <c r="X792" i="3"/>
  <c r="X796" i="3"/>
  <c r="X800" i="3"/>
  <c r="X804" i="3"/>
  <c r="X808" i="3"/>
  <c r="X812" i="3"/>
  <c r="X816" i="3"/>
  <c r="X820" i="3"/>
  <c r="X824" i="3"/>
  <c r="X828" i="3"/>
  <c r="X832" i="3"/>
  <c r="X836" i="3"/>
  <c r="X840" i="3"/>
  <c r="X844" i="3"/>
  <c r="X848" i="3"/>
  <c r="X852" i="3"/>
  <c r="X856" i="3"/>
  <c r="X860" i="3"/>
  <c r="X864" i="3"/>
  <c r="X868" i="3"/>
  <c r="X872" i="3"/>
  <c r="X876" i="3"/>
  <c r="X880" i="3"/>
  <c r="X884" i="3"/>
  <c r="X888" i="3"/>
  <c r="X892" i="3"/>
  <c r="X896" i="3"/>
  <c r="X900" i="3"/>
  <c r="X904" i="3"/>
  <c r="X908" i="3"/>
  <c r="X912" i="3"/>
  <c r="X916" i="3"/>
  <c r="X920" i="3"/>
  <c r="X924" i="3"/>
  <c r="X928" i="3"/>
  <c r="X932" i="3"/>
  <c r="X936" i="3"/>
  <c r="X940" i="3"/>
  <c r="X944" i="3"/>
  <c r="X948" i="3"/>
  <c r="X952" i="3"/>
  <c r="X956" i="3"/>
  <c r="X960" i="3"/>
  <c r="X964" i="3"/>
  <c r="X968" i="3"/>
  <c r="X972" i="3"/>
  <c r="X976" i="3"/>
  <c r="X980" i="3"/>
  <c r="X984" i="3"/>
  <c r="X988" i="3"/>
  <c r="X992" i="3"/>
  <c r="X996" i="3"/>
  <c r="X1000" i="3"/>
  <c r="X1004" i="3"/>
  <c r="X1008" i="3"/>
  <c r="X1012" i="3"/>
  <c r="X1016" i="3"/>
  <c r="X1020" i="3"/>
  <c r="X1024" i="3"/>
  <c r="X1028" i="3"/>
  <c r="X1032" i="3"/>
  <c r="X1036" i="3"/>
  <c r="X1040" i="3"/>
  <c r="X1044" i="3"/>
  <c r="X1048" i="3"/>
  <c r="X1052" i="3"/>
  <c r="X1056" i="3"/>
  <c r="X1060" i="3"/>
  <c r="X1064" i="3"/>
  <c r="X1068" i="3"/>
  <c r="X1072" i="3"/>
  <c r="X1076" i="3"/>
  <c r="X1080" i="3"/>
  <c r="X1084" i="3"/>
  <c r="X1088" i="3"/>
  <c r="X1092" i="3"/>
  <c r="X1096" i="3"/>
  <c r="X1100" i="3"/>
  <c r="X1104" i="3"/>
  <c r="X1108" i="3"/>
  <c r="X1112" i="3"/>
  <c r="X1116" i="3"/>
  <c r="X1120" i="3"/>
  <c r="X1124" i="3"/>
  <c r="X1128" i="3"/>
  <c r="X1132" i="3"/>
  <c r="X1136" i="3"/>
  <c r="X1140" i="3"/>
  <c r="X1144" i="3"/>
  <c r="X1148" i="3"/>
  <c r="X1152" i="3"/>
  <c r="X1156" i="3"/>
  <c r="X1160" i="3"/>
  <c r="X1164" i="3"/>
  <c r="X1168" i="3"/>
  <c r="X1172" i="3"/>
  <c r="X1176" i="3"/>
  <c r="X1180" i="3"/>
  <c r="X1184" i="3"/>
  <c r="X1188" i="3"/>
  <c r="X1192" i="3"/>
  <c r="X1196" i="3"/>
  <c r="X1200" i="3"/>
  <c r="X5" i="3"/>
  <c r="X9" i="3"/>
  <c r="X13" i="3"/>
  <c r="X17" i="3"/>
  <c r="X21" i="3"/>
  <c r="X25" i="3"/>
  <c r="X29" i="3"/>
  <c r="X33" i="3"/>
  <c r="X37" i="3"/>
  <c r="X41" i="3"/>
  <c r="X45" i="3"/>
  <c r="X49" i="3"/>
  <c r="X53" i="3"/>
  <c r="X57" i="3"/>
  <c r="X61" i="3"/>
  <c r="X65" i="3"/>
  <c r="X69" i="3"/>
  <c r="X73" i="3"/>
  <c r="X77" i="3"/>
  <c r="X81" i="3"/>
  <c r="X85" i="3"/>
  <c r="X89" i="3"/>
  <c r="X93" i="3"/>
  <c r="X97" i="3"/>
  <c r="X101" i="3"/>
  <c r="X105" i="3"/>
  <c r="X109" i="3"/>
  <c r="X113" i="3"/>
  <c r="X117" i="3"/>
  <c r="X121" i="3"/>
  <c r="X125" i="3"/>
  <c r="X129" i="3"/>
  <c r="X133" i="3"/>
  <c r="X137" i="3"/>
  <c r="X141" i="3"/>
  <c r="X145" i="3"/>
  <c r="X149" i="3"/>
  <c r="X153" i="3"/>
  <c r="X157" i="3"/>
  <c r="X161" i="3"/>
  <c r="X165" i="3"/>
  <c r="X169" i="3"/>
  <c r="X173" i="3"/>
  <c r="X177" i="3"/>
  <c r="X181" i="3"/>
  <c r="X185" i="3"/>
  <c r="X189" i="3"/>
  <c r="X193" i="3"/>
  <c r="X197" i="3"/>
  <c r="X201" i="3"/>
  <c r="X205" i="3"/>
  <c r="X209" i="3"/>
  <c r="X213" i="3"/>
  <c r="X217" i="3"/>
  <c r="X221" i="3"/>
  <c r="X225" i="3"/>
  <c r="X229" i="3"/>
  <c r="X233" i="3"/>
  <c r="X237" i="3"/>
  <c r="X241" i="3"/>
  <c r="X245" i="3"/>
  <c r="X249" i="3"/>
  <c r="X253" i="3"/>
  <c r="X257" i="3"/>
  <c r="X261" i="3"/>
  <c r="X265" i="3"/>
  <c r="X269" i="3"/>
  <c r="X273" i="3"/>
  <c r="X277" i="3"/>
  <c r="X281" i="3"/>
  <c r="X285" i="3"/>
  <c r="X289" i="3"/>
  <c r="X293" i="3"/>
  <c r="X297" i="3"/>
  <c r="X301" i="3"/>
  <c r="X305" i="3"/>
  <c r="X309" i="3"/>
  <c r="X313" i="3"/>
  <c r="X317" i="3"/>
  <c r="X321" i="3"/>
  <c r="X325" i="3"/>
  <c r="X329" i="3"/>
  <c r="X333" i="3"/>
  <c r="X337" i="3"/>
  <c r="X341" i="3"/>
  <c r="X345" i="3"/>
  <c r="X349" i="3"/>
  <c r="X353" i="3"/>
  <c r="X357" i="3"/>
  <c r="X361" i="3"/>
  <c r="X365" i="3"/>
  <c r="X369" i="3"/>
  <c r="X373" i="3"/>
  <c r="X377" i="3"/>
  <c r="X381" i="3"/>
  <c r="X385" i="3"/>
  <c r="X389" i="3"/>
  <c r="X393" i="3"/>
  <c r="X397" i="3"/>
  <c r="X401" i="3"/>
  <c r="X405" i="3"/>
  <c r="X409" i="3"/>
  <c r="X413" i="3"/>
  <c r="X417" i="3"/>
  <c r="X421" i="3"/>
  <c r="X425" i="3"/>
  <c r="X429" i="3"/>
  <c r="X433" i="3"/>
  <c r="X437" i="3"/>
  <c r="X441" i="3"/>
  <c r="X445" i="3"/>
  <c r="X449" i="3"/>
  <c r="X453" i="3"/>
  <c r="X457" i="3"/>
  <c r="X461" i="3"/>
  <c r="X465" i="3"/>
  <c r="X469" i="3"/>
  <c r="X473" i="3"/>
  <c r="U2108" i="3"/>
  <c r="Y5" i="3"/>
  <c r="Y9" i="3"/>
  <c r="Y13" i="3"/>
  <c r="Y17" i="3"/>
  <c r="Y21" i="3"/>
  <c r="Y25" i="3"/>
  <c r="Y29" i="3"/>
  <c r="Y33" i="3"/>
  <c r="Y37" i="3"/>
  <c r="Y41" i="3"/>
  <c r="Y45" i="3"/>
  <c r="Y49" i="3"/>
  <c r="Y53" i="3"/>
  <c r="Y57" i="3"/>
  <c r="Y61" i="3"/>
  <c r="Y65" i="3"/>
  <c r="Y69" i="3"/>
  <c r="Y73" i="3"/>
  <c r="Y77" i="3"/>
  <c r="Y81" i="3"/>
  <c r="Y85" i="3"/>
  <c r="Y89" i="3"/>
  <c r="Y93" i="3"/>
  <c r="Y97" i="3"/>
  <c r="Y101" i="3"/>
  <c r="Y105" i="3"/>
  <c r="Y109" i="3"/>
  <c r="Y113" i="3"/>
  <c r="Y117" i="3"/>
  <c r="Y121" i="3"/>
  <c r="Y125" i="3"/>
  <c r="Y129" i="3"/>
  <c r="Y133" i="3"/>
  <c r="Y137" i="3"/>
  <c r="Y141" i="3"/>
  <c r="Y145" i="3"/>
  <c r="Y149" i="3"/>
  <c r="Y153" i="3"/>
  <c r="Y157" i="3"/>
  <c r="Y161" i="3"/>
  <c r="Y165" i="3"/>
  <c r="Y169" i="3"/>
  <c r="Y173" i="3"/>
  <c r="Y177" i="3"/>
  <c r="Y181" i="3"/>
  <c r="Y185" i="3"/>
  <c r="Y189" i="3"/>
  <c r="Y193" i="3"/>
  <c r="Y197" i="3"/>
  <c r="Y201" i="3"/>
  <c r="Y205" i="3"/>
  <c r="Y209" i="3"/>
  <c r="Y213" i="3"/>
  <c r="Y217" i="3"/>
  <c r="Y221" i="3"/>
  <c r="Y225" i="3"/>
  <c r="Y229" i="3"/>
  <c r="Y233" i="3"/>
  <c r="Y237" i="3"/>
  <c r="Y241" i="3"/>
  <c r="Y245" i="3"/>
  <c r="Y249" i="3"/>
  <c r="Y253" i="3"/>
  <c r="Y257" i="3"/>
  <c r="Y261" i="3"/>
  <c r="Y265" i="3"/>
  <c r="Y269" i="3"/>
  <c r="Y273" i="3"/>
  <c r="Y277" i="3"/>
  <c r="Y281" i="3"/>
  <c r="Y285" i="3"/>
  <c r="Y289" i="3"/>
  <c r="Y293" i="3"/>
  <c r="Y297" i="3"/>
  <c r="Y301" i="3"/>
  <c r="Y305" i="3"/>
  <c r="Y309" i="3"/>
  <c r="Y313" i="3"/>
  <c r="Y317" i="3"/>
  <c r="Y321" i="3"/>
  <c r="Y325" i="3"/>
  <c r="Y329" i="3"/>
  <c r="Y333" i="3"/>
  <c r="Y337" i="3"/>
  <c r="Y341" i="3"/>
  <c r="Y345" i="3"/>
  <c r="Y349" i="3"/>
  <c r="Y353" i="3"/>
  <c r="Y357" i="3"/>
  <c r="Y361" i="3"/>
  <c r="Y365" i="3"/>
  <c r="Y369" i="3"/>
  <c r="Y373" i="3"/>
  <c r="Y377" i="3"/>
  <c r="Y381" i="3"/>
  <c r="Y385" i="3"/>
  <c r="Y389" i="3"/>
  <c r="Y393" i="3"/>
  <c r="Y397" i="3"/>
  <c r="Y401" i="3"/>
  <c r="Y405" i="3"/>
  <c r="Y409" i="3"/>
  <c r="Y413" i="3"/>
  <c r="Y417" i="3"/>
  <c r="Y421" i="3"/>
  <c r="Y425" i="3"/>
  <c r="Y429" i="3"/>
  <c r="Y433" i="3"/>
  <c r="Y437" i="3"/>
  <c r="Y441" i="3"/>
  <c r="Y445" i="3"/>
  <c r="Y449" i="3"/>
  <c r="Y453" i="3"/>
  <c r="Y457" i="3"/>
  <c r="Y461" i="3"/>
  <c r="Y465" i="3"/>
  <c r="Y469" i="3"/>
  <c r="Y473" i="3"/>
  <c r="Y477" i="3"/>
  <c r="Y481" i="3"/>
  <c r="Y485" i="3"/>
  <c r="Y489" i="3"/>
  <c r="Y493" i="3"/>
  <c r="Y497" i="3"/>
  <c r="Y501" i="3"/>
  <c r="Y505" i="3"/>
  <c r="Y509" i="3"/>
  <c r="Y513" i="3"/>
  <c r="Y517" i="3"/>
  <c r="Y521" i="3"/>
  <c r="Y525" i="3"/>
  <c r="Y529" i="3"/>
  <c r="Y533" i="3"/>
  <c r="Y537" i="3"/>
  <c r="Y541" i="3"/>
  <c r="Y545" i="3"/>
  <c r="Y549" i="3"/>
  <c r="Y553" i="3"/>
  <c r="Y557" i="3"/>
  <c r="Y561" i="3"/>
  <c r="Y565" i="3"/>
  <c r="Y569" i="3"/>
  <c r="Y573" i="3"/>
  <c r="Y577" i="3"/>
  <c r="Y581" i="3"/>
  <c r="Y585" i="3"/>
  <c r="Y589" i="3"/>
  <c r="Y593" i="3"/>
  <c r="Y597" i="3"/>
  <c r="Y601" i="3"/>
  <c r="Y605" i="3"/>
  <c r="Y609" i="3"/>
  <c r="Y613" i="3"/>
  <c r="Y617" i="3"/>
  <c r="Y621" i="3"/>
  <c r="Y625" i="3"/>
  <c r="Y629" i="3"/>
  <c r="Y633" i="3"/>
  <c r="Y637" i="3"/>
  <c r="Y641" i="3"/>
  <c r="Y645" i="3"/>
  <c r="Y649" i="3"/>
  <c r="Y653" i="3"/>
  <c r="Y657" i="3"/>
  <c r="Y661" i="3"/>
  <c r="Y665" i="3"/>
  <c r="Y669" i="3"/>
  <c r="Y673" i="3"/>
  <c r="Y677" i="3"/>
  <c r="Y681" i="3"/>
  <c r="Y685" i="3"/>
  <c r="Y689" i="3"/>
  <c r="Y693" i="3"/>
  <c r="Y697" i="3"/>
  <c r="Y701" i="3"/>
  <c r="Y705" i="3"/>
  <c r="Y709" i="3"/>
  <c r="Y713" i="3"/>
  <c r="Y717" i="3"/>
  <c r="Y721" i="3"/>
  <c r="Y725" i="3"/>
  <c r="Y729" i="3"/>
  <c r="Y733" i="3"/>
  <c r="Y737" i="3"/>
  <c r="Y741" i="3"/>
  <c r="Y745" i="3"/>
  <c r="Y749" i="3"/>
  <c r="Y753" i="3"/>
  <c r="Y757" i="3"/>
  <c r="Y761" i="3"/>
  <c r="Y765" i="3"/>
  <c r="Y769" i="3"/>
  <c r="Y773" i="3"/>
  <c r="Y777" i="3"/>
  <c r="Y781" i="3"/>
  <c r="Y785" i="3"/>
  <c r="Y789" i="3"/>
  <c r="Y793" i="3"/>
  <c r="Y797" i="3"/>
  <c r="Y801" i="3"/>
  <c r="Y805" i="3"/>
  <c r="Y809" i="3"/>
  <c r="Y813" i="3"/>
  <c r="Y817" i="3"/>
  <c r="Y821" i="3"/>
  <c r="Y825" i="3"/>
  <c r="Y829" i="3"/>
  <c r="Y833" i="3"/>
  <c r="Y837" i="3"/>
  <c r="Y841" i="3"/>
  <c r="Y845" i="3"/>
  <c r="Y849" i="3"/>
  <c r="Y853" i="3"/>
  <c r="Y857" i="3"/>
  <c r="Y861" i="3"/>
  <c r="Y865" i="3"/>
  <c r="X2" i="3"/>
  <c r="V2108" i="3"/>
  <c r="C2" i="4" s="1"/>
  <c r="X6" i="3"/>
  <c r="X10" i="3"/>
  <c r="X14" i="3"/>
  <c r="X18" i="3"/>
  <c r="X22" i="3"/>
  <c r="X26" i="3"/>
  <c r="X30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502" i="3"/>
  <c r="X506" i="3"/>
  <c r="X510" i="3"/>
  <c r="X514" i="3"/>
  <c r="X518" i="3"/>
  <c r="X522" i="3"/>
  <c r="X526" i="3"/>
  <c r="X530" i="3"/>
  <c r="X534" i="3"/>
  <c r="X538" i="3"/>
  <c r="X542" i="3"/>
  <c r="X546" i="3"/>
  <c r="X550" i="3"/>
  <c r="X554" i="3"/>
  <c r="X558" i="3"/>
  <c r="X562" i="3"/>
  <c r="X566" i="3"/>
  <c r="X570" i="3"/>
  <c r="X574" i="3"/>
  <c r="X578" i="3"/>
  <c r="X582" i="3"/>
  <c r="X586" i="3"/>
  <c r="X590" i="3"/>
  <c r="X594" i="3"/>
  <c r="X598" i="3"/>
  <c r="X602" i="3"/>
  <c r="X606" i="3"/>
  <c r="X610" i="3"/>
  <c r="X614" i="3"/>
  <c r="X618" i="3"/>
  <c r="X622" i="3"/>
  <c r="X626" i="3"/>
  <c r="X630" i="3"/>
  <c r="X634" i="3"/>
  <c r="X638" i="3"/>
  <c r="X642" i="3"/>
  <c r="X646" i="3"/>
  <c r="X650" i="3"/>
  <c r="X654" i="3"/>
  <c r="X658" i="3"/>
  <c r="X662" i="3"/>
  <c r="X666" i="3"/>
  <c r="X670" i="3"/>
  <c r="X674" i="3"/>
  <c r="X678" i="3"/>
  <c r="X682" i="3"/>
  <c r="X686" i="3"/>
  <c r="X690" i="3"/>
  <c r="X694" i="3"/>
  <c r="X698" i="3"/>
  <c r="X702" i="3"/>
  <c r="X706" i="3"/>
  <c r="X710" i="3"/>
  <c r="X714" i="3"/>
  <c r="X718" i="3"/>
  <c r="X722" i="3"/>
  <c r="X726" i="3"/>
  <c r="X730" i="3"/>
  <c r="X734" i="3"/>
  <c r="X738" i="3"/>
  <c r="X742" i="3"/>
  <c r="X746" i="3"/>
  <c r="X750" i="3"/>
  <c r="X754" i="3"/>
  <c r="X758" i="3"/>
  <c r="X762" i="3"/>
  <c r="X766" i="3"/>
  <c r="X770" i="3"/>
  <c r="X774" i="3"/>
  <c r="X778" i="3"/>
  <c r="X782" i="3"/>
  <c r="X786" i="3"/>
  <c r="X790" i="3"/>
  <c r="X794" i="3"/>
  <c r="X798" i="3"/>
  <c r="X802" i="3"/>
  <c r="X806" i="3"/>
  <c r="X810" i="3"/>
  <c r="X814" i="3"/>
  <c r="X818" i="3"/>
  <c r="X822" i="3"/>
  <c r="X826" i="3"/>
  <c r="X830" i="3"/>
  <c r="X834" i="3"/>
  <c r="X838" i="3"/>
  <c r="X842" i="3"/>
  <c r="X846" i="3"/>
  <c r="X850" i="3"/>
  <c r="X854" i="3"/>
  <c r="X858" i="3"/>
  <c r="X862" i="3"/>
  <c r="X866" i="3"/>
  <c r="X870" i="3"/>
  <c r="X874" i="3"/>
  <c r="X878" i="3"/>
  <c r="X882" i="3"/>
  <c r="X886" i="3"/>
  <c r="X890" i="3"/>
  <c r="X894" i="3"/>
  <c r="X898" i="3"/>
  <c r="X902" i="3"/>
  <c r="X906" i="3"/>
  <c r="X910" i="3"/>
  <c r="X914" i="3"/>
  <c r="X918" i="3"/>
  <c r="X922" i="3"/>
  <c r="X926" i="3"/>
  <c r="X930" i="3"/>
  <c r="X934" i="3"/>
  <c r="X938" i="3"/>
  <c r="X942" i="3"/>
  <c r="X946" i="3"/>
  <c r="X950" i="3"/>
  <c r="X954" i="3"/>
  <c r="X958" i="3"/>
  <c r="X962" i="3"/>
  <c r="X966" i="3"/>
  <c r="X970" i="3"/>
  <c r="X974" i="3"/>
  <c r="X978" i="3"/>
  <c r="X982" i="3"/>
  <c r="X986" i="3"/>
  <c r="X990" i="3"/>
  <c r="X994" i="3"/>
  <c r="X998" i="3"/>
  <c r="X1002" i="3"/>
  <c r="X1006" i="3"/>
  <c r="X1010" i="3"/>
  <c r="X1014" i="3"/>
  <c r="X1018" i="3"/>
  <c r="X1022" i="3"/>
  <c r="X1026" i="3"/>
  <c r="X1030" i="3"/>
  <c r="X1034" i="3"/>
  <c r="X1038" i="3"/>
  <c r="X1042" i="3"/>
  <c r="X1046" i="3"/>
  <c r="X1050" i="3"/>
  <c r="X1054" i="3"/>
  <c r="X1058" i="3"/>
  <c r="X1062" i="3"/>
  <c r="X1066" i="3"/>
  <c r="X1070" i="3"/>
  <c r="X1074" i="3"/>
  <c r="X1078" i="3"/>
  <c r="X1082" i="3"/>
  <c r="X1086" i="3"/>
  <c r="X1090" i="3"/>
  <c r="X1094" i="3"/>
  <c r="X1098" i="3"/>
  <c r="X1102" i="3"/>
  <c r="X1106" i="3"/>
  <c r="X1110" i="3"/>
  <c r="X1114" i="3"/>
  <c r="X1118" i="3"/>
  <c r="X1122" i="3"/>
  <c r="X1126" i="3"/>
  <c r="X1130" i="3"/>
  <c r="X1134" i="3"/>
  <c r="X1138" i="3"/>
  <c r="X1142" i="3"/>
  <c r="X1146" i="3"/>
  <c r="X1150" i="3"/>
  <c r="X1154" i="3"/>
  <c r="X1158" i="3"/>
  <c r="X1162" i="3"/>
  <c r="X1166" i="3"/>
  <c r="X1170" i="3"/>
  <c r="X1174" i="3"/>
  <c r="X1178" i="3"/>
  <c r="X1182" i="3"/>
  <c r="X1186" i="3"/>
  <c r="X1190" i="3"/>
  <c r="X1194" i="3"/>
  <c r="X1198" i="3"/>
  <c r="X1202" i="3"/>
  <c r="X1206" i="3"/>
  <c r="X1210" i="3"/>
  <c r="X1214" i="3"/>
  <c r="X1218" i="3"/>
  <c r="X1222" i="3"/>
  <c r="X1226" i="3"/>
  <c r="X1230" i="3"/>
  <c r="X1234" i="3"/>
  <c r="X1238" i="3"/>
  <c r="X1242" i="3"/>
  <c r="X1246" i="3"/>
  <c r="Y2" i="3"/>
  <c r="W2108" i="3"/>
  <c r="D2" i="4" s="1"/>
  <c r="Y6" i="3"/>
  <c r="Y10" i="3"/>
  <c r="Y14" i="3"/>
  <c r="Y18" i="3"/>
  <c r="Y22" i="3"/>
  <c r="Y26" i="3"/>
  <c r="Y30" i="3"/>
  <c r="Y34" i="3"/>
  <c r="Y38" i="3"/>
  <c r="Y42" i="3"/>
  <c r="Y46" i="3"/>
  <c r="Y50" i="3"/>
  <c r="Y54" i="3"/>
  <c r="Y58" i="3"/>
  <c r="Y62" i="3"/>
  <c r="Y66" i="3"/>
  <c r="Y70" i="3"/>
  <c r="Y74" i="3"/>
  <c r="Y78" i="3"/>
  <c r="Y82" i="3"/>
  <c r="Y86" i="3"/>
  <c r="Y90" i="3"/>
  <c r="Y94" i="3"/>
  <c r="Y98" i="3"/>
  <c r="Y102" i="3"/>
  <c r="Y106" i="3"/>
  <c r="Y110" i="3"/>
  <c r="Y114" i="3"/>
  <c r="Y118" i="3"/>
  <c r="Y122" i="3"/>
  <c r="Y126" i="3"/>
  <c r="Y130" i="3"/>
  <c r="Y134" i="3"/>
  <c r="Y138" i="3"/>
  <c r="Y142" i="3"/>
  <c r="Y146" i="3"/>
  <c r="Y150" i="3"/>
  <c r="Y154" i="3"/>
  <c r="Y158" i="3"/>
  <c r="Y162" i="3"/>
  <c r="Y166" i="3"/>
  <c r="Y170" i="3"/>
  <c r="Y174" i="3"/>
  <c r="Y178" i="3"/>
  <c r="Y182" i="3"/>
  <c r="Y186" i="3"/>
  <c r="Y190" i="3"/>
  <c r="Y194" i="3"/>
  <c r="Y198" i="3"/>
  <c r="Y202" i="3"/>
  <c r="Y206" i="3"/>
  <c r="Y210" i="3"/>
  <c r="Y214" i="3"/>
  <c r="Y218" i="3"/>
  <c r="Y222" i="3"/>
  <c r="Y226" i="3"/>
  <c r="Y230" i="3"/>
  <c r="Y234" i="3"/>
  <c r="Y238" i="3"/>
  <c r="Y242" i="3"/>
  <c r="Y246" i="3"/>
  <c r="Y250" i="3"/>
  <c r="Y254" i="3"/>
  <c r="Y258" i="3"/>
  <c r="Y262" i="3"/>
  <c r="Y266" i="3"/>
  <c r="Y270" i="3"/>
  <c r="Y274" i="3"/>
  <c r="Y278" i="3"/>
  <c r="Y282" i="3"/>
  <c r="Y286" i="3"/>
  <c r="Y290" i="3"/>
  <c r="Y294" i="3"/>
  <c r="Y298" i="3"/>
  <c r="Y302" i="3"/>
  <c r="Y306" i="3"/>
  <c r="Y310" i="3"/>
  <c r="Y314" i="3"/>
  <c r="Y318" i="3"/>
  <c r="Y322" i="3"/>
  <c r="Y326" i="3"/>
  <c r="Y330" i="3"/>
  <c r="Y334" i="3"/>
  <c r="Y338" i="3"/>
  <c r="X3" i="3"/>
  <c r="X7" i="3"/>
  <c r="X11" i="3"/>
  <c r="X15" i="3"/>
  <c r="X19" i="3"/>
  <c r="X23" i="3"/>
  <c r="X27" i="3"/>
  <c r="X31" i="3"/>
  <c r="X35" i="3"/>
  <c r="X39" i="3"/>
  <c r="X43" i="3"/>
  <c r="X47" i="3"/>
  <c r="X51" i="3"/>
  <c r="X55" i="3"/>
  <c r="X59" i="3"/>
  <c r="X63" i="3"/>
  <c r="X67" i="3"/>
  <c r="X71" i="3"/>
  <c r="X75" i="3"/>
  <c r="X79" i="3"/>
  <c r="X83" i="3"/>
  <c r="X87" i="3"/>
  <c r="X91" i="3"/>
  <c r="X95" i="3"/>
  <c r="X99" i="3"/>
  <c r="X103" i="3"/>
  <c r="X107" i="3"/>
  <c r="X111" i="3"/>
  <c r="X115" i="3"/>
  <c r="X119" i="3"/>
  <c r="X123" i="3"/>
  <c r="X127" i="3"/>
  <c r="X131" i="3"/>
  <c r="X135" i="3"/>
  <c r="X139" i="3"/>
  <c r="X143" i="3"/>
  <c r="X147" i="3"/>
  <c r="X151" i="3"/>
  <c r="X155" i="3"/>
  <c r="X159" i="3"/>
  <c r="X163" i="3"/>
  <c r="X167" i="3"/>
  <c r="X171" i="3"/>
  <c r="X175" i="3"/>
  <c r="X179" i="3"/>
  <c r="X183" i="3"/>
  <c r="X187" i="3"/>
  <c r="X191" i="3"/>
  <c r="X195" i="3"/>
  <c r="X199" i="3"/>
  <c r="X203" i="3"/>
  <c r="X207" i="3"/>
  <c r="X211" i="3"/>
  <c r="X215" i="3"/>
  <c r="X219" i="3"/>
  <c r="X223" i="3"/>
  <c r="X227" i="3"/>
  <c r="X231" i="3"/>
  <c r="X235" i="3"/>
  <c r="X239" i="3"/>
  <c r="X243" i="3"/>
  <c r="X247" i="3"/>
  <c r="X251" i="3"/>
  <c r="X255" i="3"/>
  <c r="X259" i="3"/>
  <c r="X263" i="3"/>
  <c r="X267" i="3"/>
  <c r="X271" i="3"/>
  <c r="X275" i="3"/>
  <c r="X279" i="3"/>
  <c r="X283" i="3"/>
  <c r="X287" i="3"/>
  <c r="X291" i="3"/>
  <c r="X295" i="3"/>
  <c r="X299" i="3"/>
  <c r="X303" i="3"/>
  <c r="X307" i="3"/>
  <c r="X311" i="3"/>
  <c r="X315" i="3"/>
  <c r="X319" i="3"/>
  <c r="X323" i="3"/>
  <c r="X327" i="3"/>
  <c r="X331" i="3"/>
  <c r="X335" i="3"/>
  <c r="X339" i="3"/>
  <c r="X343" i="3"/>
  <c r="X347" i="3"/>
  <c r="X351" i="3"/>
  <c r="X355" i="3"/>
  <c r="X359" i="3"/>
  <c r="X363" i="3"/>
  <c r="X367" i="3"/>
  <c r="X371" i="3"/>
  <c r="X375" i="3"/>
  <c r="X379" i="3"/>
  <c r="X383" i="3"/>
  <c r="X387" i="3"/>
  <c r="X391" i="3"/>
  <c r="X395" i="3"/>
  <c r="X399" i="3"/>
  <c r="X403" i="3"/>
  <c r="X407" i="3"/>
  <c r="X411" i="3"/>
  <c r="X415" i="3"/>
  <c r="X419" i="3"/>
  <c r="X423" i="3"/>
  <c r="X427" i="3"/>
  <c r="X431" i="3"/>
  <c r="X435" i="3"/>
  <c r="X439" i="3"/>
  <c r="Y3" i="3"/>
  <c r="Y7" i="3"/>
  <c r="Y11" i="3"/>
  <c r="Y15" i="3"/>
  <c r="Y19" i="3"/>
  <c r="Y23" i="3"/>
  <c r="Y27" i="3"/>
  <c r="Y31" i="3"/>
  <c r="Y35" i="3"/>
  <c r="Y39" i="3"/>
  <c r="Y43" i="3"/>
  <c r="Y47" i="3"/>
  <c r="Y51" i="3"/>
  <c r="Y55" i="3"/>
  <c r="Y59" i="3"/>
  <c r="Y63" i="3"/>
  <c r="Y67" i="3"/>
  <c r="Y71" i="3"/>
  <c r="Y75" i="3"/>
  <c r="Y79" i="3"/>
  <c r="Y83" i="3"/>
  <c r="Y87" i="3"/>
  <c r="Y91" i="3"/>
  <c r="Y95" i="3"/>
  <c r="Y99" i="3"/>
  <c r="Y103" i="3"/>
  <c r="Y107" i="3"/>
  <c r="Y111" i="3"/>
  <c r="Y115" i="3"/>
  <c r="Y119" i="3"/>
  <c r="Y123" i="3"/>
  <c r="Y127" i="3"/>
  <c r="Y131" i="3"/>
  <c r="Y135" i="3"/>
  <c r="Y139" i="3"/>
  <c r="Y143" i="3"/>
  <c r="Y147" i="3"/>
  <c r="Y151" i="3"/>
  <c r="Y155" i="3"/>
  <c r="Y159" i="3"/>
  <c r="Y163" i="3"/>
  <c r="Y167" i="3"/>
  <c r="Y171" i="3"/>
  <c r="Y175" i="3"/>
  <c r="Y179" i="3"/>
  <c r="Y183" i="3"/>
  <c r="Y187" i="3"/>
  <c r="Y191" i="3"/>
  <c r="Y195" i="3"/>
  <c r="Y199" i="3"/>
  <c r="Y203" i="3"/>
  <c r="Y207" i="3"/>
  <c r="Y211" i="3"/>
  <c r="Y215" i="3"/>
  <c r="Y219" i="3"/>
  <c r="Y223" i="3"/>
  <c r="Y227" i="3"/>
  <c r="Y231" i="3"/>
  <c r="Y235" i="3"/>
  <c r="Y239" i="3"/>
  <c r="Y243" i="3"/>
  <c r="Y247" i="3"/>
  <c r="Y251" i="3"/>
  <c r="Y255" i="3"/>
  <c r="Y259" i="3"/>
  <c r="Y263" i="3"/>
  <c r="Y524" i="3"/>
  <c r="Y528" i="3"/>
  <c r="Y532" i="3"/>
  <c r="Y536" i="3"/>
  <c r="Y540" i="3"/>
  <c r="Y544" i="3"/>
  <c r="Y548" i="3"/>
  <c r="Y552" i="3"/>
  <c r="Y556" i="3"/>
  <c r="Y560" i="3"/>
  <c r="Y564" i="3"/>
  <c r="Y568" i="3"/>
  <c r="Y572" i="3"/>
  <c r="Y576" i="3"/>
  <c r="Y580" i="3"/>
  <c r="Y584" i="3"/>
  <c r="Y588" i="3"/>
  <c r="Y592" i="3"/>
  <c r="Y596" i="3"/>
  <c r="Y600" i="3"/>
  <c r="Y604" i="3"/>
  <c r="Y608" i="3"/>
  <c r="Y612" i="3"/>
  <c r="Y616" i="3"/>
  <c r="Y620" i="3"/>
  <c r="Y624" i="3"/>
  <c r="Y628" i="3"/>
  <c r="Y632" i="3"/>
  <c r="Y636" i="3"/>
  <c r="Y640" i="3"/>
  <c r="Y644" i="3"/>
  <c r="Y648" i="3"/>
  <c r="Y652" i="3"/>
  <c r="Y656" i="3"/>
  <c r="Y660" i="3"/>
  <c r="Y664" i="3"/>
  <c r="Y668" i="3"/>
  <c r="Y672" i="3"/>
  <c r="Y676" i="3"/>
  <c r="Y680" i="3"/>
  <c r="Y684" i="3"/>
  <c r="Y688" i="3"/>
  <c r="Y692" i="3"/>
  <c r="Y696" i="3"/>
  <c r="Y700" i="3"/>
  <c r="Y704" i="3"/>
  <c r="Y708" i="3"/>
  <c r="Y712" i="3"/>
  <c r="Y716" i="3"/>
  <c r="Y720" i="3"/>
  <c r="Y724" i="3"/>
  <c r="Y728" i="3"/>
  <c r="Y732" i="3"/>
  <c r="Y736" i="3"/>
  <c r="Y740" i="3"/>
  <c r="Y744" i="3"/>
  <c r="Y748" i="3"/>
  <c r="Y752" i="3"/>
  <c r="Y756" i="3"/>
  <c r="Y760" i="3"/>
  <c r="Y764" i="3"/>
  <c r="Y768" i="3"/>
  <c r="Y772" i="3"/>
  <c r="Y776" i="3"/>
  <c r="Y780" i="3"/>
  <c r="Y784" i="3"/>
  <c r="Y788" i="3"/>
  <c r="Y792" i="3"/>
  <c r="Y796" i="3"/>
  <c r="Y800" i="3"/>
  <c r="Y804" i="3"/>
  <c r="Y808" i="3"/>
  <c r="Y812" i="3"/>
  <c r="Y816" i="3"/>
  <c r="Y820" i="3"/>
  <c r="Y824" i="3"/>
  <c r="Y828" i="3"/>
  <c r="Y832" i="3"/>
  <c r="Y836" i="3"/>
  <c r="Y840" i="3"/>
  <c r="Y844" i="3"/>
  <c r="Y848" i="3"/>
  <c r="Y852" i="3"/>
  <c r="Y856" i="3"/>
  <c r="Y860" i="3"/>
  <c r="Y864" i="3"/>
  <c r="Y868" i="3"/>
  <c r="Y872" i="3"/>
  <c r="Y876" i="3"/>
  <c r="Y880" i="3"/>
  <c r="Y884" i="3"/>
  <c r="Y888" i="3"/>
  <c r="Y892" i="3"/>
  <c r="Y896" i="3"/>
  <c r="Y900" i="3"/>
  <c r="Y904" i="3"/>
  <c r="Y908" i="3"/>
  <c r="Y912" i="3"/>
  <c r="Y916" i="3"/>
  <c r="Y920" i="3"/>
  <c r="Y924" i="3"/>
  <c r="Y928" i="3"/>
  <c r="Y932" i="3"/>
  <c r="Y936" i="3"/>
  <c r="Y940" i="3"/>
  <c r="Y944" i="3"/>
  <c r="Y948" i="3"/>
  <c r="Y952" i="3"/>
  <c r="Y956" i="3"/>
  <c r="Y960" i="3"/>
  <c r="Y964" i="3"/>
  <c r="Y968" i="3"/>
  <c r="Y972" i="3"/>
  <c r="Y976" i="3"/>
  <c r="Y980" i="3"/>
  <c r="Y984" i="3"/>
  <c r="Y988" i="3"/>
  <c r="Y992" i="3"/>
  <c r="Y996" i="3"/>
  <c r="Y1000" i="3"/>
  <c r="Y1004" i="3"/>
  <c r="Y1008" i="3"/>
  <c r="Y1012" i="3"/>
  <c r="Y1016" i="3"/>
  <c r="Y1020" i="3"/>
  <c r="Y1024" i="3"/>
  <c r="Y1028" i="3"/>
  <c r="Y1032" i="3"/>
  <c r="Y1036" i="3"/>
  <c r="Y1040" i="3"/>
  <c r="Y1044" i="3"/>
  <c r="Y1048" i="3"/>
  <c r="Y1052" i="3"/>
  <c r="Y1056" i="3"/>
  <c r="Y1060" i="3"/>
  <c r="Y1064" i="3"/>
  <c r="Y1068" i="3"/>
  <c r="Y1072" i="3"/>
  <c r="Y1076" i="3"/>
  <c r="Y1080" i="3"/>
  <c r="Y1084" i="3"/>
  <c r="Y1088" i="3"/>
  <c r="Y1092" i="3"/>
  <c r="Y1096" i="3"/>
  <c r="Y1100" i="3"/>
  <c r="Y1104" i="3"/>
  <c r="Y1108" i="3"/>
  <c r="Y1112" i="3"/>
  <c r="Y1116" i="3"/>
  <c r="Y1120" i="3"/>
  <c r="Y1124" i="3"/>
  <c r="Y1128" i="3"/>
  <c r="Y1132" i="3"/>
  <c r="Y1136" i="3"/>
  <c r="Y1140" i="3"/>
  <c r="Y1144" i="3"/>
  <c r="Y1148" i="3"/>
  <c r="Y1152" i="3"/>
  <c r="Y1156" i="3"/>
  <c r="Y1160" i="3"/>
  <c r="Y1164" i="3"/>
  <c r="Y1168" i="3"/>
  <c r="Y1172" i="3"/>
  <c r="Y1176" i="3"/>
  <c r="Y1180" i="3"/>
  <c r="Y1184" i="3"/>
  <c r="Y1188" i="3"/>
  <c r="Y1192" i="3"/>
  <c r="Y1196" i="3"/>
  <c r="Y1200" i="3"/>
  <c r="X477" i="3"/>
  <c r="X481" i="3"/>
  <c r="X485" i="3"/>
  <c r="X489" i="3"/>
  <c r="X493" i="3"/>
  <c r="X497" i="3"/>
  <c r="X501" i="3"/>
  <c r="X505" i="3"/>
  <c r="X509" i="3"/>
  <c r="X513" i="3"/>
  <c r="X517" i="3"/>
  <c r="X521" i="3"/>
  <c r="X525" i="3"/>
  <c r="X529" i="3"/>
  <c r="X533" i="3"/>
  <c r="X537" i="3"/>
  <c r="X541" i="3"/>
  <c r="X545" i="3"/>
  <c r="X549" i="3"/>
  <c r="X553" i="3"/>
  <c r="X557" i="3"/>
  <c r="X561" i="3"/>
  <c r="X565" i="3"/>
  <c r="X569" i="3"/>
  <c r="X573" i="3"/>
  <c r="X577" i="3"/>
  <c r="X581" i="3"/>
  <c r="X585" i="3"/>
  <c r="X589" i="3"/>
  <c r="X593" i="3"/>
  <c r="X597" i="3"/>
  <c r="X601" i="3"/>
  <c r="X605" i="3"/>
  <c r="X609" i="3"/>
  <c r="X613" i="3"/>
  <c r="X617" i="3"/>
  <c r="X621" i="3"/>
  <c r="X625" i="3"/>
  <c r="X629" i="3"/>
  <c r="X633" i="3"/>
  <c r="X637" i="3"/>
  <c r="X641" i="3"/>
  <c r="X645" i="3"/>
  <c r="X649" i="3"/>
  <c r="X653" i="3"/>
  <c r="X657" i="3"/>
  <c r="X661" i="3"/>
  <c r="X665" i="3"/>
  <c r="X669" i="3"/>
  <c r="X673" i="3"/>
  <c r="X677" i="3"/>
  <c r="X681" i="3"/>
  <c r="X685" i="3"/>
  <c r="X689" i="3"/>
  <c r="X693" i="3"/>
  <c r="X697" i="3"/>
  <c r="X701" i="3"/>
  <c r="X705" i="3"/>
  <c r="Y869" i="3"/>
  <c r="Y873" i="3"/>
  <c r="Y877" i="3"/>
  <c r="Y881" i="3"/>
  <c r="Y885" i="3"/>
  <c r="Y889" i="3"/>
  <c r="Y893" i="3"/>
  <c r="Y897" i="3"/>
  <c r="Y901" i="3"/>
  <c r="Y905" i="3"/>
  <c r="Y909" i="3"/>
  <c r="Y913" i="3"/>
  <c r="Y917" i="3"/>
  <c r="Y921" i="3"/>
  <c r="Y925" i="3"/>
  <c r="Y929" i="3"/>
  <c r="Y933" i="3"/>
  <c r="Y937" i="3"/>
  <c r="Y941" i="3"/>
  <c r="Y945" i="3"/>
  <c r="Y949" i="3"/>
  <c r="Y953" i="3"/>
  <c r="Y957" i="3"/>
  <c r="Y961" i="3"/>
  <c r="Y965" i="3"/>
  <c r="Y969" i="3"/>
  <c r="Y973" i="3"/>
  <c r="Y977" i="3"/>
  <c r="Y981" i="3"/>
  <c r="Y985" i="3"/>
  <c r="Y989" i="3"/>
  <c r="Y993" i="3"/>
  <c r="Y997" i="3"/>
  <c r="Y1001" i="3"/>
  <c r="Y1005" i="3"/>
  <c r="Y1009" i="3"/>
  <c r="Y1013" i="3"/>
  <c r="Y1017" i="3"/>
  <c r="Y1021" i="3"/>
  <c r="Y1025" i="3"/>
  <c r="Y1029" i="3"/>
  <c r="Y1033" i="3"/>
  <c r="Y1037" i="3"/>
  <c r="Y1041" i="3"/>
  <c r="Y1045" i="3"/>
  <c r="Y1049" i="3"/>
  <c r="Y1053" i="3"/>
  <c r="Y1057" i="3"/>
  <c r="Y1061" i="3"/>
  <c r="Y1065" i="3"/>
  <c r="Y1069" i="3"/>
  <c r="Y1073" i="3"/>
  <c r="Y1077" i="3"/>
  <c r="Y1081" i="3"/>
  <c r="Y1085" i="3"/>
  <c r="Y1089" i="3"/>
  <c r="Y1093" i="3"/>
  <c r="Y1097" i="3"/>
  <c r="Y1101" i="3"/>
  <c r="Y1105" i="3"/>
  <c r="Y1109" i="3"/>
  <c r="Y1113" i="3"/>
  <c r="Y1117" i="3"/>
  <c r="Y1121" i="3"/>
  <c r="Y1125" i="3"/>
  <c r="Y1129" i="3"/>
  <c r="Y1133" i="3"/>
  <c r="Y1137" i="3"/>
  <c r="Y1141" i="3"/>
  <c r="Y1145" i="3"/>
  <c r="Y1149" i="3"/>
  <c r="Y1153" i="3"/>
  <c r="Y1157" i="3"/>
  <c r="Y1161" i="3"/>
  <c r="Y1165" i="3"/>
  <c r="Y1169" i="3"/>
  <c r="Y1173" i="3"/>
  <c r="Y1177" i="3"/>
  <c r="Y1181" i="3"/>
  <c r="Y1185" i="3"/>
  <c r="Y1189" i="3"/>
  <c r="Y1193" i="3"/>
  <c r="Y1197" i="3"/>
  <c r="Y1201" i="3"/>
  <c r="Y1205" i="3"/>
  <c r="Y1209" i="3"/>
  <c r="Y1213" i="3"/>
  <c r="Y1217" i="3"/>
  <c r="Y1221" i="3"/>
  <c r="Y1225" i="3"/>
  <c r="Y1229" i="3"/>
  <c r="Y1233" i="3"/>
  <c r="Y1237" i="3"/>
  <c r="Y1241" i="3"/>
  <c r="Y1245" i="3"/>
  <c r="Y1249" i="3"/>
  <c r="Y1253" i="3"/>
  <c r="Y1257" i="3"/>
  <c r="Y1261" i="3"/>
  <c r="Y1265" i="3"/>
  <c r="Y1269" i="3"/>
  <c r="Y1273" i="3"/>
  <c r="Y1277" i="3"/>
  <c r="Y1281" i="3"/>
  <c r="Y1285" i="3"/>
  <c r="Y1289" i="3"/>
  <c r="Y1293" i="3"/>
  <c r="Y1297" i="3"/>
  <c r="Y1301" i="3"/>
  <c r="Y1305" i="3"/>
  <c r="Y1309" i="3"/>
  <c r="Y1313" i="3"/>
  <c r="Y1317" i="3"/>
  <c r="Y1321" i="3"/>
  <c r="Y1325" i="3"/>
  <c r="X1250" i="3"/>
  <c r="X1254" i="3"/>
  <c r="X1258" i="3"/>
  <c r="X1262" i="3"/>
  <c r="X1266" i="3"/>
  <c r="X1270" i="3"/>
  <c r="X1274" i="3"/>
  <c r="X1278" i="3"/>
  <c r="X1282" i="3"/>
  <c r="X1286" i="3"/>
  <c r="X1290" i="3"/>
  <c r="X1294" i="3"/>
  <c r="X1298" i="3"/>
  <c r="X1302" i="3"/>
  <c r="X1306" i="3"/>
  <c r="X1310" i="3"/>
  <c r="X1314" i="3"/>
  <c r="X1318" i="3"/>
  <c r="X1322" i="3"/>
  <c r="X1326" i="3"/>
  <c r="X1330" i="3"/>
  <c r="X1334" i="3"/>
  <c r="X1338" i="3"/>
  <c r="X1342" i="3"/>
  <c r="X1346" i="3"/>
  <c r="X1350" i="3"/>
  <c r="X1354" i="3"/>
  <c r="X1358" i="3"/>
  <c r="X1362" i="3"/>
  <c r="X1366" i="3"/>
  <c r="X1370" i="3"/>
  <c r="X1374" i="3"/>
  <c r="X1378" i="3"/>
  <c r="X1382" i="3"/>
  <c r="X1386" i="3"/>
  <c r="X1390" i="3"/>
  <c r="X1394" i="3"/>
  <c r="X1398" i="3"/>
  <c r="X1402" i="3"/>
  <c r="X1406" i="3"/>
  <c r="X1410" i="3"/>
  <c r="X1414" i="3"/>
  <c r="X1418" i="3"/>
  <c r="X1422" i="3"/>
  <c r="X1426" i="3"/>
  <c r="X1430" i="3"/>
  <c r="X1434" i="3"/>
  <c r="X1438" i="3"/>
  <c r="X1442" i="3"/>
  <c r="X1446" i="3"/>
  <c r="X1450" i="3"/>
  <c r="X1454" i="3"/>
  <c r="X1458" i="3"/>
  <c r="X1462" i="3"/>
  <c r="X1466" i="3"/>
  <c r="X1470" i="3"/>
  <c r="X1474" i="3"/>
  <c r="X1478" i="3"/>
  <c r="X1482" i="3"/>
  <c r="X1486" i="3"/>
  <c r="X1490" i="3"/>
  <c r="X1494" i="3"/>
  <c r="X1498" i="3"/>
  <c r="X1502" i="3"/>
  <c r="X1506" i="3"/>
  <c r="X1510" i="3"/>
  <c r="X1514" i="3"/>
  <c r="X1518" i="3"/>
  <c r="X1522" i="3"/>
  <c r="X1526" i="3"/>
  <c r="X1530" i="3"/>
  <c r="X1534" i="3"/>
  <c r="X1538" i="3"/>
  <c r="X1542" i="3"/>
  <c r="X1546" i="3"/>
  <c r="X1550" i="3"/>
  <c r="X1554" i="3"/>
  <c r="X1558" i="3"/>
  <c r="X1562" i="3"/>
  <c r="X1566" i="3"/>
  <c r="X1570" i="3"/>
  <c r="X1574" i="3"/>
  <c r="X1578" i="3"/>
  <c r="X1582" i="3"/>
  <c r="X1586" i="3"/>
  <c r="X1590" i="3"/>
  <c r="X1594" i="3"/>
  <c r="X1598" i="3"/>
  <c r="X1602" i="3"/>
  <c r="X1606" i="3"/>
  <c r="X1610" i="3"/>
  <c r="Y342" i="3"/>
  <c r="Y346" i="3"/>
  <c r="Y350" i="3"/>
  <c r="Y354" i="3"/>
  <c r="Y358" i="3"/>
  <c r="Y362" i="3"/>
  <c r="Y366" i="3"/>
  <c r="Y370" i="3"/>
  <c r="Y374" i="3"/>
  <c r="Y378" i="3"/>
  <c r="Y382" i="3"/>
  <c r="Y386" i="3"/>
  <c r="Y390" i="3"/>
  <c r="Y394" i="3"/>
  <c r="Y398" i="3"/>
  <c r="Y402" i="3"/>
  <c r="Y406" i="3"/>
  <c r="Y410" i="3"/>
  <c r="Y414" i="3"/>
  <c r="Y418" i="3"/>
  <c r="Y422" i="3"/>
  <c r="Y426" i="3"/>
  <c r="Y430" i="3"/>
  <c r="Y434" i="3"/>
  <c r="Y438" i="3"/>
  <c r="Y442" i="3"/>
  <c r="Y446" i="3"/>
  <c r="Y450" i="3"/>
  <c r="Y454" i="3"/>
  <c r="Y458" i="3"/>
  <c r="Y462" i="3"/>
  <c r="Y466" i="3"/>
  <c r="Y470" i="3"/>
  <c r="Y474" i="3"/>
  <c r="Y478" i="3"/>
  <c r="Y482" i="3"/>
  <c r="Y486" i="3"/>
  <c r="Y490" i="3"/>
  <c r="Y494" i="3"/>
  <c r="Y498" i="3"/>
  <c r="Y502" i="3"/>
  <c r="Y506" i="3"/>
  <c r="Y510" i="3"/>
  <c r="Y514" i="3"/>
  <c r="Y518" i="3"/>
  <c r="Y522" i="3"/>
  <c r="Y526" i="3"/>
  <c r="Y530" i="3"/>
  <c r="Y534" i="3"/>
  <c r="Y538" i="3"/>
  <c r="Y542" i="3"/>
  <c r="Y546" i="3"/>
  <c r="Y550" i="3"/>
  <c r="Y554" i="3"/>
  <c r="Y558" i="3"/>
  <c r="Y562" i="3"/>
  <c r="Y566" i="3"/>
  <c r="Y570" i="3"/>
  <c r="Y574" i="3"/>
  <c r="Y578" i="3"/>
  <c r="Y582" i="3"/>
  <c r="Y586" i="3"/>
  <c r="Y590" i="3"/>
  <c r="Y594" i="3"/>
  <c r="Y598" i="3"/>
  <c r="Y602" i="3"/>
  <c r="Y606" i="3"/>
  <c r="Y610" i="3"/>
  <c r="Y614" i="3"/>
  <c r="Y618" i="3"/>
  <c r="Y622" i="3"/>
  <c r="Y626" i="3"/>
  <c r="Y630" i="3"/>
  <c r="Y634" i="3"/>
  <c r="Y638" i="3"/>
  <c r="Y642" i="3"/>
  <c r="Y646" i="3"/>
  <c r="Y650" i="3"/>
  <c r="Y654" i="3"/>
  <c r="Y658" i="3"/>
  <c r="Y662" i="3"/>
  <c r="Y666" i="3"/>
  <c r="Y670" i="3"/>
  <c r="Y674" i="3"/>
  <c r="Y678" i="3"/>
  <c r="Y682" i="3"/>
  <c r="Y686" i="3"/>
  <c r="Y690" i="3"/>
  <c r="Y694" i="3"/>
  <c r="Y698" i="3"/>
  <c r="Y702" i="3"/>
  <c r="Y706" i="3"/>
  <c r="Y710" i="3"/>
  <c r="Y714" i="3"/>
  <c r="Y718" i="3"/>
  <c r="Y722" i="3"/>
  <c r="Y726" i="3"/>
  <c r="Y730" i="3"/>
  <c r="Y734" i="3"/>
  <c r="Y738" i="3"/>
  <c r="Y742" i="3"/>
  <c r="Y746" i="3"/>
  <c r="Y750" i="3"/>
  <c r="Y754" i="3"/>
  <c r="Y758" i="3"/>
  <c r="Y762" i="3"/>
  <c r="Y766" i="3"/>
  <c r="Y770" i="3"/>
  <c r="Y774" i="3"/>
  <c r="Y778" i="3"/>
  <c r="Y782" i="3"/>
  <c r="Y786" i="3"/>
  <c r="Y790" i="3"/>
  <c r="Y794" i="3"/>
  <c r="Y798" i="3"/>
  <c r="Y802" i="3"/>
  <c r="Y806" i="3"/>
  <c r="Y810" i="3"/>
  <c r="Y814" i="3"/>
  <c r="Y818" i="3"/>
  <c r="Y822" i="3"/>
  <c r="Y826" i="3"/>
  <c r="Y830" i="3"/>
  <c r="Y834" i="3"/>
  <c r="Y838" i="3"/>
  <c r="Y842" i="3"/>
  <c r="Y846" i="3"/>
  <c r="Y850" i="3"/>
  <c r="Y854" i="3"/>
  <c r="Y858" i="3"/>
  <c r="Y862" i="3"/>
  <c r="Y866" i="3"/>
  <c r="Y870" i="3"/>
  <c r="Y874" i="3"/>
  <c r="Y878" i="3"/>
  <c r="Y882" i="3"/>
  <c r="Y886" i="3"/>
  <c r="Y890" i="3"/>
  <c r="Y894" i="3"/>
  <c r="Y898" i="3"/>
  <c r="Y902" i="3"/>
  <c r="Y906" i="3"/>
  <c r="Y910" i="3"/>
  <c r="Y914" i="3"/>
  <c r="Y918" i="3"/>
  <c r="X443" i="3"/>
  <c r="X447" i="3"/>
  <c r="X451" i="3"/>
  <c r="X455" i="3"/>
  <c r="X459" i="3"/>
  <c r="X463" i="3"/>
  <c r="X467" i="3"/>
  <c r="X471" i="3"/>
  <c r="X475" i="3"/>
  <c r="X479" i="3"/>
  <c r="X483" i="3"/>
  <c r="X487" i="3"/>
  <c r="X491" i="3"/>
  <c r="X495" i="3"/>
  <c r="X499" i="3"/>
  <c r="X503" i="3"/>
  <c r="X507" i="3"/>
  <c r="X511" i="3"/>
  <c r="X515" i="3"/>
  <c r="X519" i="3"/>
  <c r="X523" i="3"/>
  <c r="X527" i="3"/>
  <c r="X531" i="3"/>
  <c r="X535" i="3"/>
  <c r="X539" i="3"/>
  <c r="X543" i="3"/>
  <c r="X547" i="3"/>
  <c r="X551" i="3"/>
  <c r="X555" i="3"/>
  <c r="X559" i="3"/>
  <c r="X563" i="3"/>
  <c r="X567" i="3"/>
  <c r="X571" i="3"/>
  <c r="X575" i="3"/>
  <c r="X579" i="3"/>
  <c r="X583" i="3"/>
  <c r="X587" i="3"/>
  <c r="X591" i="3"/>
  <c r="X595" i="3"/>
  <c r="X599" i="3"/>
  <c r="X603" i="3"/>
  <c r="X607" i="3"/>
  <c r="X611" i="3"/>
  <c r="X615" i="3"/>
  <c r="X619" i="3"/>
  <c r="X623" i="3"/>
  <c r="X627" i="3"/>
  <c r="X631" i="3"/>
  <c r="X635" i="3"/>
  <c r="X639" i="3"/>
  <c r="X643" i="3"/>
  <c r="X647" i="3"/>
  <c r="X651" i="3"/>
  <c r="X655" i="3"/>
  <c r="X659" i="3"/>
  <c r="X663" i="3"/>
  <c r="X667" i="3"/>
  <c r="X671" i="3"/>
  <c r="X675" i="3"/>
  <c r="X679" i="3"/>
  <c r="X683" i="3"/>
  <c r="X687" i="3"/>
  <c r="X691" i="3"/>
  <c r="X695" i="3"/>
  <c r="Y267" i="3"/>
  <c r="Y271" i="3"/>
  <c r="Y275" i="3"/>
  <c r="Y279" i="3"/>
  <c r="Y283" i="3"/>
  <c r="Y287" i="3"/>
  <c r="Y291" i="3"/>
  <c r="Y295" i="3"/>
  <c r="Y299" i="3"/>
  <c r="Y303" i="3"/>
  <c r="Y307" i="3"/>
  <c r="Y311" i="3"/>
  <c r="Y315" i="3"/>
  <c r="Y319" i="3"/>
  <c r="Y323" i="3"/>
  <c r="Y327" i="3"/>
  <c r="Y331" i="3"/>
  <c r="Y335" i="3"/>
  <c r="Y339" i="3"/>
  <c r="Y343" i="3"/>
  <c r="Y347" i="3"/>
  <c r="Y351" i="3"/>
  <c r="Y355" i="3"/>
  <c r="Y359" i="3"/>
  <c r="Y363" i="3"/>
  <c r="Y367" i="3"/>
  <c r="Y371" i="3"/>
  <c r="Y375" i="3"/>
  <c r="Y379" i="3"/>
  <c r="Y383" i="3"/>
  <c r="Y387" i="3"/>
  <c r="Y391" i="3"/>
  <c r="Y395" i="3"/>
  <c r="Y399" i="3"/>
  <c r="Y403" i="3"/>
  <c r="Y407" i="3"/>
  <c r="Y411" i="3"/>
  <c r="Y415" i="3"/>
  <c r="Y419" i="3"/>
  <c r="Y423" i="3"/>
  <c r="Y427" i="3"/>
  <c r="Y431" i="3"/>
  <c r="Y435" i="3"/>
  <c r="Y439" i="3"/>
  <c r="Y443" i="3"/>
  <c r="Y447" i="3"/>
  <c r="Y451" i="3"/>
  <c r="Y455" i="3"/>
  <c r="Y459" i="3"/>
  <c r="Y463" i="3"/>
  <c r="Y467" i="3"/>
  <c r="Y471" i="3"/>
  <c r="Y475" i="3"/>
  <c r="Y479" i="3"/>
  <c r="Y483" i="3"/>
  <c r="Y487" i="3"/>
  <c r="Y491" i="3"/>
  <c r="Y495" i="3"/>
  <c r="Y499" i="3"/>
  <c r="Y503" i="3"/>
  <c r="Y507" i="3"/>
  <c r="Y1329" i="3"/>
  <c r="Y1333" i="3"/>
  <c r="Y1337" i="3"/>
  <c r="Y1341" i="3"/>
  <c r="Y1345" i="3"/>
  <c r="Y1349" i="3"/>
  <c r="Y1353" i="3"/>
  <c r="Y1357" i="3"/>
  <c r="Y1361" i="3"/>
  <c r="Y1365" i="3"/>
  <c r="Y1369" i="3"/>
  <c r="Y1373" i="3"/>
  <c r="Y1377" i="3"/>
  <c r="Y1381" i="3"/>
  <c r="Y1385" i="3"/>
  <c r="Y1389" i="3"/>
  <c r="Y1393" i="3"/>
  <c r="Y1397" i="3"/>
  <c r="Y1401" i="3"/>
  <c r="Y1405" i="3"/>
  <c r="Y1409" i="3"/>
  <c r="Y1413" i="3"/>
  <c r="Y1417" i="3"/>
  <c r="Y1421" i="3"/>
  <c r="Y1425" i="3"/>
  <c r="Y1429" i="3"/>
  <c r="Y1433" i="3"/>
  <c r="Y1437" i="3"/>
  <c r="Y1441" i="3"/>
  <c r="Y1445" i="3"/>
  <c r="Y1449" i="3"/>
  <c r="Y1453" i="3"/>
  <c r="Y1457" i="3"/>
  <c r="Y1461" i="3"/>
  <c r="Y1465" i="3"/>
  <c r="Y922" i="3"/>
  <c r="Y926" i="3"/>
  <c r="Y930" i="3"/>
  <c r="Y934" i="3"/>
  <c r="Y938" i="3"/>
  <c r="Y942" i="3"/>
  <c r="Y946" i="3"/>
  <c r="Y950" i="3"/>
  <c r="Y954" i="3"/>
  <c r="Y958" i="3"/>
  <c r="Y962" i="3"/>
  <c r="Y966" i="3"/>
  <c r="Y970" i="3"/>
  <c r="Y974" i="3"/>
  <c r="Y978" i="3"/>
  <c r="Y982" i="3"/>
  <c r="Y986" i="3"/>
  <c r="Y990" i="3"/>
  <c r="Y994" i="3"/>
  <c r="Y998" i="3"/>
  <c r="Y1002" i="3"/>
  <c r="Y1006" i="3"/>
  <c r="Y1010" i="3"/>
  <c r="Y1014" i="3"/>
  <c r="Y1018" i="3"/>
  <c r="Y1022" i="3"/>
  <c r="Y1026" i="3"/>
  <c r="Y1030" i="3"/>
  <c r="Y1034" i="3"/>
  <c r="Y1038" i="3"/>
  <c r="Y1042" i="3"/>
  <c r="Y1046" i="3"/>
  <c r="Y1050" i="3"/>
  <c r="Y1054" i="3"/>
  <c r="Y1058" i="3"/>
  <c r="Y1062" i="3"/>
  <c r="Y1066" i="3"/>
  <c r="Y1070" i="3"/>
  <c r="Y1074" i="3"/>
  <c r="Y1078" i="3"/>
  <c r="Y1082" i="3"/>
  <c r="Y1086" i="3"/>
  <c r="Y1090" i="3"/>
  <c r="Y1094" i="3"/>
  <c r="Y1098" i="3"/>
  <c r="Y1102" i="3"/>
  <c r="Y1106" i="3"/>
  <c r="Y1110" i="3"/>
  <c r="Y1114" i="3"/>
  <c r="Y1118" i="3"/>
  <c r="Y1122" i="3"/>
  <c r="Y1126" i="3"/>
  <c r="Y1130" i="3"/>
  <c r="Y1134" i="3"/>
  <c r="Y1138" i="3"/>
  <c r="Y1142" i="3"/>
  <c r="Y1146" i="3"/>
  <c r="Y1150" i="3"/>
  <c r="Y1154" i="3"/>
  <c r="Y1158" i="3"/>
  <c r="Y1162" i="3"/>
  <c r="Y1166" i="3"/>
  <c r="Y1170" i="3"/>
  <c r="Y1174" i="3"/>
  <c r="Y1178" i="3"/>
  <c r="Y1182" i="3"/>
  <c r="Y1186" i="3"/>
  <c r="Y1190" i="3"/>
  <c r="Y1194" i="3"/>
  <c r="Y1198" i="3"/>
  <c r="Y1202" i="3"/>
  <c r="Y1206" i="3"/>
  <c r="Y1210" i="3"/>
  <c r="Y1214" i="3"/>
  <c r="Y1218" i="3"/>
  <c r="Y1222" i="3"/>
  <c r="Y1226" i="3"/>
  <c r="Y1230" i="3"/>
  <c r="Y1234" i="3"/>
  <c r="Y1238" i="3"/>
  <c r="Y1242" i="3"/>
  <c r="Y1246" i="3"/>
  <c r="Y1250" i="3"/>
  <c r="Y1254" i="3"/>
  <c r="Y1258" i="3"/>
  <c r="Y1262" i="3"/>
  <c r="Y1266" i="3"/>
  <c r="Y1270" i="3"/>
  <c r="Y1274" i="3"/>
  <c r="Y1278" i="3"/>
  <c r="Y1282" i="3"/>
  <c r="Y1286" i="3"/>
  <c r="Y1290" i="3"/>
  <c r="Y1294" i="3"/>
  <c r="Y1298" i="3"/>
  <c r="Y1302" i="3"/>
  <c r="Y1306" i="3"/>
  <c r="Y1310" i="3"/>
  <c r="Y1314" i="3"/>
  <c r="Y1318" i="3"/>
  <c r="Y1322" i="3"/>
  <c r="Y1326" i="3"/>
  <c r="Y1330" i="3"/>
  <c r="Y1334" i="3"/>
  <c r="Y1338" i="3"/>
  <c r="Y1342" i="3"/>
  <c r="Y1346" i="3"/>
  <c r="Y1350" i="3"/>
  <c r="Y1354" i="3"/>
  <c r="Y1358" i="3"/>
  <c r="Y1362" i="3"/>
  <c r="Y1366" i="3"/>
  <c r="Y1370" i="3"/>
  <c r="Y1374" i="3"/>
  <c r="Y1378" i="3"/>
  <c r="Y1382" i="3"/>
  <c r="Y1386" i="3"/>
  <c r="Y1390" i="3"/>
  <c r="Y1394" i="3"/>
  <c r="Y1398" i="3"/>
  <c r="Y1402" i="3"/>
  <c r="Y1406" i="3"/>
  <c r="Y1410" i="3"/>
  <c r="Y1414" i="3"/>
  <c r="Y1418" i="3"/>
  <c r="Y1422" i="3"/>
  <c r="Y1426" i="3"/>
  <c r="Y1430" i="3"/>
  <c r="Y1434" i="3"/>
  <c r="Y1438" i="3"/>
  <c r="Y1442" i="3"/>
  <c r="Y1446" i="3"/>
  <c r="Y1450" i="3"/>
  <c r="Y1454" i="3"/>
  <c r="Y1458" i="3"/>
  <c r="Y1462" i="3"/>
  <c r="Y1466" i="3"/>
  <c r="Y1470" i="3"/>
  <c r="Y1474" i="3"/>
  <c r="Y1478" i="3"/>
  <c r="Y1482" i="3"/>
  <c r="Y1486" i="3"/>
  <c r="Y1490" i="3"/>
  <c r="Y1494" i="3"/>
  <c r="Y1498" i="3"/>
  <c r="Y1502" i="3"/>
  <c r="Y1506" i="3"/>
  <c r="Y1510" i="3"/>
  <c r="Y1514" i="3"/>
  <c r="Y1518" i="3"/>
  <c r="Y1522" i="3"/>
  <c r="Y1526" i="3"/>
  <c r="Y1530" i="3"/>
  <c r="Y1534" i="3"/>
  <c r="Y1538" i="3"/>
  <c r="Y1542" i="3"/>
  <c r="Y1546" i="3"/>
  <c r="Y1550" i="3"/>
  <c r="Y1554" i="3"/>
  <c r="Y1558" i="3"/>
  <c r="X699" i="3"/>
  <c r="X703" i="3"/>
  <c r="X707" i="3"/>
  <c r="X711" i="3"/>
  <c r="X715" i="3"/>
  <c r="X719" i="3"/>
  <c r="X723" i="3"/>
  <c r="X727" i="3"/>
  <c r="X731" i="3"/>
  <c r="X735" i="3"/>
  <c r="X739" i="3"/>
  <c r="X743" i="3"/>
  <c r="X747" i="3"/>
  <c r="X751" i="3"/>
  <c r="X755" i="3"/>
  <c r="X759" i="3"/>
  <c r="X763" i="3"/>
  <c r="X767" i="3"/>
  <c r="X771" i="3"/>
  <c r="X775" i="3"/>
  <c r="X779" i="3"/>
  <c r="X783" i="3"/>
  <c r="X787" i="3"/>
  <c r="X791" i="3"/>
  <c r="X795" i="3"/>
  <c r="X799" i="3"/>
  <c r="X803" i="3"/>
  <c r="X807" i="3"/>
  <c r="X811" i="3"/>
  <c r="X815" i="3"/>
  <c r="X819" i="3"/>
  <c r="X823" i="3"/>
  <c r="X827" i="3"/>
  <c r="X831" i="3"/>
  <c r="X835" i="3"/>
  <c r="X839" i="3"/>
  <c r="X843" i="3"/>
  <c r="X847" i="3"/>
  <c r="X851" i="3"/>
  <c r="X855" i="3"/>
  <c r="X859" i="3"/>
  <c r="X863" i="3"/>
  <c r="X867" i="3"/>
  <c r="X871" i="3"/>
  <c r="X875" i="3"/>
  <c r="X879" i="3"/>
  <c r="X883" i="3"/>
  <c r="X887" i="3"/>
  <c r="X891" i="3"/>
  <c r="X895" i="3"/>
  <c r="X899" i="3"/>
  <c r="X903" i="3"/>
  <c r="X907" i="3"/>
  <c r="X911" i="3"/>
  <c r="X915" i="3"/>
  <c r="X919" i="3"/>
  <c r="X923" i="3"/>
  <c r="X927" i="3"/>
  <c r="X931" i="3"/>
  <c r="X935" i="3"/>
  <c r="X939" i="3"/>
  <c r="X943" i="3"/>
  <c r="X947" i="3"/>
  <c r="X951" i="3"/>
  <c r="X955" i="3"/>
  <c r="X959" i="3"/>
  <c r="X963" i="3"/>
  <c r="X967" i="3"/>
  <c r="X971" i="3"/>
  <c r="X975" i="3"/>
  <c r="X979" i="3"/>
  <c r="X983" i="3"/>
  <c r="X987" i="3"/>
  <c r="X991" i="3"/>
  <c r="X995" i="3"/>
  <c r="X999" i="3"/>
  <c r="X1003" i="3"/>
  <c r="X1007" i="3"/>
  <c r="X1011" i="3"/>
  <c r="X1015" i="3"/>
  <c r="X1019" i="3"/>
  <c r="X1023" i="3"/>
  <c r="X1027" i="3"/>
  <c r="X1031" i="3"/>
  <c r="X1035" i="3"/>
  <c r="X1039" i="3"/>
  <c r="X1043" i="3"/>
  <c r="X1047" i="3"/>
  <c r="X1051" i="3"/>
  <c r="X1055" i="3"/>
  <c r="X1059" i="3"/>
  <c r="X1063" i="3"/>
  <c r="X1067" i="3"/>
  <c r="X1071" i="3"/>
  <c r="X1075" i="3"/>
  <c r="X1079" i="3"/>
  <c r="X1083" i="3"/>
  <c r="X1087" i="3"/>
  <c r="X1091" i="3"/>
  <c r="X1095" i="3"/>
  <c r="X1099" i="3"/>
  <c r="X1103" i="3"/>
  <c r="X1107" i="3"/>
  <c r="X1111" i="3"/>
  <c r="X1115" i="3"/>
  <c r="X1119" i="3"/>
  <c r="X1123" i="3"/>
  <c r="X1127" i="3"/>
  <c r="X1131" i="3"/>
  <c r="X1135" i="3"/>
  <c r="X1139" i="3"/>
  <c r="X1143" i="3"/>
  <c r="X1147" i="3"/>
  <c r="X1151" i="3"/>
  <c r="X1155" i="3"/>
  <c r="X1159" i="3"/>
  <c r="X1163" i="3"/>
  <c r="X1167" i="3"/>
  <c r="X1171" i="3"/>
  <c r="X1175" i="3"/>
  <c r="X1179" i="3"/>
  <c r="X1183" i="3"/>
  <c r="X1187" i="3"/>
  <c r="X1191" i="3"/>
  <c r="X1195" i="3"/>
  <c r="X1199" i="3"/>
  <c r="X1203" i="3"/>
  <c r="X1207" i="3"/>
  <c r="X1211" i="3"/>
  <c r="X1215" i="3"/>
  <c r="X1219" i="3"/>
  <c r="X1223" i="3"/>
  <c r="X1227" i="3"/>
  <c r="X1231" i="3"/>
  <c r="X1235" i="3"/>
  <c r="X1239" i="3"/>
  <c r="X1243" i="3"/>
  <c r="X1247" i="3"/>
  <c r="X1251" i="3"/>
  <c r="X1255" i="3"/>
  <c r="X1259" i="3"/>
  <c r="X1263" i="3"/>
  <c r="X1267" i="3"/>
  <c r="X1271" i="3"/>
  <c r="X1275" i="3"/>
  <c r="X1279" i="3"/>
  <c r="X1283" i="3"/>
  <c r="X1287" i="3"/>
  <c r="X1291" i="3"/>
  <c r="X1295" i="3"/>
  <c r="X1299" i="3"/>
  <c r="X1303" i="3"/>
  <c r="X1307" i="3"/>
  <c r="X1311" i="3"/>
  <c r="X1315" i="3"/>
  <c r="X1319" i="3"/>
  <c r="X1323" i="3"/>
  <c r="X1327" i="3"/>
  <c r="X1331" i="3"/>
  <c r="X1335" i="3"/>
  <c r="X1339" i="3"/>
  <c r="X1343" i="3"/>
  <c r="X1347" i="3"/>
  <c r="X1351" i="3"/>
  <c r="X1355" i="3"/>
  <c r="X1359" i="3"/>
  <c r="X1363" i="3"/>
  <c r="X1367" i="3"/>
  <c r="X1371" i="3"/>
  <c r="X1375" i="3"/>
  <c r="X1379" i="3"/>
  <c r="X1383" i="3"/>
  <c r="X1387" i="3"/>
  <c r="X1391" i="3"/>
  <c r="X1395" i="3"/>
  <c r="X1399" i="3"/>
  <c r="X1403" i="3"/>
  <c r="X1407" i="3"/>
  <c r="X1411" i="3"/>
  <c r="Y511" i="3"/>
  <c r="Y515" i="3"/>
  <c r="Y519" i="3"/>
  <c r="Y523" i="3"/>
  <c r="Y527" i="3"/>
  <c r="Y531" i="3"/>
  <c r="Y535" i="3"/>
  <c r="Y539" i="3"/>
  <c r="Y543" i="3"/>
  <c r="Y547" i="3"/>
  <c r="Y551" i="3"/>
  <c r="Y555" i="3"/>
  <c r="Y559" i="3"/>
  <c r="Y563" i="3"/>
  <c r="Y567" i="3"/>
  <c r="Y571" i="3"/>
  <c r="Y575" i="3"/>
  <c r="Y579" i="3"/>
  <c r="Y583" i="3"/>
  <c r="Y587" i="3"/>
  <c r="Y591" i="3"/>
  <c r="Y595" i="3"/>
  <c r="Y599" i="3"/>
  <c r="Y603" i="3"/>
  <c r="Y607" i="3"/>
  <c r="Y611" i="3"/>
  <c r="Y615" i="3"/>
  <c r="Y619" i="3"/>
  <c r="Y623" i="3"/>
  <c r="Y627" i="3"/>
  <c r="Y631" i="3"/>
  <c r="Y635" i="3"/>
  <c r="Y639" i="3"/>
  <c r="Y643" i="3"/>
  <c r="Y647" i="3"/>
  <c r="Y651" i="3"/>
  <c r="Y655" i="3"/>
  <c r="Y659" i="3"/>
  <c r="Y663" i="3"/>
  <c r="Y667" i="3"/>
  <c r="Y671" i="3"/>
  <c r="Y675" i="3"/>
  <c r="Y679" i="3"/>
  <c r="Y683" i="3"/>
  <c r="Y687" i="3"/>
  <c r="Y691" i="3"/>
  <c r="Y695" i="3"/>
  <c r="Y699" i="3"/>
  <c r="Y703" i="3"/>
  <c r="Y707" i="3"/>
  <c r="Y711" i="3"/>
  <c r="Y715" i="3"/>
  <c r="Y719" i="3"/>
  <c r="Y723" i="3"/>
  <c r="Y727" i="3"/>
  <c r="Y731" i="3"/>
  <c r="Y735" i="3"/>
  <c r="Y739" i="3"/>
  <c r="Y743" i="3"/>
  <c r="Y747" i="3"/>
  <c r="Y751" i="3"/>
  <c r="Y755" i="3"/>
  <c r="Y759" i="3"/>
  <c r="Y763" i="3"/>
  <c r="Y767" i="3"/>
  <c r="Y771" i="3"/>
  <c r="Y775" i="3"/>
  <c r="Y779" i="3"/>
  <c r="Y783" i="3"/>
  <c r="Y787" i="3"/>
  <c r="Y791" i="3"/>
  <c r="Y795" i="3"/>
  <c r="Y799" i="3"/>
  <c r="Y803" i="3"/>
  <c r="Y807" i="3"/>
  <c r="Y811" i="3"/>
  <c r="Y815" i="3"/>
  <c r="Y819" i="3"/>
  <c r="Y823" i="3"/>
  <c r="Y827" i="3"/>
  <c r="Y831" i="3"/>
  <c r="Y835" i="3"/>
  <c r="Y839" i="3"/>
  <c r="Y843" i="3"/>
  <c r="Y847" i="3"/>
  <c r="Y851" i="3"/>
  <c r="Y855" i="3"/>
  <c r="Y859" i="3"/>
  <c r="Y863" i="3"/>
  <c r="Y867" i="3"/>
  <c r="Y871" i="3"/>
  <c r="Y875" i="3"/>
  <c r="Y879" i="3"/>
  <c r="Y883" i="3"/>
  <c r="Y887" i="3"/>
  <c r="Y891" i="3"/>
  <c r="Y895" i="3"/>
  <c r="Y899" i="3"/>
  <c r="Y903" i="3"/>
  <c r="Y907" i="3"/>
  <c r="Y911" i="3"/>
  <c r="Y915" i="3"/>
  <c r="Y919" i="3"/>
  <c r="Y923" i="3"/>
  <c r="Y927" i="3"/>
  <c r="Y931" i="3"/>
  <c r="Y935" i="3"/>
  <c r="Y939" i="3"/>
  <c r="Y943" i="3"/>
  <c r="Y947" i="3"/>
  <c r="Y951" i="3"/>
  <c r="Y955" i="3"/>
  <c r="Y959" i="3"/>
  <c r="Y963" i="3"/>
  <c r="Y967" i="3"/>
  <c r="Y971" i="3"/>
  <c r="Y975" i="3"/>
  <c r="Y979" i="3"/>
  <c r="Y983" i="3"/>
  <c r="Y987" i="3"/>
  <c r="Y991" i="3"/>
  <c r="Y995" i="3"/>
  <c r="Y999" i="3"/>
  <c r="Y1003" i="3"/>
  <c r="Y1007" i="3"/>
  <c r="Y1011" i="3"/>
  <c r="Y1015" i="3"/>
  <c r="Y1019" i="3"/>
  <c r="Y1023" i="3"/>
  <c r="Y1027" i="3"/>
  <c r="Y1031" i="3"/>
  <c r="Y1035" i="3"/>
  <c r="Y1039" i="3"/>
  <c r="Y1043" i="3"/>
  <c r="Y1047" i="3"/>
  <c r="Y1051" i="3"/>
  <c r="Y1055" i="3"/>
  <c r="Y1059" i="3"/>
  <c r="Y1063" i="3"/>
  <c r="Y1067" i="3"/>
  <c r="Y1071" i="3"/>
  <c r="Y1075" i="3"/>
  <c r="Y1079" i="3"/>
  <c r="Y1083" i="3"/>
  <c r="Y1087" i="3"/>
  <c r="Y1091" i="3"/>
  <c r="Y1095" i="3"/>
  <c r="Y1099" i="3"/>
  <c r="Y1103" i="3"/>
  <c r="Y1107" i="3"/>
  <c r="Y1111" i="3"/>
  <c r="Y1115" i="3"/>
  <c r="Y1119" i="3"/>
  <c r="Y1123" i="3"/>
  <c r="Y1127" i="3"/>
  <c r="Y1131" i="3"/>
  <c r="Y1135" i="3"/>
  <c r="Y1139" i="3"/>
  <c r="Y1143" i="3"/>
  <c r="Y1147" i="3"/>
  <c r="Y1151" i="3"/>
  <c r="Y1155" i="3"/>
  <c r="Y1159" i="3"/>
  <c r="Y1163" i="3"/>
  <c r="Y1167" i="3"/>
  <c r="Y1171" i="3"/>
  <c r="Y1175" i="3"/>
  <c r="Y1179" i="3"/>
  <c r="Y1183" i="3"/>
  <c r="Y1187" i="3"/>
  <c r="Y1191" i="3"/>
  <c r="Y1195" i="3"/>
  <c r="Y1199" i="3"/>
  <c r="Y1203" i="3"/>
  <c r="Y1207" i="3"/>
  <c r="Y1211" i="3"/>
  <c r="Y1215" i="3"/>
  <c r="Y1219" i="3"/>
  <c r="Y1223" i="3"/>
  <c r="Y1227" i="3"/>
  <c r="Y1231" i="3"/>
  <c r="Y1235" i="3"/>
  <c r="Y1239" i="3"/>
  <c r="Y1243" i="3"/>
  <c r="Y1247" i="3"/>
  <c r="Y1251" i="3"/>
  <c r="Y1255" i="3"/>
  <c r="Y1259" i="3"/>
  <c r="Y1263" i="3"/>
  <c r="Y1267" i="3"/>
  <c r="Y1271" i="3"/>
  <c r="Y1275" i="3"/>
  <c r="Y1279" i="3"/>
  <c r="Y1283" i="3"/>
  <c r="Y1287" i="3"/>
  <c r="Y1291" i="3"/>
  <c r="Y1295" i="3"/>
  <c r="Y1299" i="3"/>
  <c r="Y1303" i="3"/>
  <c r="Y1307" i="3"/>
  <c r="Y1311" i="3"/>
  <c r="X1204" i="3"/>
  <c r="X1208" i="3"/>
  <c r="X1212" i="3"/>
  <c r="X1216" i="3"/>
  <c r="X1220" i="3"/>
  <c r="X1224" i="3"/>
  <c r="X1228" i="3"/>
  <c r="X1232" i="3"/>
  <c r="X1236" i="3"/>
  <c r="X1240" i="3"/>
  <c r="X1244" i="3"/>
  <c r="X1248" i="3"/>
  <c r="X1252" i="3"/>
  <c r="X1256" i="3"/>
  <c r="X1260" i="3"/>
  <c r="X1264" i="3"/>
  <c r="X1268" i="3"/>
  <c r="X1272" i="3"/>
  <c r="X1276" i="3"/>
  <c r="X1280" i="3"/>
  <c r="X1284" i="3"/>
  <c r="X1288" i="3"/>
  <c r="X1292" i="3"/>
  <c r="X1296" i="3"/>
  <c r="X1300" i="3"/>
  <c r="X1304" i="3"/>
  <c r="X1308" i="3"/>
  <c r="X1312" i="3"/>
  <c r="X1316" i="3"/>
  <c r="X1320" i="3"/>
  <c r="X1324" i="3"/>
  <c r="X1328" i="3"/>
  <c r="X1332" i="3"/>
  <c r="X1336" i="3"/>
  <c r="X1340" i="3"/>
  <c r="X1344" i="3"/>
  <c r="X1348" i="3"/>
  <c r="X1352" i="3"/>
  <c r="X1356" i="3"/>
  <c r="X1360" i="3"/>
  <c r="X1364" i="3"/>
  <c r="X1368" i="3"/>
  <c r="X1372" i="3"/>
  <c r="X1376" i="3"/>
  <c r="X1380" i="3"/>
  <c r="X1384" i="3"/>
  <c r="X1388" i="3"/>
  <c r="X1392" i="3"/>
  <c r="X1396" i="3"/>
  <c r="X1400" i="3"/>
  <c r="X1404" i="3"/>
  <c r="X1408" i="3"/>
  <c r="X1412" i="3"/>
  <c r="X1416" i="3"/>
  <c r="X1420" i="3"/>
  <c r="X1424" i="3"/>
  <c r="X1428" i="3"/>
  <c r="X1432" i="3"/>
  <c r="X1436" i="3"/>
  <c r="X1440" i="3"/>
  <c r="X1444" i="3"/>
  <c r="X1448" i="3"/>
  <c r="X1452" i="3"/>
  <c r="X1456" i="3"/>
  <c r="X1460" i="3"/>
  <c r="X1464" i="3"/>
  <c r="X1468" i="3"/>
  <c r="X1472" i="3"/>
  <c r="X1476" i="3"/>
  <c r="X1480" i="3"/>
  <c r="X1484" i="3"/>
  <c r="X1488" i="3"/>
  <c r="X1492" i="3"/>
  <c r="X1496" i="3"/>
  <c r="X1500" i="3"/>
  <c r="X1504" i="3"/>
  <c r="X1508" i="3"/>
  <c r="X1512" i="3"/>
  <c r="X1516" i="3"/>
  <c r="X1520" i="3"/>
  <c r="X1524" i="3"/>
  <c r="X1528" i="3"/>
  <c r="X1532" i="3"/>
  <c r="X1536" i="3"/>
  <c r="X1540" i="3"/>
  <c r="X1544" i="3"/>
  <c r="X1548" i="3"/>
  <c r="X1552" i="3"/>
  <c r="X1556" i="3"/>
  <c r="X1560" i="3"/>
  <c r="X1564" i="3"/>
  <c r="X1568" i="3"/>
  <c r="X1572" i="3"/>
  <c r="X1576" i="3"/>
  <c r="X1580" i="3"/>
  <c r="X1584" i="3"/>
  <c r="X1588" i="3"/>
  <c r="X1592" i="3"/>
  <c r="X1596" i="3"/>
  <c r="X1600" i="3"/>
  <c r="X1604" i="3"/>
  <c r="X1608" i="3"/>
  <c r="X1612" i="3"/>
  <c r="X1616" i="3"/>
  <c r="X1620" i="3"/>
  <c r="X1624" i="3"/>
  <c r="X1628" i="3"/>
  <c r="X1632" i="3"/>
  <c r="X1636" i="3"/>
  <c r="X1640" i="3"/>
  <c r="X1644" i="3"/>
  <c r="X1648" i="3"/>
  <c r="X1652" i="3"/>
  <c r="X1656" i="3"/>
  <c r="X1660" i="3"/>
  <c r="X1664" i="3"/>
  <c r="X1668" i="3"/>
  <c r="X1672" i="3"/>
  <c r="X1676" i="3"/>
  <c r="X1680" i="3"/>
  <c r="X1684" i="3"/>
  <c r="X1688" i="3"/>
  <c r="X1692" i="3"/>
  <c r="X1696" i="3"/>
  <c r="X1700" i="3"/>
  <c r="X1704" i="3"/>
  <c r="X1708" i="3"/>
  <c r="X1712" i="3"/>
  <c r="X1716" i="3"/>
  <c r="X1720" i="3"/>
  <c r="X1724" i="3"/>
  <c r="X1728" i="3"/>
  <c r="X1732" i="3"/>
  <c r="X1736" i="3"/>
  <c r="X1740" i="3"/>
  <c r="X1744" i="3"/>
  <c r="X1748" i="3"/>
  <c r="X1752" i="3"/>
  <c r="X1756" i="3"/>
  <c r="X1760" i="3"/>
  <c r="X1764" i="3"/>
  <c r="X1768" i="3"/>
  <c r="X1772" i="3"/>
  <c r="X1776" i="3"/>
  <c r="X1780" i="3"/>
  <c r="X1784" i="3"/>
  <c r="X1788" i="3"/>
  <c r="X1792" i="3"/>
  <c r="X1796" i="3"/>
  <c r="Y1204" i="3"/>
  <c r="Y1208" i="3"/>
  <c r="Y1212" i="3"/>
  <c r="Y1216" i="3"/>
  <c r="Y1220" i="3"/>
  <c r="Y1224" i="3"/>
  <c r="Y1228" i="3"/>
  <c r="Y1232" i="3"/>
  <c r="Y1236" i="3"/>
  <c r="Y1240" i="3"/>
  <c r="Y1244" i="3"/>
  <c r="Y1248" i="3"/>
  <c r="Y1252" i="3"/>
  <c r="Y1256" i="3"/>
  <c r="Y1260" i="3"/>
  <c r="Y1264" i="3"/>
  <c r="Y1268" i="3"/>
  <c r="Y1272" i="3"/>
  <c r="Y1276" i="3"/>
  <c r="Y1280" i="3"/>
  <c r="Y1284" i="3"/>
  <c r="Y1288" i="3"/>
  <c r="Y1292" i="3"/>
  <c r="Y1296" i="3"/>
  <c r="Y1300" i="3"/>
  <c r="Y1304" i="3"/>
  <c r="Y1308" i="3"/>
  <c r="Y1312" i="3"/>
  <c r="Y1316" i="3"/>
  <c r="Y1320" i="3"/>
  <c r="Y1324" i="3"/>
  <c r="Y1328" i="3"/>
  <c r="Y1332" i="3"/>
  <c r="Y1336" i="3"/>
  <c r="Y1340" i="3"/>
  <c r="Y1344" i="3"/>
  <c r="Y1348" i="3"/>
  <c r="Y1352" i="3"/>
  <c r="Y1356" i="3"/>
  <c r="Y1360" i="3"/>
  <c r="Y1364" i="3"/>
  <c r="Y1368" i="3"/>
  <c r="Y1372" i="3"/>
  <c r="Y1376" i="3"/>
  <c r="Y1380" i="3"/>
  <c r="Y1384" i="3"/>
  <c r="Y1388" i="3"/>
  <c r="Y1392" i="3"/>
  <c r="Y1396" i="3"/>
  <c r="Y1400" i="3"/>
  <c r="Y1404" i="3"/>
  <c r="Y1408" i="3"/>
  <c r="Y1412" i="3"/>
  <c r="Y1416" i="3"/>
  <c r="Y1420" i="3"/>
  <c r="Y1424" i="3"/>
  <c r="Y1428" i="3"/>
  <c r="Y1432" i="3"/>
  <c r="Y1436" i="3"/>
  <c r="Y1440" i="3"/>
  <c r="Y1444" i="3"/>
  <c r="Y1448" i="3"/>
  <c r="Y1452" i="3"/>
  <c r="Y1456" i="3"/>
  <c r="Y1460" i="3"/>
  <c r="Y1464" i="3"/>
  <c r="Y1468" i="3"/>
  <c r="Y1472" i="3"/>
  <c r="Y1476" i="3"/>
  <c r="Y1480" i="3"/>
  <c r="Y1484" i="3"/>
  <c r="Y1488" i="3"/>
  <c r="Y1492" i="3"/>
  <c r="Y1496" i="3"/>
  <c r="Y1500" i="3"/>
  <c r="Y1504" i="3"/>
  <c r="Y1508" i="3"/>
  <c r="Y1512" i="3"/>
  <c r="Y1516" i="3"/>
  <c r="Y1520" i="3"/>
  <c r="Y1524" i="3"/>
  <c r="Y1528" i="3"/>
  <c r="Y1532" i="3"/>
  <c r="Y1536" i="3"/>
  <c r="Y1540" i="3"/>
  <c r="Y1544" i="3"/>
  <c r="Y1548" i="3"/>
  <c r="Y1552" i="3"/>
  <c r="Y1556" i="3"/>
  <c r="Y1560" i="3"/>
  <c r="Y1564" i="3"/>
  <c r="Y1568" i="3"/>
  <c r="Y1572" i="3"/>
  <c r="Y1576" i="3"/>
  <c r="Y1580" i="3"/>
  <c r="Y1584" i="3"/>
  <c r="Y1588" i="3"/>
  <c r="Y1592" i="3"/>
  <c r="Y1596" i="3"/>
  <c r="Y1600" i="3"/>
  <c r="Y1604" i="3"/>
  <c r="Y1608" i="3"/>
  <c r="Y1612" i="3"/>
  <c r="Y1616" i="3"/>
  <c r="Y1620" i="3"/>
  <c r="Y1624" i="3"/>
  <c r="Y1628" i="3"/>
  <c r="Y1632" i="3"/>
  <c r="Y1636" i="3"/>
  <c r="Y1640" i="3"/>
  <c r="Y1644" i="3"/>
  <c r="Y1648" i="3"/>
  <c r="Y1652" i="3"/>
  <c r="Y1656" i="3"/>
  <c r="Y1660" i="3"/>
  <c r="Y1664" i="3"/>
  <c r="Y1668" i="3"/>
  <c r="Y1672" i="3"/>
  <c r="Y1676" i="3"/>
  <c r="Y1680" i="3"/>
  <c r="Y1684" i="3"/>
  <c r="Y1688" i="3"/>
  <c r="Y1692" i="3"/>
  <c r="Y1696" i="3"/>
  <c r="Y1700" i="3"/>
  <c r="Y1704" i="3"/>
  <c r="Y1708" i="3"/>
  <c r="Y1712" i="3"/>
  <c r="Y1716" i="3"/>
  <c r="Y1720" i="3"/>
  <c r="Y1724" i="3"/>
  <c r="Y1728" i="3"/>
  <c r="Y1732" i="3"/>
  <c r="Y1736" i="3"/>
  <c r="Y1740" i="3"/>
  <c r="Y1744" i="3"/>
  <c r="Y1748" i="3"/>
  <c r="Y1752" i="3"/>
  <c r="Y1756" i="3"/>
  <c r="Y1760" i="3"/>
  <c r="Y1764" i="3"/>
  <c r="Y1768" i="3"/>
  <c r="Y1772" i="3"/>
  <c r="Y1776" i="3"/>
  <c r="Y1780" i="3"/>
  <c r="Y1784" i="3"/>
  <c r="Y1788" i="3"/>
  <c r="Y1792" i="3"/>
  <c r="Y1796" i="3"/>
  <c r="Y1800" i="3"/>
  <c r="Y1804" i="3"/>
  <c r="Y1808" i="3"/>
  <c r="Y1812" i="3"/>
  <c r="Y1816" i="3"/>
  <c r="Y1820" i="3"/>
  <c r="Y1824" i="3"/>
  <c r="Y1828" i="3"/>
  <c r="Y1832" i="3"/>
  <c r="Y1836" i="3"/>
  <c r="Y1840" i="3"/>
  <c r="Y1844" i="3"/>
  <c r="Y1848" i="3"/>
  <c r="Y1852" i="3"/>
  <c r="Y1856" i="3"/>
  <c r="Y1860" i="3"/>
  <c r="Y1864" i="3"/>
  <c r="Y1868" i="3"/>
  <c r="Y1872" i="3"/>
  <c r="Y1876" i="3"/>
  <c r="X709" i="3"/>
  <c r="X713" i="3"/>
  <c r="X717" i="3"/>
  <c r="X721" i="3"/>
  <c r="X725" i="3"/>
  <c r="X729" i="3"/>
  <c r="X733" i="3"/>
  <c r="X737" i="3"/>
  <c r="X741" i="3"/>
  <c r="X745" i="3"/>
  <c r="X749" i="3"/>
  <c r="X753" i="3"/>
  <c r="X757" i="3"/>
  <c r="X761" i="3"/>
  <c r="X765" i="3"/>
  <c r="X769" i="3"/>
  <c r="X773" i="3"/>
  <c r="X777" i="3"/>
  <c r="X781" i="3"/>
  <c r="X785" i="3"/>
  <c r="X789" i="3"/>
  <c r="X793" i="3"/>
  <c r="X797" i="3"/>
  <c r="X801" i="3"/>
  <c r="X805" i="3"/>
  <c r="X809" i="3"/>
  <c r="X813" i="3"/>
  <c r="X817" i="3"/>
  <c r="X821" i="3"/>
  <c r="X825" i="3"/>
  <c r="X829" i="3"/>
  <c r="X833" i="3"/>
  <c r="X837" i="3"/>
  <c r="X841" i="3"/>
  <c r="X845" i="3"/>
  <c r="X849" i="3"/>
  <c r="X853" i="3"/>
  <c r="X857" i="3"/>
  <c r="X861" i="3"/>
  <c r="X865" i="3"/>
  <c r="X869" i="3"/>
  <c r="X873" i="3"/>
  <c r="X877" i="3"/>
  <c r="X881" i="3"/>
  <c r="X885" i="3"/>
  <c r="X889" i="3"/>
  <c r="X893" i="3"/>
  <c r="X897" i="3"/>
  <c r="X901" i="3"/>
  <c r="X905" i="3"/>
  <c r="X909" i="3"/>
  <c r="X913" i="3"/>
  <c r="X917" i="3"/>
  <c r="X921" i="3"/>
  <c r="X925" i="3"/>
  <c r="X929" i="3"/>
  <c r="X933" i="3"/>
  <c r="X937" i="3"/>
  <c r="X941" i="3"/>
  <c r="X945" i="3"/>
  <c r="X949" i="3"/>
  <c r="X953" i="3"/>
  <c r="X957" i="3"/>
  <c r="X961" i="3"/>
  <c r="X965" i="3"/>
  <c r="X969" i="3"/>
  <c r="X973" i="3"/>
  <c r="X977" i="3"/>
  <c r="X981" i="3"/>
  <c r="X985" i="3"/>
  <c r="X989" i="3"/>
  <c r="X993" i="3"/>
  <c r="X997" i="3"/>
  <c r="X1001" i="3"/>
  <c r="X1005" i="3"/>
  <c r="X1009" i="3"/>
  <c r="X1013" i="3"/>
  <c r="X1017" i="3"/>
  <c r="X1021" i="3"/>
  <c r="X1025" i="3"/>
  <c r="X1029" i="3"/>
  <c r="X1033" i="3"/>
  <c r="X1037" i="3"/>
  <c r="X1041" i="3"/>
  <c r="X1045" i="3"/>
  <c r="X1049" i="3"/>
  <c r="X1053" i="3"/>
  <c r="X1057" i="3"/>
  <c r="X1061" i="3"/>
  <c r="X1065" i="3"/>
  <c r="X1069" i="3"/>
  <c r="X1073" i="3"/>
  <c r="X1077" i="3"/>
  <c r="X1081" i="3"/>
  <c r="X1085" i="3"/>
  <c r="X1089" i="3"/>
  <c r="X1093" i="3"/>
  <c r="X1097" i="3"/>
  <c r="X1101" i="3"/>
  <c r="X1105" i="3"/>
  <c r="X1109" i="3"/>
  <c r="X1113" i="3"/>
  <c r="X1117" i="3"/>
  <c r="X1121" i="3"/>
  <c r="X1125" i="3"/>
  <c r="X1129" i="3"/>
  <c r="X1133" i="3"/>
  <c r="X1137" i="3"/>
  <c r="X1141" i="3"/>
  <c r="X1145" i="3"/>
  <c r="X1149" i="3"/>
  <c r="X1153" i="3"/>
  <c r="X1157" i="3"/>
  <c r="X1161" i="3"/>
  <c r="X1165" i="3"/>
  <c r="X1169" i="3"/>
  <c r="X1173" i="3"/>
  <c r="X1177" i="3"/>
  <c r="X1181" i="3"/>
  <c r="X1185" i="3"/>
  <c r="X1189" i="3"/>
  <c r="X1193" i="3"/>
  <c r="X1197" i="3"/>
  <c r="X1201" i="3"/>
  <c r="X1205" i="3"/>
  <c r="X1209" i="3"/>
  <c r="X1213" i="3"/>
  <c r="X1217" i="3"/>
  <c r="X1221" i="3"/>
  <c r="X1225" i="3"/>
  <c r="X1229" i="3"/>
  <c r="X1233" i="3"/>
  <c r="X1237" i="3"/>
  <c r="X1241" i="3"/>
  <c r="X1245" i="3"/>
  <c r="X1249" i="3"/>
  <c r="X1253" i="3"/>
  <c r="X1257" i="3"/>
  <c r="X1261" i="3"/>
  <c r="X1265" i="3"/>
  <c r="X1269" i="3"/>
  <c r="X1273" i="3"/>
  <c r="X1277" i="3"/>
  <c r="X1281" i="3"/>
  <c r="X1285" i="3"/>
  <c r="X1289" i="3"/>
  <c r="X1293" i="3"/>
  <c r="X1297" i="3"/>
  <c r="X1301" i="3"/>
  <c r="X1305" i="3"/>
  <c r="X1309" i="3"/>
  <c r="X1313" i="3"/>
  <c r="X1317" i="3"/>
  <c r="X1321" i="3"/>
  <c r="X1325" i="3"/>
  <c r="X1329" i="3"/>
  <c r="X1333" i="3"/>
  <c r="X1337" i="3"/>
  <c r="X1341" i="3"/>
  <c r="X1345" i="3"/>
  <c r="X1349" i="3"/>
  <c r="X1353" i="3"/>
  <c r="X1357" i="3"/>
  <c r="X1361" i="3"/>
  <c r="X1365" i="3"/>
  <c r="X1369" i="3"/>
  <c r="X1373" i="3"/>
  <c r="X1377" i="3"/>
  <c r="X1381" i="3"/>
  <c r="X1385" i="3"/>
  <c r="X1389" i="3"/>
  <c r="X1393" i="3"/>
  <c r="X1397" i="3"/>
  <c r="X1401" i="3"/>
  <c r="X1405" i="3"/>
  <c r="X1409" i="3"/>
  <c r="X1413" i="3"/>
  <c r="X1417" i="3"/>
  <c r="X1421" i="3"/>
  <c r="X1425" i="3"/>
  <c r="X1429" i="3"/>
  <c r="X1433" i="3"/>
  <c r="X1437" i="3"/>
  <c r="X1441" i="3"/>
  <c r="X1445" i="3"/>
  <c r="X1449" i="3"/>
  <c r="X1453" i="3"/>
  <c r="X1457" i="3"/>
  <c r="X1461" i="3"/>
  <c r="X1465" i="3"/>
  <c r="X1469" i="3"/>
  <c r="X1473" i="3"/>
  <c r="X1477" i="3"/>
  <c r="X1481" i="3"/>
  <c r="X1485" i="3"/>
  <c r="X1489" i="3"/>
  <c r="X1493" i="3"/>
  <c r="X1497" i="3"/>
  <c r="X1501" i="3"/>
  <c r="X1505" i="3"/>
  <c r="X1509" i="3"/>
  <c r="X1513" i="3"/>
  <c r="X1517" i="3"/>
  <c r="X1521" i="3"/>
  <c r="X1525" i="3"/>
  <c r="X1529" i="3"/>
  <c r="X1533" i="3"/>
  <c r="X1537" i="3"/>
  <c r="X1541" i="3"/>
  <c r="X1545" i="3"/>
  <c r="X1549" i="3"/>
  <c r="X1553" i="3"/>
  <c r="X1557" i="3"/>
  <c r="X1561" i="3"/>
  <c r="X1565" i="3"/>
  <c r="X1569" i="3"/>
  <c r="X1573" i="3"/>
  <c r="X1577" i="3"/>
  <c r="X1581" i="3"/>
  <c r="X1585" i="3"/>
  <c r="X1589" i="3"/>
  <c r="X1593" i="3"/>
  <c r="X1597" i="3"/>
  <c r="X1601" i="3"/>
  <c r="X1605" i="3"/>
  <c r="X1609" i="3"/>
  <c r="X1613" i="3"/>
  <c r="X1617" i="3"/>
  <c r="X1621" i="3"/>
  <c r="X1625" i="3"/>
  <c r="X1629" i="3"/>
  <c r="X1633" i="3"/>
  <c r="X1637" i="3"/>
  <c r="X1641" i="3"/>
  <c r="X1645" i="3"/>
  <c r="X1649" i="3"/>
  <c r="X1653" i="3"/>
  <c r="X1657" i="3"/>
  <c r="X1661" i="3"/>
  <c r="X1665" i="3"/>
  <c r="X1669" i="3"/>
  <c r="X1673" i="3"/>
  <c r="X1677" i="3"/>
  <c r="X1681" i="3"/>
  <c r="X1685" i="3"/>
  <c r="X1689" i="3"/>
  <c r="X1693" i="3"/>
  <c r="X1697" i="3"/>
  <c r="X1701" i="3"/>
  <c r="X1705" i="3"/>
  <c r="X1709" i="3"/>
  <c r="Y1469" i="3"/>
  <c r="Y1473" i="3"/>
  <c r="Y1477" i="3"/>
  <c r="Y1481" i="3"/>
  <c r="Y1485" i="3"/>
  <c r="Y1489" i="3"/>
  <c r="Y1493" i="3"/>
  <c r="Y1497" i="3"/>
  <c r="Y1501" i="3"/>
  <c r="Y1505" i="3"/>
  <c r="Y1509" i="3"/>
  <c r="Y1513" i="3"/>
  <c r="Y1517" i="3"/>
  <c r="Y1521" i="3"/>
  <c r="Y1525" i="3"/>
  <c r="X1614" i="3"/>
  <c r="X1618" i="3"/>
  <c r="X1622" i="3"/>
  <c r="X1626" i="3"/>
  <c r="X1630" i="3"/>
  <c r="X1634" i="3"/>
  <c r="X1638" i="3"/>
  <c r="X1642" i="3"/>
  <c r="X1646" i="3"/>
  <c r="X1650" i="3"/>
  <c r="X1654" i="3"/>
  <c r="X1658" i="3"/>
  <c r="X1662" i="3"/>
  <c r="X1666" i="3"/>
  <c r="X1670" i="3"/>
  <c r="X1674" i="3"/>
  <c r="X1678" i="3"/>
  <c r="X1682" i="3"/>
  <c r="X1686" i="3"/>
  <c r="X1690" i="3"/>
  <c r="X1694" i="3"/>
  <c r="X1698" i="3"/>
  <c r="X1702" i="3"/>
  <c r="X1706" i="3"/>
  <c r="X1710" i="3"/>
  <c r="X1714" i="3"/>
  <c r="X1718" i="3"/>
  <c r="X1722" i="3"/>
  <c r="X1726" i="3"/>
  <c r="X1730" i="3"/>
  <c r="X1734" i="3"/>
  <c r="X1738" i="3"/>
  <c r="X1742" i="3"/>
  <c r="X1746" i="3"/>
  <c r="X1750" i="3"/>
  <c r="X1754" i="3"/>
  <c r="X1758" i="3"/>
  <c r="X1762" i="3"/>
  <c r="X1766" i="3"/>
  <c r="X1770" i="3"/>
  <c r="X1774" i="3"/>
  <c r="X1778" i="3"/>
  <c r="X1782" i="3"/>
  <c r="X1786" i="3"/>
  <c r="X1790" i="3"/>
  <c r="X1794" i="3"/>
  <c r="X1798" i="3"/>
  <c r="X1802" i="3"/>
  <c r="X1806" i="3"/>
  <c r="X1810" i="3"/>
  <c r="X1814" i="3"/>
  <c r="X1818" i="3"/>
  <c r="X1822" i="3"/>
  <c r="X1826" i="3"/>
  <c r="X1830" i="3"/>
  <c r="X1834" i="3"/>
  <c r="X1838" i="3"/>
  <c r="X1842" i="3"/>
  <c r="X1846" i="3"/>
  <c r="Y1562" i="3"/>
  <c r="Y1566" i="3"/>
  <c r="Y1570" i="3"/>
  <c r="Y1574" i="3"/>
  <c r="Y1578" i="3"/>
  <c r="Y1582" i="3"/>
  <c r="Y1586" i="3"/>
  <c r="Y1590" i="3"/>
  <c r="Y1594" i="3"/>
  <c r="Y1598" i="3"/>
  <c r="Y1602" i="3"/>
  <c r="Y1606" i="3"/>
  <c r="Y1610" i="3"/>
  <c r="Y1614" i="3"/>
  <c r="Y1618" i="3"/>
  <c r="Y1622" i="3"/>
  <c r="Y1626" i="3"/>
  <c r="Y1630" i="3"/>
  <c r="Y1634" i="3"/>
  <c r="Y1638" i="3"/>
  <c r="Y1642" i="3"/>
  <c r="Y1646" i="3"/>
  <c r="Y1650" i="3"/>
  <c r="Y1654" i="3"/>
  <c r="Y1658" i="3"/>
  <c r="Y1662" i="3"/>
  <c r="Y1666" i="3"/>
  <c r="Y1670" i="3"/>
  <c r="Y1674" i="3"/>
  <c r="Y1678" i="3"/>
  <c r="Y1682" i="3"/>
  <c r="Y1686" i="3"/>
  <c r="Y1690" i="3"/>
  <c r="Y1694" i="3"/>
  <c r="Y1698" i="3"/>
  <c r="Y1702" i="3"/>
  <c r="Y1706" i="3"/>
  <c r="Y1710" i="3"/>
  <c r="Y1714" i="3"/>
  <c r="Y1718" i="3"/>
  <c r="Y1722" i="3"/>
  <c r="Y1726" i="3"/>
  <c r="Y1730" i="3"/>
  <c r="Y1734" i="3"/>
  <c r="Y1738" i="3"/>
  <c r="Y1742" i="3"/>
  <c r="Y1746" i="3"/>
  <c r="Y1750" i="3"/>
  <c r="Y1754" i="3"/>
  <c r="Y1758" i="3"/>
  <c r="X1415" i="3"/>
  <c r="X1419" i="3"/>
  <c r="X1423" i="3"/>
  <c r="X1427" i="3"/>
  <c r="X1431" i="3"/>
  <c r="X1435" i="3"/>
  <c r="X1439" i="3"/>
  <c r="X1443" i="3"/>
  <c r="X1447" i="3"/>
  <c r="X1451" i="3"/>
  <c r="X1455" i="3"/>
  <c r="X1459" i="3"/>
  <c r="X1463" i="3"/>
  <c r="X1467" i="3"/>
  <c r="X1471" i="3"/>
  <c r="X1475" i="3"/>
  <c r="X1479" i="3"/>
  <c r="X1483" i="3"/>
  <c r="X1487" i="3"/>
  <c r="X1491" i="3"/>
  <c r="X1495" i="3"/>
  <c r="X1499" i="3"/>
  <c r="X1503" i="3"/>
  <c r="X1507" i="3"/>
  <c r="X1511" i="3"/>
  <c r="X1515" i="3"/>
  <c r="X1519" i="3"/>
  <c r="X1523" i="3"/>
  <c r="X1527" i="3"/>
  <c r="X1531" i="3"/>
  <c r="X1535" i="3"/>
  <c r="X1539" i="3"/>
  <c r="X1543" i="3"/>
  <c r="X1547" i="3"/>
  <c r="X1551" i="3"/>
  <c r="X1555" i="3"/>
  <c r="X1559" i="3"/>
  <c r="X1563" i="3"/>
  <c r="X1567" i="3"/>
  <c r="X1571" i="3"/>
  <c r="X1575" i="3"/>
  <c r="X1579" i="3"/>
  <c r="X1583" i="3"/>
  <c r="X1587" i="3"/>
  <c r="X1591" i="3"/>
  <c r="X1595" i="3"/>
  <c r="X1599" i="3"/>
  <c r="X1603" i="3"/>
  <c r="X1607" i="3"/>
  <c r="X1611" i="3"/>
  <c r="X1615" i="3"/>
  <c r="X1619" i="3"/>
  <c r="X1623" i="3"/>
  <c r="X1627" i="3"/>
  <c r="X1631" i="3"/>
  <c r="X1635" i="3"/>
  <c r="X1639" i="3"/>
  <c r="X1643" i="3"/>
  <c r="X1647" i="3"/>
  <c r="X1651" i="3"/>
  <c r="X1655" i="3"/>
  <c r="X1659" i="3"/>
  <c r="X1663" i="3"/>
  <c r="X1667" i="3"/>
  <c r="X1671" i="3"/>
  <c r="X1675" i="3"/>
  <c r="X1679" i="3"/>
  <c r="X1683" i="3"/>
  <c r="X1687" i="3"/>
  <c r="X1691" i="3"/>
  <c r="X1695" i="3"/>
  <c r="X1699" i="3"/>
  <c r="X1703" i="3"/>
  <c r="X1707" i="3"/>
  <c r="X1711" i="3"/>
  <c r="X1715" i="3"/>
  <c r="X1719" i="3"/>
  <c r="X1723" i="3"/>
  <c r="X1727" i="3"/>
  <c r="X1731" i="3"/>
  <c r="X1735" i="3"/>
  <c r="X1739" i="3"/>
  <c r="X1743" i="3"/>
  <c r="X1747" i="3"/>
  <c r="X1751" i="3"/>
  <c r="X1755" i="3"/>
  <c r="X1759" i="3"/>
  <c r="X1763" i="3"/>
  <c r="X1767" i="3"/>
  <c r="X1771" i="3"/>
  <c r="X1775" i="3"/>
  <c r="X1779" i="3"/>
  <c r="X1783" i="3"/>
  <c r="Y1315" i="3"/>
  <c r="Y1319" i="3"/>
  <c r="Y1323" i="3"/>
  <c r="Y1327" i="3"/>
  <c r="Y1331" i="3"/>
  <c r="Y1335" i="3"/>
  <c r="Y1339" i="3"/>
  <c r="Y1343" i="3"/>
  <c r="Y1347" i="3"/>
  <c r="Y1351" i="3"/>
  <c r="Y1355" i="3"/>
  <c r="Y1359" i="3"/>
  <c r="Y1363" i="3"/>
  <c r="Y1367" i="3"/>
  <c r="Y1371" i="3"/>
  <c r="Y1375" i="3"/>
  <c r="Y1379" i="3"/>
  <c r="Y1383" i="3"/>
  <c r="Y1387" i="3"/>
  <c r="Y1391" i="3"/>
  <c r="Y1395" i="3"/>
  <c r="Y1399" i="3"/>
  <c r="Y1403" i="3"/>
  <c r="Y1407" i="3"/>
  <c r="Y1411" i="3"/>
  <c r="Y1415" i="3"/>
  <c r="Y1419" i="3"/>
  <c r="Y1423" i="3"/>
  <c r="Y1427" i="3"/>
  <c r="Y1431" i="3"/>
  <c r="Y1435" i="3"/>
  <c r="Y1439" i="3"/>
  <c r="Y1443" i="3"/>
  <c r="Y1447" i="3"/>
  <c r="Y1451" i="3"/>
  <c r="Y1455" i="3"/>
  <c r="Y1459" i="3"/>
  <c r="Y1463" i="3"/>
  <c r="X1800" i="3"/>
  <c r="X1804" i="3"/>
  <c r="X1808" i="3"/>
  <c r="X1812" i="3"/>
  <c r="X1816" i="3"/>
  <c r="X1820" i="3"/>
  <c r="X1824" i="3"/>
  <c r="X1828" i="3"/>
  <c r="X1832" i="3"/>
  <c r="X1836" i="3"/>
  <c r="X1840" i="3"/>
  <c r="X1844" i="3"/>
  <c r="X1848" i="3"/>
  <c r="X1852" i="3"/>
  <c r="X1856" i="3"/>
  <c r="X1860" i="3"/>
  <c r="X1864" i="3"/>
  <c r="X1868" i="3"/>
  <c r="X1872" i="3"/>
  <c r="X1876" i="3"/>
  <c r="X1880" i="3"/>
  <c r="X1884" i="3"/>
  <c r="X1888" i="3"/>
  <c r="X1892" i="3"/>
  <c r="X1896" i="3"/>
  <c r="X1900" i="3"/>
  <c r="X1904" i="3"/>
  <c r="X1908" i="3"/>
  <c r="X1912" i="3"/>
  <c r="X1916" i="3"/>
  <c r="X1920" i="3"/>
  <c r="X1924" i="3"/>
  <c r="X1928" i="3"/>
  <c r="X1932" i="3"/>
  <c r="X1936" i="3"/>
  <c r="X1940" i="3"/>
  <c r="X1944" i="3"/>
  <c r="X1948" i="3"/>
  <c r="X1952" i="3"/>
  <c r="X1956" i="3"/>
  <c r="X1960" i="3"/>
  <c r="X1964" i="3"/>
  <c r="X1968" i="3"/>
  <c r="X1972" i="3"/>
  <c r="X1976" i="3"/>
  <c r="X1980" i="3"/>
  <c r="X1984" i="3"/>
  <c r="X1988" i="3"/>
  <c r="X1992" i="3"/>
  <c r="X1996" i="3"/>
  <c r="X2000" i="3"/>
  <c r="X2004" i="3"/>
  <c r="X2008" i="3"/>
  <c r="X2012" i="3"/>
  <c r="X2016" i="3"/>
  <c r="X2020" i="3"/>
  <c r="X2024" i="3"/>
  <c r="X2028" i="3"/>
  <c r="X2032" i="3"/>
  <c r="X2036" i="3"/>
  <c r="X2040" i="3"/>
  <c r="Y1467" i="3"/>
  <c r="Y1471" i="3"/>
  <c r="Y1475" i="3"/>
  <c r="Y1479" i="3"/>
  <c r="Y1483" i="3"/>
  <c r="Y1487" i="3"/>
  <c r="Y1491" i="3"/>
  <c r="Y1495" i="3"/>
  <c r="Y1499" i="3"/>
  <c r="Y1503" i="3"/>
  <c r="Y1507" i="3"/>
  <c r="Y1511" i="3"/>
  <c r="Y1515" i="3"/>
  <c r="Y1519" i="3"/>
  <c r="Y1523" i="3"/>
  <c r="Y1527" i="3"/>
  <c r="Y1531" i="3"/>
  <c r="Y1535" i="3"/>
  <c r="Y1539" i="3"/>
  <c r="Y1543" i="3"/>
  <c r="Y1547" i="3"/>
  <c r="Y1551" i="3"/>
  <c r="Y1555" i="3"/>
  <c r="Y1559" i="3"/>
  <c r="Y1563" i="3"/>
  <c r="Y1567" i="3"/>
  <c r="Y1571" i="3"/>
  <c r="Y1575" i="3"/>
  <c r="Y1579" i="3"/>
  <c r="Y1583" i="3"/>
  <c r="Y1587" i="3"/>
  <c r="Y1591" i="3"/>
  <c r="Y1595" i="3"/>
  <c r="Y1599" i="3"/>
  <c r="Y1603" i="3"/>
  <c r="Y1607" i="3"/>
  <c r="Y1611" i="3"/>
  <c r="Y1615" i="3"/>
  <c r="Y1619" i="3"/>
  <c r="Y1623" i="3"/>
  <c r="Y1627" i="3"/>
  <c r="Y1631" i="3"/>
  <c r="Y1635" i="3"/>
  <c r="Y1639" i="3"/>
  <c r="Y1643" i="3"/>
  <c r="Y1647" i="3"/>
  <c r="Y1651" i="3"/>
  <c r="Y1655" i="3"/>
  <c r="Y1659" i="3"/>
  <c r="Y1663" i="3"/>
  <c r="Y1667" i="3"/>
  <c r="Y1671" i="3"/>
  <c r="Y1675" i="3"/>
  <c r="Y1679" i="3"/>
  <c r="Y1683" i="3"/>
  <c r="Y1687" i="3"/>
  <c r="Y1691" i="3"/>
  <c r="Y1695" i="3"/>
  <c r="Y1699" i="3"/>
  <c r="Y1703" i="3"/>
  <c r="Y1707" i="3"/>
  <c r="Y1711" i="3"/>
  <c r="Y1715" i="3"/>
  <c r="Y1719" i="3"/>
  <c r="Y1723" i="3"/>
  <c r="Y1727" i="3"/>
  <c r="Y1731" i="3"/>
  <c r="Y1735" i="3"/>
  <c r="Y1739" i="3"/>
  <c r="Y1743" i="3"/>
  <c r="Y1747" i="3"/>
  <c r="Y1751" i="3"/>
  <c r="Y1755" i="3"/>
  <c r="Y1759" i="3"/>
  <c r="Y1763" i="3"/>
  <c r="Y1767" i="3"/>
  <c r="Y1771" i="3"/>
  <c r="Y1775" i="3"/>
  <c r="Y1779" i="3"/>
  <c r="Y1783" i="3"/>
  <c r="Y1787" i="3"/>
  <c r="Y1791" i="3"/>
  <c r="Y1795" i="3"/>
  <c r="Y1799" i="3"/>
  <c r="Y1803" i="3"/>
  <c r="Y1807" i="3"/>
  <c r="Y1811" i="3"/>
  <c r="Y1815" i="3"/>
  <c r="Y1819" i="3"/>
  <c r="Y1823" i="3"/>
  <c r="Y1827" i="3"/>
  <c r="Y1831" i="3"/>
  <c r="Y1835" i="3"/>
  <c r="Y1839" i="3"/>
  <c r="Y1843" i="3"/>
  <c r="Y1847" i="3"/>
  <c r="Y1851" i="3"/>
  <c r="Y1855" i="3"/>
  <c r="Y1859" i="3"/>
  <c r="Y1863" i="3"/>
  <c r="Y1867" i="3"/>
  <c r="Y1871" i="3"/>
  <c r="Y1875" i="3"/>
  <c r="Y1879" i="3"/>
  <c r="Y1883" i="3"/>
  <c r="Y1887" i="3"/>
  <c r="Y1891" i="3"/>
  <c r="Y1895" i="3"/>
  <c r="Y1899" i="3"/>
  <c r="Y1903" i="3"/>
  <c r="Y1907" i="3"/>
  <c r="Y1911" i="3"/>
  <c r="Y1915" i="3"/>
  <c r="Y1919" i="3"/>
  <c r="Y1923" i="3"/>
  <c r="Y1927" i="3"/>
  <c r="Y1931" i="3"/>
  <c r="Y1935" i="3"/>
  <c r="Y1939" i="3"/>
  <c r="Y1943" i="3"/>
  <c r="Y1947" i="3"/>
  <c r="Y1951" i="3"/>
  <c r="Y1880" i="3"/>
  <c r="Y1884" i="3"/>
  <c r="Y1888" i="3"/>
  <c r="Y1892" i="3"/>
  <c r="Y1896" i="3"/>
  <c r="Y1900" i="3"/>
  <c r="Y1904" i="3"/>
  <c r="Y1908" i="3"/>
  <c r="Y1912" i="3"/>
  <c r="Y1916" i="3"/>
  <c r="Y1920" i="3"/>
  <c r="Y1924" i="3"/>
  <c r="Y1928" i="3"/>
  <c r="Y1932" i="3"/>
  <c r="Y1936" i="3"/>
  <c r="Y1940" i="3"/>
  <c r="Y1944" i="3"/>
  <c r="Y1948" i="3"/>
  <c r="Y1952" i="3"/>
  <c r="Y1956" i="3"/>
  <c r="Y1960" i="3"/>
  <c r="Y1964" i="3"/>
  <c r="Y1968" i="3"/>
  <c r="Y1972" i="3"/>
  <c r="Y1976" i="3"/>
  <c r="Y1980" i="3"/>
  <c r="Y1984" i="3"/>
  <c r="Y1988" i="3"/>
  <c r="Y1992" i="3"/>
  <c r="Y1996" i="3"/>
  <c r="Y2000" i="3"/>
  <c r="Y2004" i="3"/>
  <c r="Y2008" i="3"/>
  <c r="Y2012" i="3"/>
  <c r="Y2016" i="3"/>
  <c r="Y2020" i="3"/>
  <c r="Y2024" i="3"/>
  <c r="Y2028" i="3"/>
  <c r="Y2032" i="3"/>
  <c r="Y2036" i="3"/>
  <c r="Y2040" i="3"/>
  <c r="Y2044" i="3"/>
  <c r="Y2048" i="3"/>
  <c r="Y2052" i="3"/>
  <c r="Y2056" i="3"/>
  <c r="Y2060" i="3"/>
  <c r="Y2064" i="3"/>
  <c r="Y2068" i="3"/>
  <c r="Y2072" i="3"/>
  <c r="Y2076" i="3"/>
  <c r="Y2080" i="3"/>
  <c r="Y2084" i="3"/>
  <c r="Y2088" i="3"/>
  <c r="X1713" i="3"/>
  <c r="X1717" i="3"/>
  <c r="X1721" i="3"/>
  <c r="X1725" i="3"/>
  <c r="X1729" i="3"/>
  <c r="X1733" i="3"/>
  <c r="X1737" i="3"/>
  <c r="X1741" i="3"/>
  <c r="X1745" i="3"/>
  <c r="X1749" i="3"/>
  <c r="X1753" i="3"/>
  <c r="X1757" i="3"/>
  <c r="X1761" i="3"/>
  <c r="X1765" i="3"/>
  <c r="X1769" i="3"/>
  <c r="X1773" i="3"/>
  <c r="X1777" i="3"/>
  <c r="X1781" i="3"/>
  <c r="X1785" i="3"/>
  <c r="X1789" i="3"/>
  <c r="X1793" i="3"/>
  <c r="X1797" i="3"/>
  <c r="X1801" i="3"/>
  <c r="X1805" i="3"/>
  <c r="X1809" i="3"/>
  <c r="X1813" i="3"/>
  <c r="X1817" i="3"/>
  <c r="X1821" i="3"/>
  <c r="X1825" i="3"/>
  <c r="X1829" i="3"/>
  <c r="X1833" i="3"/>
  <c r="X1837" i="3"/>
  <c r="X1841" i="3"/>
  <c r="X1845" i="3"/>
  <c r="X1849" i="3"/>
  <c r="X1853" i="3"/>
  <c r="X1857" i="3"/>
  <c r="X1861" i="3"/>
  <c r="X1865" i="3"/>
  <c r="X1869" i="3"/>
  <c r="X1873" i="3"/>
  <c r="X1877" i="3"/>
  <c r="X1881" i="3"/>
  <c r="X1885" i="3"/>
  <c r="X1889" i="3"/>
  <c r="X1893" i="3"/>
  <c r="X1897" i="3"/>
  <c r="X1901" i="3"/>
  <c r="X1905" i="3"/>
  <c r="X1909" i="3"/>
  <c r="X1913" i="3"/>
  <c r="X1917" i="3"/>
  <c r="X1921" i="3"/>
  <c r="X1925" i="3"/>
  <c r="X1929" i="3"/>
  <c r="X1933" i="3"/>
  <c r="X1937" i="3"/>
  <c r="X1941" i="3"/>
  <c r="X1945" i="3"/>
  <c r="X1949" i="3"/>
  <c r="X1953" i="3"/>
  <c r="X1957" i="3"/>
  <c r="X1961" i="3"/>
  <c r="Y1529" i="3"/>
  <c r="Y1533" i="3"/>
  <c r="Y1537" i="3"/>
  <c r="Y1541" i="3"/>
  <c r="Y1545" i="3"/>
  <c r="Y1549" i="3"/>
  <c r="Y1553" i="3"/>
  <c r="Y1557" i="3"/>
  <c r="Y1561" i="3"/>
  <c r="Y1565" i="3"/>
  <c r="Y1569" i="3"/>
  <c r="Y1573" i="3"/>
  <c r="Y1577" i="3"/>
  <c r="Y1581" i="3"/>
  <c r="Y1585" i="3"/>
  <c r="Y1589" i="3"/>
  <c r="Y1593" i="3"/>
  <c r="Y1597" i="3"/>
  <c r="Y1601" i="3"/>
  <c r="Y1605" i="3"/>
  <c r="Y1609" i="3"/>
  <c r="Y1613" i="3"/>
  <c r="Y1617" i="3"/>
  <c r="Y1621" i="3"/>
  <c r="Y1625" i="3"/>
  <c r="Y1629" i="3"/>
  <c r="Y1633" i="3"/>
  <c r="Y1637" i="3"/>
  <c r="Y1641" i="3"/>
  <c r="Y1645" i="3"/>
  <c r="Y1649" i="3"/>
  <c r="Y1653" i="3"/>
  <c r="Y1657" i="3"/>
  <c r="Y1661" i="3"/>
  <c r="Y1665" i="3"/>
  <c r="Y1669" i="3"/>
  <c r="Y1673" i="3"/>
  <c r="Y1677" i="3"/>
  <c r="Y1681" i="3"/>
  <c r="Y1685" i="3"/>
  <c r="Y1689" i="3"/>
  <c r="Y1693" i="3"/>
  <c r="Y1697" i="3"/>
  <c r="Y1701" i="3"/>
  <c r="Y1705" i="3"/>
  <c r="Y1709" i="3"/>
  <c r="Y1713" i="3"/>
  <c r="Y1717" i="3"/>
  <c r="Y1721" i="3"/>
  <c r="Y1725" i="3"/>
  <c r="Y1729" i="3"/>
  <c r="Y1733" i="3"/>
  <c r="Y1737" i="3"/>
  <c r="Y1741" i="3"/>
  <c r="Y1745" i="3"/>
  <c r="Y1749" i="3"/>
  <c r="Y1753" i="3"/>
  <c r="Y1757" i="3"/>
  <c r="Y1761" i="3"/>
  <c r="Y1765" i="3"/>
  <c r="Y1769" i="3"/>
  <c r="Y1773" i="3"/>
  <c r="Y1777" i="3"/>
  <c r="Y1781" i="3"/>
  <c r="Y1785" i="3"/>
  <c r="Y1789" i="3"/>
  <c r="Y1793" i="3"/>
  <c r="Y1797" i="3"/>
  <c r="Y1801" i="3"/>
  <c r="Y1805" i="3"/>
  <c r="Y1809" i="3"/>
  <c r="Y1813" i="3"/>
  <c r="Y1817" i="3"/>
  <c r="Y1821" i="3"/>
  <c r="Y1825" i="3"/>
  <c r="Y1829" i="3"/>
  <c r="Y1833" i="3"/>
  <c r="Y1837" i="3"/>
  <c r="Y1841" i="3"/>
  <c r="Y1845" i="3"/>
  <c r="Y1849" i="3"/>
  <c r="Y1853" i="3"/>
  <c r="Y1857" i="3"/>
  <c r="Y1861" i="3"/>
  <c r="Y1865" i="3"/>
  <c r="Y1869" i="3"/>
  <c r="Y1873" i="3"/>
  <c r="Y1877" i="3"/>
  <c r="Y1881" i="3"/>
  <c r="Y1885" i="3"/>
  <c r="Y1889" i="3"/>
  <c r="Y1893" i="3"/>
  <c r="Y1897" i="3"/>
  <c r="Y1901" i="3"/>
  <c r="Y1905" i="3"/>
  <c r="Y1909" i="3"/>
  <c r="Y1913" i="3"/>
  <c r="Y1917" i="3"/>
  <c r="Y1921" i="3"/>
  <c r="Y1925" i="3"/>
  <c r="Y1929" i="3"/>
  <c r="Y1933" i="3"/>
  <c r="Y1937" i="3"/>
  <c r="Y1941" i="3"/>
  <c r="Y1945" i="3"/>
  <c r="Y1949" i="3"/>
  <c r="Y1953" i="3"/>
  <c r="Y1957" i="3"/>
  <c r="Y1961" i="3"/>
  <c r="Y1965" i="3"/>
  <c r="Y1969" i="3"/>
  <c r="Y1973" i="3"/>
  <c r="Y1977" i="3"/>
  <c r="Y1981" i="3"/>
  <c r="Y1985" i="3"/>
  <c r="Y1989" i="3"/>
  <c r="Y1993" i="3"/>
  <c r="Y1997" i="3"/>
  <c r="Y2001" i="3"/>
  <c r="Y2005" i="3"/>
  <c r="Y2009" i="3"/>
  <c r="Y2013" i="3"/>
  <c r="Y2017" i="3"/>
  <c r="Y2021" i="3"/>
  <c r="Y2025" i="3"/>
  <c r="Y2029" i="3"/>
  <c r="Y2033" i="3"/>
  <c r="Y2037" i="3"/>
  <c r="Y2041" i="3"/>
  <c r="Y2045" i="3"/>
  <c r="Y2049" i="3"/>
  <c r="Y2053" i="3"/>
  <c r="Y2057" i="3"/>
  <c r="Y2061" i="3"/>
  <c r="Y2065" i="3"/>
  <c r="Y2069" i="3"/>
  <c r="Y2073" i="3"/>
  <c r="Y2077" i="3"/>
  <c r="Y2081" i="3"/>
  <c r="Y2085" i="3"/>
  <c r="Y2089" i="3"/>
  <c r="Y2093" i="3"/>
  <c r="Y2097" i="3"/>
  <c r="Y2101" i="3"/>
  <c r="Y2105" i="3"/>
  <c r="X1850" i="3"/>
  <c r="X1854" i="3"/>
  <c r="X1858" i="3"/>
  <c r="X1862" i="3"/>
  <c r="X1866" i="3"/>
  <c r="X1870" i="3"/>
  <c r="X1874" i="3"/>
  <c r="X1878" i="3"/>
  <c r="X1882" i="3"/>
  <c r="X1886" i="3"/>
  <c r="X1890" i="3"/>
  <c r="X1894" i="3"/>
  <c r="X1898" i="3"/>
  <c r="X1902" i="3"/>
  <c r="X1906" i="3"/>
  <c r="X1910" i="3"/>
  <c r="X1914" i="3"/>
  <c r="X1918" i="3"/>
  <c r="X1922" i="3"/>
  <c r="X1926" i="3"/>
  <c r="X1930" i="3"/>
  <c r="X1934" i="3"/>
  <c r="X1938" i="3"/>
  <c r="X1942" i="3"/>
  <c r="X1946" i="3"/>
  <c r="X1950" i="3"/>
  <c r="X1954" i="3"/>
  <c r="X1958" i="3"/>
  <c r="X1962" i="3"/>
  <c r="X1966" i="3"/>
  <c r="X1970" i="3"/>
  <c r="X1974" i="3"/>
  <c r="X1978" i="3"/>
  <c r="X1982" i="3"/>
  <c r="X1986" i="3"/>
  <c r="X1990" i="3"/>
  <c r="X1994" i="3"/>
  <c r="X1998" i="3"/>
  <c r="X2002" i="3"/>
  <c r="X2006" i="3"/>
  <c r="X2010" i="3"/>
  <c r="X2014" i="3"/>
  <c r="X2018" i="3"/>
  <c r="X2022" i="3"/>
  <c r="X2026" i="3"/>
  <c r="X2030" i="3"/>
  <c r="X2034" i="3"/>
  <c r="X2038" i="3"/>
  <c r="Y1762" i="3"/>
  <c r="Y1766" i="3"/>
  <c r="Y1770" i="3"/>
  <c r="Y1774" i="3"/>
  <c r="Y1778" i="3"/>
  <c r="Y1782" i="3"/>
  <c r="Y1786" i="3"/>
  <c r="Y1790" i="3"/>
  <c r="Y1794" i="3"/>
  <c r="Y1798" i="3"/>
  <c r="Y1802" i="3"/>
  <c r="Y1806" i="3"/>
  <c r="Y1810" i="3"/>
  <c r="Y1814" i="3"/>
  <c r="Y1818" i="3"/>
  <c r="Y1822" i="3"/>
  <c r="Y1826" i="3"/>
  <c r="Y1830" i="3"/>
  <c r="Y1834" i="3"/>
  <c r="Y1838" i="3"/>
  <c r="Y1842" i="3"/>
  <c r="Y1846" i="3"/>
  <c r="Y1850" i="3"/>
  <c r="Y1854" i="3"/>
  <c r="Y1858" i="3"/>
  <c r="Y1862" i="3"/>
  <c r="Y1866" i="3"/>
  <c r="Y1870" i="3"/>
  <c r="Y1874" i="3"/>
  <c r="Y1878" i="3"/>
  <c r="Y1882" i="3"/>
  <c r="Y1886" i="3"/>
  <c r="Y1890" i="3"/>
  <c r="Y1894" i="3"/>
  <c r="Y1898" i="3"/>
  <c r="Y1902" i="3"/>
  <c r="Y1906" i="3"/>
  <c r="Y1910" i="3"/>
  <c r="Y1914" i="3"/>
  <c r="Y1918" i="3"/>
  <c r="Y1922" i="3"/>
  <c r="Y1926" i="3"/>
  <c r="Y1930" i="3"/>
  <c r="X1787" i="3"/>
  <c r="X1791" i="3"/>
  <c r="X1795" i="3"/>
  <c r="X1799" i="3"/>
  <c r="X1803" i="3"/>
  <c r="X1807" i="3"/>
  <c r="X1811" i="3"/>
  <c r="X1815" i="3"/>
  <c r="X1819" i="3"/>
  <c r="X1823" i="3"/>
  <c r="X1827" i="3"/>
  <c r="X1831" i="3"/>
  <c r="X1835" i="3"/>
  <c r="X1839" i="3"/>
  <c r="X1843" i="3"/>
  <c r="X1847" i="3"/>
  <c r="X1851" i="3"/>
  <c r="X1855" i="3"/>
  <c r="X1859" i="3"/>
  <c r="X1863" i="3"/>
  <c r="X1867" i="3"/>
  <c r="X1871" i="3"/>
  <c r="X1875" i="3"/>
  <c r="X1879" i="3"/>
  <c r="X1883" i="3"/>
  <c r="X1887" i="3"/>
  <c r="X1891" i="3"/>
  <c r="X1895" i="3"/>
  <c r="X1899" i="3"/>
  <c r="X1903" i="3"/>
  <c r="X1907" i="3"/>
  <c r="X1911" i="3"/>
  <c r="X1915" i="3"/>
  <c r="X1919" i="3"/>
  <c r="X1923" i="3"/>
  <c r="X1927" i="3"/>
  <c r="X1931" i="3"/>
  <c r="X1935" i="3"/>
  <c r="X1939" i="3"/>
  <c r="X1943" i="3"/>
  <c r="X1947" i="3"/>
  <c r="X1951" i="3"/>
  <c r="X1955" i="3"/>
  <c r="X1959" i="3"/>
  <c r="X1963" i="3"/>
  <c r="X1967" i="3"/>
  <c r="X1971" i="3"/>
  <c r="X1975" i="3"/>
  <c r="X1979" i="3"/>
  <c r="X1983" i="3"/>
  <c r="X1987" i="3"/>
  <c r="X1991" i="3"/>
  <c r="X1995" i="3"/>
  <c r="X1999" i="3"/>
  <c r="X2003" i="3"/>
  <c r="X2007" i="3"/>
  <c r="X2011" i="3"/>
  <c r="X2015" i="3"/>
  <c r="X2019" i="3"/>
  <c r="X2023" i="3"/>
  <c r="X2027" i="3"/>
  <c r="X2031" i="3"/>
  <c r="X2035" i="3"/>
  <c r="X2039" i="3"/>
  <c r="X2043" i="3"/>
  <c r="X2047" i="3"/>
  <c r="X2051" i="3"/>
  <c r="X2055" i="3"/>
  <c r="X2059" i="3"/>
  <c r="X2063" i="3"/>
  <c r="X2067" i="3"/>
  <c r="X2071" i="3"/>
  <c r="X2075" i="3"/>
  <c r="X2079" i="3"/>
  <c r="X2083" i="3"/>
  <c r="X2087" i="3"/>
  <c r="X2091" i="3"/>
  <c r="X2095" i="3"/>
  <c r="X2099" i="3"/>
  <c r="X2103" i="3"/>
  <c r="X2107" i="3"/>
  <c r="Y1955" i="3"/>
  <c r="Y1959" i="3"/>
  <c r="Y1963" i="3"/>
  <c r="Y1967" i="3"/>
  <c r="Y1971" i="3"/>
  <c r="Y1975" i="3"/>
  <c r="Y1979" i="3"/>
  <c r="Y1983" i="3"/>
  <c r="Y1987" i="3"/>
  <c r="Y1991" i="3"/>
  <c r="Y1995" i="3"/>
  <c r="Y1999" i="3"/>
  <c r="Y2003" i="3"/>
  <c r="Y2007" i="3"/>
  <c r="Y2011" i="3"/>
  <c r="Y2015" i="3"/>
  <c r="Y2019" i="3"/>
  <c r="Y2023" i="3"/>
  <c r="Y2027" i="3"/>
  <c r="Y2031" i="3"/>
  <c r="Y2035" i="3"/>
  <c r="Y2039" i="3"/>
  <c r="Y2043" i="3"/>
  <c r="Y2047" i="3"/>
  <c r="Y2051" i="3"/>
  <c r="Y2055" i="3"/>
  <c r="Y2059" i="3"/>
  <c r="Y2063" i="3"/>
  <c r="Y2067" i="3"/>
  <c r="Y2071" i="3"/>
  <c r="Y2075" i="3"/>
  <c r="Y2079" i="3"/>
  <c r="Y2083" i="3"/>
  <c r="Y2087" i="3"/>
  <c r="Y2091" i="3"/>
  <c r="Y2095" i="3"/>
  <c r="Y2099" i="3"/>
  <c r="Y2103" i="3"/>
  <c r="Y2107" i="3"/>
  <c r="X2044" i="3"/>
  <c r="X2048" i="3"/>
  <c r="X2052" i="3"/>
  <c r="X2056" i="3"/>
  <c r="X2060" i="3"/>
  <c r="X2064" i="3"/>
  <c r="X2068" i="3"/>
  <c r="X2072" i="3"/>
  <c r="X2076" i="3"/>
  <c r="X2080" i="3"/>
  <c r="X2084" i="3"/>
  <c r="X2088" i="3"/>
  <c r="X2092" i="3"/>
  <c r="X2096" i="3"/>
  <c r="X2100" i="3"/>
  <c r="X2104" i="3"/>
  <c r="Y2092" i="3"/>
  <c r="Y2096" i="3"/>
  <c r="Y2100" i="3"/>
  <c r="Y2104" i="3"/>
  <c r="X1965" i="3"/>
  <c r="X1969" i="3"/>
  <c r="X1973" i="3"/>
  <c r="X1977" i="3"/>
  <c r="X1981" i="3"/>
  <c r="X1985" i="3"/>
  <c r="X1989" i="3"/>
  <c r="X1993" i="3"/>
  <c r="X1997" i="3"/>
  <c r="X2001" i="3"/>
  <c r="X2005" i="3"/>
  <c r="X2009" i="3"/>
  <c r="X2013" i="3"/>
  <c r="X2017" i="3"/>
  <c r="X2021" i="3"/>
  <c r="X2025" i="3"/>
  <c r="X2029" i="3"/>
  <c r="X2033" i="3"/>
  <c r="X2037" i="3"/>
  <c r="X2041" i="3"/>
  <c r="X2045" i="3"/>
  <c r="X2049" i="3"/>
  <c r="X2053" i="3"/>
  <c r="X2057" i="3"/>
  <c r="X2061" i="3"/>
  <c r="X2065" i="3"/>
  <c r="X2069" i="3"/>
  <c r="X2073" i="3"/>
  <c r="X2077" i="3"/>
  <c r="X2081" i="3"/>
  <c r="X2085" i="3"/>
  <c r="X2089" i="3"/>
  <c r="X2093" i="3"/>
  <c r="X2097" i="3"/>
  <c r="X2101" i="3"/>
  <c r="X2105" i="3"/>
  <c r="X2042" i="3"/>
  <c r="X2046" i="3"/>
  <c r="X2050" i="3"/>
  <c r="X2054" i="3"/>
  <c r="X2058" i="3"/>
  <c r="X2062" i="3"/>
  <c r="X2066" i="3"/>
  <c r="X2070" i="3"/>
  <c r="X2074" i="3"/>
  <c r="X2078" i="3"/>
  <c r="X2082" i="3"/>
  <c r="X2086" i="3"/>
  <c r="X2090" i="3"/>
  <c r="X2094" i="3"/>
  <c r="X2098" i="3"/>
  <c r="X2102" i="3"/>
  <c r="X2106" i="3"/>
  <c r="Y1934" i="3"/>
  <c r="Y1938" i="3"/>
  <c r="Y1942" i="3"/>
  <c r="Y1946" i="3"/>
  <c r="Y1950" i="3"/>
  <c r="Y1954" i="3"/>
  <c r="Y1958" i="3"/>
  <c r="Y1962" i="3"/>
  <c r="Y1966" i="3"/>
  <c r="Y1970" i="3"/>
  <c r="Y1974" i="3"/>
  <c r="Y1978" i="3"/>
  <c r="Y1982" i="3"/>
  <c r="Y1986" i="3"/>
  <c r="Y1990" i="3"/>
  <c r="Y1994" i="3"/>
  <c r="Y1998" i="3"/>
  <c r="Y2002" i="3"/>
  <c r="Y2006" i="3"/>
  <c r="Y2010" i="3"/>
  <c r="Y2014" i="3"/>
  <c r="Y2018" i="3"/>
  <c r="Y2022" i="3"/>
  <c r="Y2026" i="3"/>
  <c r="Y2030" i="3"/>
  <c r="Y2034" i="3"/>
  <c r="Y2038" i="3"/>
  <c r="Y2042" i="3"/>
  <c r="Y2046" i="3"/>
  <c r="Y2050" i="3"/>
  <c r="Y2054" i="3"/>
  <c r="Y2058" i="3"/>
  <c r="Y2062" i="3"/>
  <c r="Y2066" i="3"/>
  <c r="Y2070" i="3"/>
  <c r="Y2074" i="3"/>
  <c r="Y2078" i="3"/>
  <c r="Y2082" i="3"/>
  <c r="Y2086" i="3"/>
  <c r="Y2090" i="3"/>
  <c r="Y2094" i="3"/>
  <c r="Y2098" i="3"/>
  <c r="Y2102" i="3"/>
  <c r="Y2106" i="3"/>
  <c r="AD2108" i="3"/>
  <c r="G2" i="4" l="1"/>
  <c r="Z2109" i="3"/>
  <c r="G3" i="4" s="1"/>
  <c r="L2" i="4"/>
  <c r="AE2109" i="3"/>
  <c r="L3" i="4" s="1"/>
  <c r="U2109" i="3"/>
  <c r="B3" i="4" s="1"/>
  <c r="B2" i="4"/>
  <c r="A2" i="4" s="1"/>
  <c r="M2" i="4"/>
  <c r="AF2109" i="3"/>
  <c r="M3" i="4" s="1"/>
  <c r="AC2109" i="3"/>
  <c r="J3" i="4" s="1"/>
  <c r="J2" i="4"/>
  <c r="H2" i="4"/>
  <c r="AA2109" i="3"/>
  <c r="H3" i="4" s="1"/>
  <c r="AB2109" i="3"/>
  <c r="I3" i="4" s="1"/>
  <c r="AD2109" i="3"/>
  <c r="K3" i="4" s="1"/>
  <c r="K2" i="4"/>
  <c r="AG2109" i="3"/>
  <c r="N3" i="4" s="1"/>
  <c r="W2109" i="3"/>
  <c r="D3" i="4" s="1"/>
  <c r="Y2108" i="3"/>
  <c r="V2109" i="3"/>
  <c r="C3" i="4" s="1"/>
  <c r="X2108" i="3"/>
  <c r="X2109" i="3" l="1"/>
  <c r="E3" i="4" s="1"/>
  <c r="E2" i="4"/>
  <c r="B22" i="4" s="1"/>
  <c r="A22" i="4" s="1"/>
  <c r="Y2109" i="3"/>
  <c r="F3" i="4" s="1"/>
  <c r="F2" i="4"/>
  <c r="H22" i="4" s="1"/>
  <c r="G2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User0</author>
  </authors>
  <commentList>
    <comment ref="V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User0:</t>
        </r>
        <r>
          <rPr>
            <sz val="9"/>
            <color indexed="81"/>
            <rFont val="Tahoma"/>
            <family val="2"/>
          </rPr>
          <t xml:space="preserve">
Presentó examen de 160</t>
        </r>
      </text>
    </comment>
    <comment ref="W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User0:</t>
        </r>
        <r>
          <rPr>
            <sz val="9"/>
            <color indexed="81"/>
            <rFont val="Tahoma"/>
            <family val="2"/>
          </rPr>
          <t xml:space="preserve">
Presentó examen de 120</t>
        </r>
      </text>
    </comment>
    <comment ref="Z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User0:</t>
        </r>
        <r>
          <rPr>
            <sz val="9"/>
            <color indexed="81"/>
            <rFont val="Tahoma"/>
            <family val="2"/>
          </rPr>
          <t xml:space="preserve">
50 PUNTOS</t>
        </r>
      </text>
    </comment>
    <comment ref="A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User0:</t>
        </r>
        <r>
          <rPr>
            <sz val="9"/>
            <color indexed="81"/>
            <rFont val="Tahoma"/>
            <family val="2"/>
          </rPr>
          <t xml:space="preserve">
40 PUNTOS</t>
        </r>
      </text>
    </comment>
    <comment ref="AB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User0:</t>
        </r>
        <r>
          <rPr>
            <sz val="9"/>
            <color indexed="81"/>
            <rFont val="Tahoma"/>
            <family val="2"/>
          </rPr>
          <t xml:space="preserve">
70 PUNTOS</t>
        </r>
      </text>
    </comment>
  </commentList>
</comments>
</file>

<file path=xl/sharedStrings.xml><?xml version="1.0" encoding="utf-8"?>
<sst xmlns="http://schemas.openxmlformats.org/spreadsheetml/2006/main" count="8664" uniqueCount="3417">
  <si>
    <t>Apellidos</t>
  </si>
  <si>
    <t>Nombre</t>
  </si>
  <si>
    <t>Nombre de usuario</t>
  </si>
  <si>
    <t>ID de alumno</t>
  </si>
  <si>
    <t>DIAGNÓSTICO 1. CONJUNTOS (G)(1) [Puntos totales: 50 Puntuación] |179315</t>
  </si>
  <si>
    <t>DIAGNÓSTICO 2. NÚMEROS (G)(1) [Puntos totales: 40 Puntuación] |179316</t>
  </si>
  <si>
    <t>DIAGNÓSTICO 3. SÍMBOLOS ALGEBRAICOS (G)(1) [Puntos totales: 70 Puntuación] |179317</t>
  </si>
  <si>
    <t>DIAGNÓSTICO (G1) [Puntos totales: 20 Puntuación] |179223</t>
  </si>
  <si>
    <t>DIAGNÓSTICO G3 [Puntos totales: 60 Puntuación] |179224</t>
  </si>
  <si>
    <t>DIAGNÓSTICO G2 [Puntos totales: 20 Puntuación] |179225</t>
  </si>
  <si>
    <t>DIAGNÓSTICO G4 [Puntos totales: 10 Puntuación] |179226</t>
  </si>
  <si>
    <t>DIAGNÓSTICO G5 [Puntos totales: 10 Puntuación] |179227</t>
  </si>
  <si>
    <t>RTDG [Puntos totales: hasta 120 Puntuación] |179221</t>
  </si>
  <si>
    <t>Control de becarios [Puntos totales: 20 Puntuación] |179314</t>
  </si>
  <si>
    <t>RTDGB [Puntos totales: hasta 160 Puntuación] |179318</t>
  </si>
  <si>
    <t>Orden o jerarquía de operaciones [Puntos totales: 0 Puntuación] |179319</t>
  </si>
  <si>
    <t>Prueba [Puntos totales: 10 Puntuación] |181213</t>
  </si>
  <si>
    <t>Prueba [Puntos totales: 10 Puntuación] |181214</t>
  </si>
  <si>
    <t>. Beltrán</t>
  </si>
  <si>
    <t>Xitlaly</t>
  </si>
  <si>
    <t>En proceso</t>
  </si>
  <si>
    <t>Abad Muñoz</t>
  </si>
  <si>
    <t>Andres</t>
  </si>
  <si>
    <t>Abascal Bernal</t>
  </si>
  <si>
    <t>Elizabeth</t>
  </si>
  <si>
    <t>Maria Jose</t>
  </si>
  <si>
    <t>Abraham Rothlaender</t>
  </si>
  <si>
    <t>Lucia</t>
  </si>
  <si>
    <t>Abrego Osorio</t>
  </si>
  <si>
    <t>Aburto Ramos</t>
  </si>
  <si>
    <t>Marlene</t>
  </si>
  <si>
    <t>Acevedo Ledo</t>
  </si>
  <si>
    <t>Flavio Jesús</t>
  </si>
  <si>
    <t>Acevedo Molina</t>
  </si>
  <si>
    <t>Luis Carlos</t>
  </si>
  <si>
    <t>Aceves_PreviewUser</t>
  </si>
  <si>
    <t>Denisse</t>
  </si>
  <si>
    <t>21275_previewuser</t>
  </si>
  <si>
    <t>Acosta Avila</t>
  </si>
  <si>
    <t>David André</t>
  </si>
  <si>
    <t>Acosta Herrera</t>
  </si>
  <si>
    <t>Maximo Daniel</t>
  </si>
  <si>
    <t>Affif Téllez</t>
  </si>
  <si>
    <t>Alejandra</t>
  </si>
  <si>
    <t>Aguado Siany</t>
  </si>
  <si>
    <t>Fernando</t>
  </si>
  <si>
    <t>Aguayo Zanoguera</t>
  </si>
  <si>
    <t>Josué Roberto</t>
  </si>
  <si>
    <t>Aguila Guevara</t>
  </si>
  <si>
    <t>Mariana</t>
  </si>
  <si>
    <t>Aguilar Cepeda</t>
  </si>
  <si>
    <t>Luis Alejandro</t>
  </si>
  <si>
    <t>Aguilar Lobato</t>
  </si>
  <si>
    <t>Ana Karen</t>
  </si>
  <si>
    <t>Aguilar Morales</t>
  </si>
  <si>
    <t>Mariam</t>
  </si>
  <si>
    <t>Aguilar Paz</t>
  </si>
  <si>
    <t>Sebastián</t>
  </si>
  <si>
    <t>Aguilar Salazar</t>
  </si>
  <si>
    <t>Paulina</t>
  </si>
  <si>
    <t>Aguilera V zquez</t>
  </si>
  <si>
    <t>Monica</t>
  </si>
  <si>
    <t>Aguirre Gutiérrez</t>
  </si>
  <si>
    <t>Brenda Elizabeth</t>
  </si>
  <si>
    <t>Aguirre Hernández</t>
  </si>
  <si>
    <t>Ixchel Janice</t>
  </si>
  <si>
    <t>Aguirre Torres</t>
  </si>
  <si>
    <t>Paola</t>
  </si>
  <si>
    <t>Agut Cadena</t>
  </si>
  <si>
    <t>Angélica Paola</t>
  </si>
  <si>
    <t>Ahedo Marquez</t>
  </si>
  <si>
    <t>Raul</t>
  </si>
  <si>
    <t>Ahuactzin Fernández</t>
  </si>
  <si>
    <t>Antonio Daniel</t>
  </si>
  <si>
    <t>Ahumada Vázquez</t>
  </si>
  <si>
    <t>Fátima</t>
  </si>
  <si>
    <t>Aizpuru López</t>
  </si>
  <si>
    <t>Susana</t>
  </si>
  <si>
    <t>Alarcón Gómez</t>
  </si>
  <si>
    <t>Miguel Angel</t>
  </si>
  <si>
    <t>Alatorre Lopez</t>
  </si>
  <si>
    <t>Victor Ivan</t>
  </si>
  <si>
    <t>Alcalá Molina</t>
  </si>
  <si>
    <t>Luis Eduardo</t>
  </si>
  <si>
    <t>Alcantara Ramírez</t>
  </si>
  <si>
    <t>Lian Damian</t>
  </si>
  <si>
    <t>Alcazar Barbosa</t>
  </si>
  <si>
    <t>Roberto</t>
  </si>
  <si>
    <t>Alcocer Maldonado</t>
  </si>
  <si>
    <t>Rogelio Jasef</t>
  </si>
  <si>
    <t>Alcántara Alcántara</t>
  </si>
  <si>
    <t>Jesús</t>
  </si>
  <si>
    <t>Alcántara De León</t>
  </si>
  <si>
    <t>Sofía</t>
  </si>
  <si>
    <t>Alcántara González</t>
  </si>
  <si>
    <t>María</t>
  </si>
  <si>
    <t>Alcérreca Aguilar</t>
  </si>
  <si>
    <t>Paola Alexa</t>
  </si>
  <si>
    <t>Aldana Olivares</t>
  </si>
  <si>
    <t>Aranza</t>
  </si>
  <si>
    <t>Aldape Almanza</t>
  </si>
  <si>
    <t>Vania Gabriela</t>
  </si>
  <si>
    <t>Alducín Báez</t>
  </si>
  <si>
    <t>Gonzalo Imanol</t>
  </si>
  <si>
    <t>Alejandre Carrasco</t>
  </si>
  <si>
    <t>Belen Abigail</t>
  </si>
  <si>
    <t>Alejandre Jiménez</t>
  </si>
  <si>
    <t>Joana Yatziri</t>
  </si>
  <si>
    <t>Alemán Silva</t>
  </si>
  <si>
    <t>César Karel</t>
  </si>
  <si>
    <t>Alemán Solórzano</t>
  </si>
  <si>
    <t>Allen</t>
  </si>
  <si>
    <t>Marcus Alexander</t>
  </si>
  <si>
    <t>Almazan de Jesus</t>
  </si>
  <si>
    <t>Max Franck</t>
  </si>
  <si>
    <t>Almazán De Jesús</t>
  </si>
  <si>
    <t>Almonte Huelitl</t>
  </si>
  <si>
    <t>Diana Laura</t>
  </si>
  <si>
    <t>Alonso Alvarez</t>
  </si>
  <si>
    <t>Isabela</t>
  </si>
  <si>
    <t>Alonso Hernández</t>
  </si>
  <si>
    <t>Miguel Ángel</t>
  </si>
  <si>
    <t>Salvador</t>
  </si>
  <si>
    <t>Alonso Ruiz</t>
  </si>
  <si>
    <t>Israel</t>
  </si>
  <si>
    <t>Alor De Alba</t>
  </si>
  <si>
    <t>Juan Pablo</t>
  </si>
  <si>
    <t>Altamirano Cantón</t>
  </si>
  <si>
    <t>Aurora</t>
  </si>
  <si>
    <t>Altamirano Cantú</t>
  </si>
  <si>
    <t>Ximena</t>
  </si>
  <si>
    <t>Alva Tinoco</t>
  </si>
  <si>
    <t>Alvarado Cruz</t>
  </si>
  <si>
    <t>María Efigenia</t>
  </si>
  <si>
    <t>Alvarado Lasanté</t>
  </si>
  <si>
    <t>Alvarez Carrillo</t>
  </si>
  <si>
    <t>Esther</t>
  </si>
  <si>
    <t>Alvarez Flores</t>
  </si>
  <si>
    <t>Jorge</t>
  </si>
  <si>
    <t>Alvarez Trejo</t>
  </si>
  <si>
    <t>Silvia</t>
  </si>
  <si>
    <t>Alvarez Villalpando</t>
  </si>
  <si>
    <t>Daniel Patricio</t>
  </si>
  <si>
    <t>Alvino Téllez</t>
  </si>
  <si>
    <t>José Fabián</t>
  </si>
  <si>
    <t>Amador Domínguez</t>
  </si>
  <si>
    <t>Sabrina</t>
  </si>
  <si>
    <t>Amador R¡os</t>
  </si>
  <si>
    <t>Mariel</t>
  </si>
  <si>
    <t>Amaro Andrés</t>
  </si>
  <si>
    <t>Iván</t>
  </si>
  <si>
    <t>Amaro Merino</t>
  </si>
  <si>
    <t>Cinthia Dayana</t>
  </si>
  <si>
    <t>Amaro Nava</t>
  </si>
  <si>
    <t>Wendy Gabriela</t>
  </si>
  <si>
    <t>Amastal Ramírez</t>
  </si>
  <si>
    <t>Eladio</t>
  </si>
  <si>
    <t>Ambrosio del Ángel</t>
  </si>
  <si>
    <t>Javier</t>
  </si>
  <si>
    <t>Amezcua Lamuño</t>
  </si>
  <si>
    <t>Juan Francisco</t>
  </si>
  <si>
    <t>Amparo Flores</t>
  </si>
  <si>
    <t>Ivan Enrique</t>
  </si>
  <si>
    <t>Anaya Vergara</t>
  </si>
  <si>
    <t>Guillermo Ángel</t>
  </si>
  <si>
    <t>Anda Guzmán</t>
  </si>
  <si>
    <t>Andrea</t>
  </si>
  <si>
    <t>Andrade Beltrán</t>
  </si>
  <si>
    <t>Juan Manuel</t>
  </si>
  <si>
    <t>Andrade Espinosa</t>
  </si>
  <si>
    <t>Andrea Lucia</t>
  </si>
  <si>
    <t>Angeles Rodriguez</t>
  </si>
  <si>
    <t>Britney Aline</t>
  </si>
  <si>
    <t>Angeles Rosas</t>
  </si>
  <si>
    <t>Karen</t>
  </si>
  <si>
    <t>Anguiano del Castillo</t>
  </si>
  <si>
    <t>Emilio</t>
  </si>
  <si>
    <t>Angulo Ruiz</t>
  </si>
  <si>
    <t>Giselle Alessandra</t>
  </si>
  <si>
    <t>Ann</t>
  </si>
  <si>
    <t>Ga Eun</t>
  </si>
  <si>
    <t>Anzures Cajica</t>
  </si>
  <si>
    <t>Franco</t>
  </si>
  <si>
    <t>Anzures Islas</t>
  </si>
  <si>
    <t>Sandra Irais</t>
  </si>
  <si>
    <t>Apango Pérez</t>
  </si>
  <si>
    <t>Diana Llermi</t>
  </si>
  <si>
    <t>Aparicio Coscorrosa</t>
  </si>
  <si>
    <t>Odra Vanessa</t>
  </si>
  <si>
    <t>Aragón Pumarino</t>
  </si>
  <si>
    <t>Luis Antonio</t>
  </si>
  <si>
    <t>Aragón Tenorio</t>
  </si>
  <si>
    <t>Araiza Huerta</t>
  </si>
  <si>
    <t>Ángela Victoria</t>
  </si>
  <si>
    <t>Aramburo Bries</t>
  </si>
  <si>
    <t>Olivier</t>
  </si>
  <si>
    <t>Arana González</t>
  </si>
  <si>
    <t>María Fernanda</t>
  </si>
  <si>
    <t>Araujo Rosales</t>
  </si>
  <si>
    <t>Octavio</t>
  </si>
  <si>
    <t>Arellano Coyotl</t>
  </si>
  <si>
    <t>Arturo</t>
  </si>
  <si>
    <t>Arellano Mendoza</t>
  </si>
  <si>
    <t>José Luis</t>
  </si>
  <si>
    <t>Arellano Rullán</t>
  </si>
  <si>
    <t>Arena Gonz lez</t>
  </si>
  <si>
    <t>Arenas Astorga</t>
  </si>
  <si>
    <t>Victoria María</t>
  </si>
  <si>
    <t>Arenas Casas</t>
  </si>
  <si>
    <t>Gerardo</t>
  </si>
  <si>
    <t>Arenas Varela</t>
  </si>
  <si>
    <t>Estefania</t>
  </si>
  <si>
    <t>Argoty Pérez</t>
  </si>
  <si>
    <t>Hernán</t>
  </si>
  <si>
    <t>José Alberto</t>
  </si>
  <si>
    <t>Argueta Briones</t>
  </si>
  <si>
    <t>Selene Montserrat</t>
  </si>
  <si>
    <t>Argüello Valero</t>
  </si>
  <si>
    <t>Santiago</t>
  </si>
  <si>
    <t>Arias Mateos</t>
  </si>
  <si>
    <t>Jairo Antonio</t>
  </si>
  <si>
    <t>Arias Morales</t>
  </si>
  <si>
    <t>Pablo Emilio</t>
  </si>
  <si>
    <t>Arias Rocha</t>
  </si>
  <si>
    <t>Scarlette</t>
  </si>
  <si>
    <t>Arias Vargas</t>
  </si>
  <si>
    <t>Jose Emanuel</t>
  </si>
  <si>
    <t>Arizmendi Guerrero</t>
  </si>
  <si>
    <t>Antonio</t>
  </si>
  <si>
    <t>Arriaga Andrade</t>
  </si>
  <si>
    <t>Amayrani</t>
  </si>
  <si>
    <t>Arriaga Guerrero</t>
  </si>
  <si>
    <t>Rodolfo</t>
  </si>
  <si>
    <t>Arriaga Trujillo</t>
  </si>
  <si>
    <t>César</t>
  </si>
  <si>
    <t>Arrieta García</t>
  </si>
  <si>
    <t>Carlos César</t>
  </si>
  <si>
    <t>Arrieta Velázquez</t>
  </si>
  <si>
    <t>Paola Lizbett</t>
  </si>
  <si>
    <t>Arroniz Caldelas</t>
  </si>
  <si>
    <t>Manuel Adolfo</t>
  </si>
  <si>
    <t>Arroyo Bachbush</t>
  </si>
  <si>
    <t>Tamara</t>
  </si>
  <si>
    <t>Arroyo Díaz</t>
  </si>
  <si>
    <t>Martin</t>
  </si>
  <si>
    <t>Arroyo Flores</t>
  </si>
  <si>
    <t>Luz Isabel</t>
  </si>
  <si>
    <t>Arroyo Hernández</t>
  </si>
  <si>
    <t>Joseline</t>
  </si>
  <si>
    <t>Arroyo Salo</t>
  </si>
  <si>
    <t>Ivan Iliya</t>
  </si>
  <si>
    <t>Arroyo Santa Cruz</t>
  </si>
  <si>
    <t>Arvizu Villarreal</t>
  </si>
  <si>
    <t>Diego Alberto</t>
  </si>
  <si>
    <t>Arámburo Rodríguez</t>
  </si>
  <si>
    <t>Asproulis Lechuga</t>
  </si>
  <si>
    <t>Atlatenco Capilla</t>
  </si>
  <si>
    <t>Barbara</t>
  </si>
  <si>
    <t>Atonal Gaspar</t>
  </si>
  <si>
    <t>Austin Ibarreche</t>
  </si>
  <si>
    <t>Stephen Edward</t>
  </si>
  <si>
    <t>Avalos López</t>
  </si>
  <si>
    <t>Irving Isaac</t>
  </si>
  <si>
    <t>Avante Araoz</t>
  </si>
  <si>
    <t>Ana Marlene</t>
  </si>
  <si>
    <t>Aveitua Aguilar</t>
  </si>
  <si>
    <t>Isabel</t>
  </si>
  <si>
    <t>Avendaño Meza</t>
  </si>
  <si>
    <t>Emmanuel Javier</t>
  </si>
  <si>
    <t>Avendaño Rojano</t>
  </si>
  <si>
    <t>Andrés</t>
  </si>
  <si>
    <t>Avendaño Solano</t>
  </si>
  <si>
    <t>Baruch</t>
  </si>
  <si>
    <t>Avila Conde</t>
  </si>
  <si>
    <t>Paola de Lourdes</t>
  </si>
  <si>
    <t>Avila García</t>
  </si>
  <si>
    <t>Frida Azuany</t>
  </si>
  <si>
    <t>Avila Nuñez</t>
  </si>
  <si>
    <t>David Rafael</t>
  </si>
  <si>
    <t>Avila Salinas</t>
  </si>
  <si>
    <t>Avilés Villa</t>
  </si>
  <si>
    <t>Ayala Martinez</t>
  </si>
  <si>
    <t>Eliud</t>
  </si>
  <si>
    <t>Ayala Mondragón</t>
  </si>
  <si>
    <t>Erick Daniel</t>
  </si>
  <si>
    <t>Ayala Rosas</t>
  </si>
  <si>
    <t>Diego</t>
  </si>
  <si>
    <t>Azcarate Garcia</t>
  </si>
  <si>
    <t>Axel Isaac</t>
  </si>
  <si>
    <t>Badillo Rueda</t>
  </si>
  <si>
    <t>Eduardo Antonio</t>
  </si>
  <si>
    <t>Bagatella Osorio</t>
  </si>
  <si>
    <t>María de la Paz</t>
  </si>
  <si>
    <t>Bahena Ostermaier</t>
  </si>
  <si>
    <t>Alischa</t>
  </si>
  <si>
    <t>Bahena Vázquez</t>
  </si>
  <si>
    <t>Bryan Eduardo</t>
  </si>
  <si>
    <t>Ballinas García</t>
  </si>
  <si>
    <t>Julio Alfredo</t>
  </si>
  <si>
    <t>Banda Juarez</t>
  </si>
  <si>
    <t>Karla Fernanda</t>
  </si>
  <si>
    <t>Barcena Leo</t>
  </si>
  <si>
    <t>Ana Cecilia</t>
  </si>
  <si>
    <t>Bargagli Veldt</t>
  </si>
  <si>
    <t>David Sebastiaan</t>
  </si>
  <si>
    <t>Barocio García</t>
  </si>
  <si>
    <t>Mercedes</t>
  </si>
  <si>
    <t>Barojas Silvestre</t>
  </si>
  <si>
    <t>Anaid</t>
  </si>
  <si>
    <t>Barradas Belman</t>
  </si>
  <si>
    <t>Diana Montserrat</t>
  </si>
  <si>
    <t>Barraza Felix</t>
  </si>
  <si>
    <t>Felipe</t>
  </si>
  <si>
    <t>Barraza Rogero</t>
  </si>
  <si>
    <t>César Alejandro</t>
  </si>
  <si>
    <t>Barreda Carrillo</t>
  </si>
  <si>
    <t>Barrera Aranda</t>
  </si>
  <si>
    <t>Omar Emiliano</t>
  </si>
  <si>
    <t>Barrera Jiménez</t>
  </si>
  <si>
    <t>Stephania</t>
  </si>
  <si>
    <t>Barrera Ordaz</t>
  </si>
  <si>
    <t>Azyadeth Adriana</t>
  </si>
  <si>
    <t>Barrera Velazco</t>
  </si>
  <si>
    <t>Cynthia Paola</t>
  </si>
  <si>
    <t>Barrios García</t>
  </si>
  <si>
    <t>Barrios Juárez</t>
  </si>
  <si>
    <t>Samantha</t>
  </si>
  <si>
    <t>Barroeta Hernández</t>
  </si>
  <si>
    <t>Alexia</t>
  </si>
  <si>
    <t>Basave Pichardo</t>
  </si>
  <si>
    <t>Luis Gerardo</t>
  </si>
  <si>
    <t>Basurto Castro</t>
  </si>
  <si>
    <t>Oscar Araht</t>
  </si>
  <si>
    <t>Sergio Andres</t>
  </si>
  <si>
    <t>Bautista Delgado</t>
  </si>
  <si>
    <t>Bautista González</t>
  </si>
  <si>
    <t>Sirel</t>
  </si>
  <si>
    <t>Bautista Guerrero</t>
  </si>
  <si>
    <t>Monserrat</t>
  </si>
  <si>
    <t>Bautista Vázquez</t>
  </si>
  <si>
    <t>Alejandro</t>
  </si>
  <si>
    <t>Baxter</t>
  </si>
  <si>
    <t>Davin Jesse</t>
  </si>
  <si>
    <t>Baz Galicia</t>
  </si>
  <si>
    <t>Sergio</t>
  </si>
  <si>
    <t>Bazan del Valle Romero</t>
  </si>
  <si>
    <t>Francisco</t>
  </si>
  <si>
    <t>Baños Flores</t>
  </si>
  <si>
    <t>Andrea Montserrath</t>
  </si>
  <si>
    <t>Bañuelos Cortes</t>
  </si>
  <si>
    <t>Abraham</t>
  </si>
  <si>
    <t>Bañuelos Ibarra</t>
  </si>
  <si>
    <t>Alfonso</t>
  </si>
  <si>
    <t>Becerril Martínez</t>
  </si>
  <si>
    <t>Armando</t>
  </si>
  <si>
    <t>Bedolla Anaya</t>
  </si>
  <si>
    <t>Bedolla Risso</t>
  </si>
  <si>
    <t>Beggel Torres</t>
  </si>
  <si>
    <t>Karla Mariana</t>
  </si>
  <si>
    <t>Bello Bernal</t>
  </si>
  <si>
    <t>Bello Massa</t>
  </si>
  <si>
    <t>Olivia</t>
  </si>
  <si>
    <t>Bello Portillo</t>
  </si>
  <si>
    <t>Joanna Marian</t>
  </si>
  <si>
    <t>Bello Valladares</t>
  </si>
  <si>
    <t>Angelica</t>
  </si>
  <si>
    <t>Beltran Jimenez</t>
  </si>
  <si>
    <t>Daniel</t>
  </si>
  <si>
    <t>Beltrán Gutiérrez</t>
  </si>
  <si>
    <t>Benitez Cruz</t>
  </si>
  <si>
    <t>Lucio</t>
  </si>
  <si>
    <t>Beristáin Martínez</t>
  </si>
  <si>
    <t>Karol</t>
  </si>
  <si>
    <t>Bermejo García</t>
  </si>
  <si>
    <t>Eduardo Joshua</t>
  </si>
  <si>
    <t>Bermúdez López</t>
  </si>
  <si>
    <t>Bermúdez Rojkind</t>
  </si>
  <si>
    <t>Julián</t>
  </si>
  <si>
    <t>Bernabé Vázquez</t>
  </si>
  <si>
    <t>Félix</t>
  </si>
  <si>
    <t>Bernal López</t>
  </si>
  <si>
    <t>Zulema Sofía</t>
  </si>
  <si>
    <t>Bernal Palencia</t>
  </si>
  <si>
    <t>Bernal Roque</t>
  </si>
  <si>
    <t>Berzunza Gaytán</t>
  </si>
  <si>
    <t>Joaquín Antonio</t>
  </si>
  <si>
    <t>Betancourt Nevares</t>
  </si>
  <si>
    <t>Jesús Alberto</t>
  </si>
  <si>
    <t>Betancourt Roldán</t>
  </si>
  <si>
    <t>Dana Celeste</t>
  </si>
  <si>
    <t>Betancourt Vicens</t>
  </si>
  <si>
    <t>Christopher</t>
  </si>
  <si>
    <t>Bianchini Fernández</t>
  </si>
  <si>
    <t>Guillermo</t>
  </si>
  <si>
    <t>Bierge Hernández</t>
  </si>
  <si>
    <t>Gustavo Alejandro</t>
  </si>
  <si>
    <t>Mauricio</t>
  </si>
  <si>
    <t>Bisbal Tlaiye</t>
  </si>
  <si>
    <t>Zadia</t>
  </si>
  <si>
    <t>Blanco López</t>
  </si>
  <si>
    <t>Janet Abigail</t>
  </si>
  <si>
    <t>Bohórquez Catalán</t>
  </si>
  <si>
    <t>Diana Margarita</t>
  </si>
  <si>
    <t>Bojalil Zorrilla</t>
  </si>
  <si>
    <t>Federico</t>
  </si>
  <si>
    <t>Bojorquez Castillo</t>
  </si>
  <si>
    <t>Yered Yosshiel</t>
  </si>
  <si>
    <t>Boleaga Luna</t>
  </si>
  <si>
    <t>Beatriz</t>
  </si>
  <si>
    <t>Bonavides Pérez</t>
  </si>
  <si>
    <t>Alonso</t>
  </si>
  <si>
    <t>Bonilla Aguirre</t>
  </si>
  <si>
    <t>Galo</t>
  </si>
  <si>
    <t>Bonilla Cabrera</t>
  </si>
  <si>
    <t>Ángel Alfonso</t>
  </si>
  <si>
    <t>Bonilla Gómez</t>
  </si>
  <si>
    <t>Gabriela Giselle</t>
  </si>
  <si>
    <t>Bonilla Montes de Oca</t>
  </si>
  <si>
    <t>Adriana</t>
  </si>
  <si>
    <t>Bonilla Rivera</t>
  </si>
  <si>
    <t>Bonilla Villa</t>
  </si>
  <si>
    <t>Yurema</t>
  </si>
  <si>
    <t>Bonola García</t>
  </si>
  <si>
    <t>Eros Fabrizio</t>
  </si>
  <si>
    <t>Borboa Ledezma</t>
  </si>
  <si>
    <t>Cynthia Valeria</t>
  </si>
  <si>
    <t>Karen Fernanda</t>
  </si>
  <si>
    <t>Borgfeldt Martínez</t>
  </si>
  <si>
    <t>Tamara Denhi</t>
  </si>
  <si>
    <t>Bozza Aguiar</t>
  </si>
  <si>
    <t>Isabel Cristina</t>
  </si>
  <si>
    <t>Bozziere Chagollán</t>
  </si>
  <si>
    <t>Marian</t>
  </si>
  <si>
    <t>Brambila Rodríguez</t>
  </si>
  <si>
    <t>Gabriel</t>
  </si>
  <si>
    <t>Brambila Sinco</t>
  </si>
  <si>
    <t>Bravo Sieber</t>
  </si>
  <si>
    <t>Osmar</t>
  </si>
  <si>
    <t>Bravo Soni</t>
  </si>
  <si>
    <t>Sergio Fernando</t>
  </si>
  <si>
    <t>Bravo Villanueva</t>
  </si>
  <si>
    <t>Cruz Raúl</t>
  </si>
  <si>
    <t>Bretón Casares</t>
  </si>
  <si>
    <t>Álvaro</t>
  </si>
  <si>
    <t>Bretón Fernández</t>
  </si>
  <si>
    <t>Bretón Linden</t>
  </si>
  <si>
    <t>Olga Ximena</t>
  </si>
  <si>
    <t>Bretón Ruiz</t>
  </si>
  <si>
    <t>Alexa María</t>
  </si>
  <si>
    <t>Bringas Martínez</t>
  </si>
  <si>
    <t>Joaquín Rodrigo</t>
  </si>
  <si>
    <t>Bringas Valderrama</t>
  </si>
  <si>
    <t>Martha</t>
  </si>
  <si>
    <t>Briones Montes</t>
  </si>
  <si>
    <t>Brix Ruiz</t>
  </si>
  <si>
    <t>Celina</t>
  </si>
  <si>
    <t>Bueno Merchant</t>
  </si>
  <si>
    <t>Luis Fernando</t>
  </si>
  <si>
    <t>Báez Limón</t>
  </si>
  <si>
    <t>Báez Palencia</t>
  </si>
  <si>
    <t>Maximiliano</t>
  </si>
  <si>
    <t>Caballero Escalona</t>
  </si>
  <si>
    <t>Daniela Fernanda</t>
  </si>
  <si>
    <t>Caballero Gomez</t>
  </si>
  <si>
    <t>Caballero Ochoa</t>
  </si>
  <si>
    <t>Heriberto</t>
  </si>
  <si>
    <t>Cabañas González</t>
  </si>
  <si>
    <t>José Eduardo</t>
  </si>
  <si>
    <t>Cabañas Herrera</t>
  </si>
  <si>
    <t>Sebastian David</t>
  </si>
  <si>
    <t>Cabildo Romero</t>
  </si>
  <si>
    <t>Gerardo Fabián</t>
  </si>
  <si>
    <t>cabrera diaz</t>
  </si>
  <si>
    <t>jessica ely</t>
  </si>
  <si>
    <t>Cabrera Gómez</t>
  </si>
  <si>
    <t>Andrea Sofía</t>
  </si>
  <si>
    <t>Cabrera Juárez</t>
  </si>
  <si>
    <t>Adrián Omar</t>
  </si>
  <si>
    <t>Cabrera Molina</t>
  </si>
  <si>
    <t>Rodrigo Agustín</t>
  </si>
  <si>
    <t>Cabrera Morales</t>
  </si>
  <si>
    <t>Natan Jezrel</t>
  </si>
  <si>
    <t>Cabrera Prior</t>
  </si>
  <si>
    <t>Melani</t>
  </si>
  <si>
    <t>Cabrera Sánchez</t>
  </si>
  <si>
    <t>Cadena Reyes</t>
  </si>
  <si>
    <t>Regina</t>
  </si>
  <si>
    <t>Calderon Quintero</t>
  </si>
  <si>
    <t>Calderón González</t>
  </si>
  <si>
    <t>Carolina</t>
  </si>
  <si>
    <t>Calderón Lagunes</t>
  </si>
  <si>
    <t>Mabel</t>
  </si>
  <si>
    <t>Calderón Mayo</t>
  </si>
  <si>
    <t>Thelma</t>
  </si>
  <si>
    <t>Calva Lara</t>
  </si>
  <si>
    <t>Ulises</t>
  </si>
  <si>
    <t>Camacho Carballido</t>
  </si>
  <si>
    <t>Camacho Delgado</t>
  </si>
  <si>
    <t>Miguel</t>
  </si>
  <si>
    <t>Camacho Martínez</t>
  </si>
  <si>
    <t>Yesica Vanesa</t>
  </si>
  <si>
    <t>Camacho Ortega</t>
  </si>
  <si>
    <t>Martina</t>
  </si>
  <si>
    <t>Camacho Zamora</t>
  </si>
  <si>
    <t>Arnold Yair</t>
  </si>
  <si>
    <t>Camarena Camacho</t>
  </si>
  <si>
    <t>Diego Alexander</t>
  </si>
  <si>
    <t>Camarillo Almaraz</t>
  </si>
  <si>
    <t>Ivana</t>
  </si>
  <si>
    <t>Campos Goytia</t>
  </si>
  <si>
    <t>Ana Paula</t>
  </si>
  <si>
    <t>Campos Lopez</t>
  </si>
  <si>
    <t>Michelle</t>
  </si>
  <si>
    <t>Campos Mena</t>
  </si>
  <si>
    <t>Campos Mora</t>
  </si>
  <si>
    <t>Katia Michelle</t>
  </si>
  <si>
    <t>Canales Espino</t>
  </si>
  <si>
    <t>Valeria Mitchell</t>
  </si>
  <si>
    <t>Canales Haces Cerviño</t>
  </si>
  <si>
    <t>Aina</t>
  </si>
  <si>
    <t>Canales Lima</t>
  </si>
  <si>
    <t>Brenda Carina</t>
  </si>
  <si>
    <t>Canales Osuna</t>
  </si>
  <si>
    <t>Cano Cámara</t>
  </si>
  <si>
    <t>Aarón Aurelio</t>
  </si>
  <si>
    <t>Cantorán Andreu</t>
  </si>
  <si>
    <t>Carachure Salas</t>
  </si>
  <si>
    <t>Ernestina</t>
  </si>
  <si>
    <t>Carbajal Araujo</t>
  </si>
  <si>
    <t>Carlos Alberto</t>
  </si>
  <si>
    <t>Cardel Rodriguez</t>
  </si>
  <si>
    <t>Eileen</t>
  </si>
  <si>
    <t>Cardigliano</t>
  </si>
  <si>
    <t>Giovanni Francesco</t>
  </si>
  <si>
    <t>Cardoso Sánchez</t>
  </si>
  <si>
    <t>Emanuell</t>
  </si>
  <si>
    <t>Cariño Rivera</t>
  </si>
  <si>
    <t>Carmona Dominguez</t>
  </si>
  <si>
    <t>Luis Demetrio</t>
  </si>
  <si>
    <t>Carmona Ruiz</t>
  </si>
  <si>
    <t>Alma Ximena</t>
  </si>
  <si>
    <t>Caro Ciaca</t>
  </si>
  <si>
    <t>Diana Isabel</t>
  </si>
  <si>
    <t>Caro Reyes</t>
  </si>
  <si>
    <t>Fernanda Itzel</t>
  </si>
  <si>
    <t>Carpinteyro Tzili</t>
  </si>
  <si>
    <t>Abigail</t>
  </si>
  <si>
    <t>Carranza Maldonado</t>
  </si>
  <si>
    <t>Jorge Luis</t>
  </si>
  <si>
    <t>Necesita calificación</t>
  </si>
  <si>
    <t>Carranza Salazar</t>
  </si>
  <si>
    <t>Pablo</t>
  </si>
  <si>
    <t>Carranza Saucedo</t>
  </si>
  <si>
    <t>Ricardo Yailem</t>
  </si>
  <si>
    <t>Carranza Solano</t>
  </si>
  <si>
    <t>Omar Alejandro</t>
  </si>
  <si>
    <t>Carrasco Díaz</t>
  </si>
  <si>
    <t>Carrasco Rojas</t>
  </si>
  <si>
    <t>André</t>
  </si>
  <si>
    <t>Carrasco Ruiz</t>
  </si>
  <si>
    <t>Allan Jahir</t>
  </si>
  <si>
    <t>Carrera Leyva</t>
  </si>
  <si>
    <t>David</t>
  </si>
  <si>
    <t>Carrera Medina</t>
  </si>
  <si>
    <t>Carreto Ramírez</t>
  </si>
  <si>
    <t>Carreño Mendoza</t>
  </si>
  <si>
    <t>Pedro Emiliano</t>
  </si>
  <si>
    <t>Carreño Vázquez</t>
  </si>
  <si>
    <t>Paola Naomi</t>
  </si>
  <si>
    <t>Carreón Del Castillo</t>
  </si>
  <si>
    <t>Julio Alberto</t>
  </si>
  <si>
    <t>Carrillo Delgadillo</t>
  </si>
  <si>
    <t>Jacqueline Ixchel</t>
  </si>
  <si>
    <t>Carrillo Molina</t>
  </si>
  <si>
    <t>Carvajal Cerino</t>
  </si>
  <si>
    <t>Noel Jamil</t>
  </si>
  <si>
    <t>Carvente Gutiérrez</t>
  </si>
  <si>
    <t>Valeria</t>
  </si>
  <si>
    <t>Casados Cuervo</t>
  </si>
  <si>
    <t>Camila</t>
  </si>
  <si>
    <t>Casillas Espinosa</t>
  </si>
  <si>
    <t>Castan Soto</t>
  </si>
  <si>
    <t>Giuliana</t>
  </si>
  <si>
    <t>Castañeda Delgadillo</t>
  </si>
  <si>
    <t>Alan Eduardo</t>
  </si>
  <si>
    <t>Castañeda Estrada</t>
  </si>
  <si>
    <t>Juan Daniel</t>
  </si>
  <si>
    <t>Castañeda Gutiérrez</t>
  </si>
  <si>
    <t>Darío Antonio</t>
  </si>
  <si>
    <t>Castañón Jiménez</t>
  </si>
  <si>
    <t>Ángel Eduardo</t>
  </si>
  <si>
    <t>Castellanos Cruz</t>
  </si>
  <si>
    <t>Mildred De María</t>
  </si>
  <si>
    <t>Castellanos Escobedo</t>
  </si>
  <si>
    <t>César Eduardo</t>
  </si>
  <si>
    <t>Castellanos Moreno</t>
  </si>
  <si>
    <t>Alexa</t>
  </si>
  <si>
    <t>Castelán Sánchez</t>
  </si>
  <si>
    <t>Carlos Uriel</t>
  </si>
  <si>
    <t>Castillo Brito</t>
  </si>
  <si>
    <t>Scarlett</t>
  </si>
  <si>
    <t>Castillo Castillo</t>
  </si>
  <si>
    <t>Yutzil Sarai</t>
  </si>
  <si>
    <t>Castillo Damián</t>
  </si>
  <si>
    <t>Dafne Itzel</t>
  </si>
  <si>
    <t>Castillo Maruri</t>
  </si>
  <si>
    <t>Blanca Esveidy</t>
  </si>
  <si>
    <t>Castillo Morales</t>
  </si>
  <si>
    <t>Citlalin</t>
  </si>
  <si>
    <t>Castillo Netzahual</t>
  </si>
  <si>
    <t>María Jose</t>
  </si>
  <si>
    <t>Castillo Pantoja</t>
  </si>
  <si>
    <t>Rosario</t>
  </si>
  <si>
    <t>Castillo Vazquez</t>
  </si>
  <si>
    <t>Daniel Alejandro</t>
  </si>
  <si>
    <t>Castillo Zavala</t>
  </si>
  <si>
    <t>Alonzo</t>
  </si>
  <si>
    <t>Castrejón Juárez</t>
  </si>
  <si>
    <t>Vicente</t>
  </si>
  <si>
    <t>Castro Delgado</t>
  </si>
  <si>
    <t>Alek Antulio</t>
  </si>
  <si>
    <t>Castro Gómez</t>
  </si>
  <si>
    <t>Bricia Paloma</t>
  </si>
  <si>
    <t>Luis Alan</t>
  </si>
  <si>
    <t>Castro Hernández</t>
  </si>
  <si>
    <t>Maria Miel</t>
  </si>
  <si>
    <t>Castro Kuri</t>
  </si>
  <si>
    <t>Salma</t>
  </si>
  <si>
    <t>Castro Rendón</t>
  </si>
  <si>
    <t>Katya</t>
  </si>
  <si>
    <t>Castro Villanueva</t>
  </si>
  <si>
    <t>Ximena Paola</t>
  </si>
  <si>
    <t>Cayetano Juncadella</t>
  </si>
  <si>
    <t>Cazares Espinosa</t>
  </si>
  <si>
    <t>Fatima Isabel</t>
  </si>
  <si>
    <t>Cazares Mendez</t>
  </si>
  <si>
    <t>José Antonio</t>
  </si>
  <si>
    <t>Cedeño Hernández</t>
  </si>
  <si>
    <t>Minna Miroslava</t>
  </si>
  <si>
    <t>Ceja Macegoza</t>
  </si>
  <si>
    <t>Morelia Ana Cristina</t>
  </si>
  <si>
    <t>Celaya Llano</t>
  </si>
  <si>
    <t>Nainza Metzery</t>
  </si>
  <si>
    <t>Celaya Sánchez</t>
  </si>
  <si>
    <t>David Santiago</t>
  </si>
  <si>
    <t>Cena Mora</t>
  </si>
  <si>
    <t>Cerda Martínez Nieto</t>
  </si>
  <si>
    <t>Cervantes Cifuentes</t>
  </si>
  <si>
    <t>Kalaya</t>
  </si>
  <si>
    <t>Cervantes Iglesias</t>
  </si>
  <si>
    <t>Raúl</t>
  </si>
  <si>
    <t>Cervantes Jiménez</t>
  </si>
  <si>
    <t>Jair</t>
  </si>
  <si>
    <t>Cervantes Saucedo</t>
  </si>
  <si>
    <t>Victoria</t>
  </si>
  <si>
    <t>Cervantes Serna</t>
  </si>
  <si>
    <t>Cerón Maldonado</t>
  </si>
  <si>
    <t>Cerón Valdez</t>
  </si>
  <si>
    <t>Yazmin Mariel</t>
  </si>
  <si>
    <t>Cesar Denicia</t>
  </si>
  <si>
    <t>Cesin Salazar</t>
  </si>
  <si>
    <t>Samuel</t>
  </si>
  <si>
    <t>Chabolla Carrillo</t>
  </si>
  <si>
    <t>Miguel Alejandro</t>
  </si>
  <si>
    <t>Chagoyán Guerra</t>
  </si>
  <si>
    <t>Chanona Bobadilla</t>
  </si>
  <si>
    <t>Luis Roberto</t>
  </si>
  <si>
    <t>Chapa García</t>
  </si>
  <si>
    <t>Axel Giovanni</t>
  </si>
  <si>
    <t>Chavez Ramirez</t>
  </si>
  <si>
    <t>Vladimir Osmar</t>
  </si>
  <si>
    <t>Chavira Adame</t>
  </si>
  <si>
    <t>Jaime</t>
  </si>
  <si>
    <t>Chavolla Zamora</t>
  </si>
  <si>
    <t>María José</t>
  </si>
  <si>
    <t>Chedraui G¢mez</t>
  </si>
  <si>
    <t>Chino Narciso</t>
  </si>
  <si>
    <t>Isaac</t>
  </si>
  <si>
    <t>Chio Homma</t>
  </si>
  <si>
    <t>Manuel Minoru</t>
  </si>
  <si>
    <t>Chulin</t>
  </si>
  <si>
    <t>Guadalupe Araceli</t>
  </si>
  <si>
    <t>Chávez Guzmán</t>
  </si>
  <si>
    <t>Chávez Martínez</t>
  </si>
  <si>
    <t>Kassandra</t>
  </si>
  <si>
    <t>Chávez Rodríguez</t>
  </si>
  <si>
    <t>Chávez Urbina</t>
  </si>
  <si>
    <t>Rubi Alejandra</t>
  </si>
  <si>
    <t>Chávez Velasco</t>
  </si>
  <si>
    <t>Esteban</t>
  </si>
  <si>
    <t>Cibrián Ponce de León</t>
  </si>
  <si>
    <t>Aranzasú</t>
  </si>
  <si>
    <t>Cid Cuevas</t>
  </si>
  <si>
    <t>Carlos Mauricio</t>
  </si>
  <si>
    <t>Cid Flores</t>
  </si>
  <si>
    <t>Josué Samuel</t>
  </si>
  <si>
    <t>Cigarroa Salazar</t>
  </si>
  <si>
    <t>Natalia</t>
  </si>
  <si>
    <t>Cisneros Corro</t>
  </si>
  <si>
    <t>Ughery</t>
  </si>
  <si>
    <t>Cisneros Gaeta</t>
  </si>
  <si>
    <t>Carlos Rodrigo</t>
  </si>
  <si>
    <t>Cisneros Galindo</t>
  </si>
  <si>
    <t>Elias Aarón</t>
  </si>
  <si>
    <t>Clara Romero</t>
  </si>
  <si>
    <t>Iván Manuel</t>
  </si>
  <si>
    <t>Codemo Godoy</t>
  </si>
  <si>
    <t>Miguel Angelo</t>
  </si>
  <si>
    <t>Coeto Coeto</t>
  </si>
  <si>
    <t>Colina Piedra</t>
  </si>
  <si>
    <t>Ian Raúl</t>
  </si>
  <si>
    <t>Colín Díaz</t>
  </si>
  <si>
    <t>Comunidad Guevara</t>
  </si>
  <si>
    <t>Ruth Adabell</t>
  </si>
  <si>
    <t>Con Lorenzo</t>
  </si>
  <si>
    <t>José</t>
  </si>
  <si>
    <t>Conde Gómez</t>
  </si>
  <si>
    <t>Marilyn Lorelei</t>
  </si>
  <si>
    <t>Conde Mazari</t>
  </si>
  <si>
    <t>Condey Becerril</t>
  </si>
  <si>
    <t>Fatima Daniela</t>
  </si>
  <si>
    <t>Contreras Martínez</t>
  </si>
  <si>
    <t>Ana Georgina</t>
  </si>
  <si>
    <t>Contreras Morales</t>
  </si>
  <si>
    <t>Contreras Ruiz</t>
  </si>
  <si>
    <t>Maria Fernanda</t>
  </si>
  <si>
    <t>Contreras Velasco</t>
  </si>
  <si>
    <t>Renata</t>
  </si>
  <si>
    <t>Cornelio Jiménez</t>
  </si>
  <si>
    <t>Emmanuel</t>
  </si>
  <si>
    <t>Corona Badillo</t>
  </si>
  <si>
    <t>Corona Espino</t>
  </si>
  <si>
    <t>Corona Garcia</t>
  </si>
  <si>
    <t>Josse Francisco</t>
  </si>
  <si>
    <t>Corona Momox</t>
  </si>
  <si>
    <t>Luis Ernesto</t>
  </si>
  <si>
    <t>Corona Moreno</t>
  </si>
  <si>
    <t>Yaritza</t>
  </si>
  <si>
    <t>Corona Páez</t>
  </si>
  <si>
    <t>Anapaola</t>
  </si>
  <si>
    <t>Corona Viveros</t>
  </si>
  <si>
    <t>Xavier</t>
  </si>
  <si>
    <t>Coronel Correa</t>
  </si>
  <si>
    <t>Coronel Pérez</t>
  </si>
  <si>
    <t>Jordan Joaquín</t>
  </si>
  <si>
    <t>Corrales Ayala</t>
  </si>
  <si>
    <t>Jorge Alexis</t>
  </si>
  <si>
    <t>Corriente Castellanos</t>
  </si>
  <si>
    <t>Fatima</t>
  </si>
  <si>
    <t>Cortes Martínez</t>
  </si>
  <si>
    <t>Luis Alberto</t>
  </si>
  <si>
    <t>Cortes Placeres</t>
  </si>
  <si>
    <t>Cortés Reyes</t>
  </si>
  <si>
    <t>Luz del Carmen</t>
  </si>
  <si>
    <t>Cortés Salgado</t>
  </si>
  <si>
    <t>Jesús Gerardo</t>
  </si>
  <si>
    <t>Cosetl Perdomo</t>
  </si>
  <si>
    <t>César Anuar</t>
  </si>
  <si>
    <t>Coutiño Delgado</t>
  </si>
  <si>
    <t>Fabrizio</t>
  </si>
  <si>
    <t>Couttolenc González</t>
  </si>
  <si>
    <t>Carlos</t>
  </si>
  <si>
    <t>Cova De La Paz</t>
  </si>
  <si>
    <t>Coyopol Campos</t>
  </si>
  <si>
    <t>Edith</t>
  </si>
  <si>
    <t>Croda Jiménez</t>
  </si>
  <si>
    <t>Yamile</t>
  </si>
  <si>
    <t>Cruz Cabrera</t>
  </si>
  <si>
    <t>Brenda</t>
  </si>
  <si>
    <t>Cruz Fernández</t>
  </si>
  <si>
    <t>Jair Antonio</t>
  </si>
  <si>
    <t>Cruz García</t>
  </si>
  <si>
    <t>Magdalena</t>
  </si>
  <si>
    <t>Cruz Gonzalez</t>
  </si>
  <si>
    <t>Alex Elias</t>
  </si>
  <si>
    <t>Cruz Hernández</t>
  </si>
  <si>
    <t>Cruz Illezcas</t>
  </si>
  <si>
    <t>Gaspar</t>
  </si>
  <si>
    <t>Cruz Legaria</t>
  </si>
  <si>
    <t>Axel Eduardo</t>
  </si>
  <si>
    <t>Cruz Morales</t>
  </si>
  <si>
    <t>Dulce Anahí</t>
  </si>
  <si>
    <t>Cruz Márquez</t>
  </si>
  <si>
    <t>Cruz Méndez</t>
  </si>
  <si>
    <t>Monserrat Rosario</t>
  </si>
  <si>
    <t>Cruz Noyola</t>
  </si>
  <si>
    <t>Cruz Soriano</t>
  </si>
  <si>
    <t>Ilse Yamileth</t>
  </si>
  <si>
    <t>Cruz Sánchez</t>
  </si>
  <si>
    <t>Estefanía Marie</t>
  </si>
  <si>
    <t>Cruz Tejeda</t>
  </si>
  <si>
    <t>Carlos Roberto</t>
  </si>
  <si>
    <t>Cruz Valdez</t>
  </si>
  <si>
    <t>Liza Regina</t>
  </si>
  <si>
    <t>Cruz Verazas</t>
  </si>
  <si>
    <t>Jesus Javier</t>
  </si>
  <si>
    <t>Cruz Villalobos</t>
  </si>
  <si>
    <t>Ana Laura</t>
  </si>
  <si>
    <t>Cuacuas Minto</t>
  </si>
  <si>
    <t>Marisela</t>
  </si>
  <si>
    <t>Cuadros Villarreal</t>
  </si>
  <si>
    <t>Cuatlayo Meza</t>
  </si>
  <si>
    <t>Elisa</t>
  </si>
  <si>
    <t>Cuautle García</t>
  </si>
  <si>
    <t>Suniday</t>
  </si>
  <si>
    <t>Cuautle López</t>
  </si>
  <si>
    <t>Sarai</t>
  </si>
  <si>
    <t>Cuaya Elias</t>
  </si>
  <si>
    <t>Marco Antonio</t>
  </si>
  <si>
    <t>Cuellar Morales</t>
  </si>
  <si>
    <t>Cuellar Quiñones</t>
  </si>
  <si>
    <t>Ana Luz</t>
  </si>
  <si>
    <t>Cuenca Cuautencos</t>
  </si>
  <si>
    <t>Candy</t>
  </si>
  <si>
    <t>Cuervo Guzmán</t>
  </si>
  <si>
    <t>Cuervo Ledesma</t>
  </si>
  <si>
    <t>Cuevas Gutiérrez</t>
  </si>
  <si>
    <t>Cuevas Robledo</t>
  </si>
  <si>
    <t>Luis Angel</t>
  </si>
  <si>
    <t>Culebro Reyes</t>
  </si>
  <si>
    <t>Cupido Preisser</t>
  </si>
  <si>
    <t>Yerushalayim Bat Bereshit</t>
  </si>
  <si>
    <t>Cuéllar Urdiales</t>
  </si>
  <si>
    <t>Cárdenas Cruz</t>
  </si>
  <si>
    <t>Alan</t>
  </si>
  <si>
    <t>Cárdenas De Los Santos</t>
  </si>
  <si>
    <t>Julia Mariana</t>
  </si>
  <si>
    <t>Cárdenas García</t>
  </si>
  <si>
    <t>Ana Victoria</t>
  </si>
  <si>
    <t>Cárdenas Sánchez</t>
  </si>
  <si>
    <t>Ricardo</t>
  </si>
  <si>
    <t>Cázares Castillo</t>
  </si>
  <si>
    <t>Anabel</t>
  </si>
  <si>
    <t>César Cerón</t>
  </si>
  <si>
    <t>Marco Antonio Gogi</t>
  </si>
  <si>
    <t>César Osorio</t>
  </si>
  <si>
    <t>José Carlos</t>
  </si>
  <si>
    <t>Córdova Buenfil</t>
  </si>
  <si>
    <t>Córdova González</t>
  </si>
  <si>
    <t>Aldo</t>
  </si>
  <si>
    <t>Córdova Lobato</t>
  </si>
  <si>
    <t>Eduardo Emiliano</t>
  </si>
  <si>
    <t>Daniel Urbano</t>
  </si>
  <si>
    <t>Aura Vanessa</t>
  </si>
  <si>
    <t>Dantant Garduño</t>
  </si>
  <si>
    <t>David_PreviewUser</t>
  </si>
  <si>
    <t>Limón Cantú</t>
  </si>
  <si>
    <t>164795_previewuser</t>
  </si>
  <si>
    <t>De Anda Clark</t>
  </si>
  <si>
    <t>De Bernardo Mendoza</t>
  </si>
  <si>
    <t>Rocio</t>
  </si>
  <si>
    <t>De Dios Ventosa</t>
  </si>
  <si>
    <t>De Ibarrola Ojeda</t>
  </si>
  <si>
    <t>de Jesús Ramírez</t>
  </si>
  <si>
    <t>De la Cruz Islas</t>
  </si>
  <si>
    <t>De La Garza Soriano</t>
  </si>
  <si>
    <t>De la Hoz Montiel</t>
  </si>
  <si>
    <t>Diana Aileen</t>
  </si>
  <si>
    <t>De la Mora López</t>
  </si>
  <si>
    <t>Natalia Sofía</t>
  </si>
  <si>
    <t>de la Peña Gallegos</t>
  </si>
  <si>
    <t>Ana Silvia</t>
  </si>
  <si>
    <t>De La Portilla Sánchez</t>
  </si>
  <si>
    <t>De La Rosa Aguilar</t>
  </si>
  <si>
    <t>De la Vega Delgado</t>
  </si>
  <si>
    <t>Ana Sofia</t>
  </si>
  <si>
    <t>De Lorenzo Hernández</t>
  </si>
  <si>
    <t>De Los Santos Carvajal</t>
  </si>
  <si>
    <t>Fabiola</t>
  </si>
  <si>
    <t>De Los Santos García</t>
  </si>
  <si>
    <t>Melissa</t>
  </si>
  <si>
    <t>De los Santos Muñoz</t>
  </si>
  <si>
    <t>Juan</t>
  </si>
  <si>
    <t>De Luciano Santiago</t>
  </si>
  <si>
    <t>Michelle Aracely</t>
  </si>
  <si>
    <t>De Santos Frutos</t>
  </si>
  <si>
    <t>Valeria Adriana</t>
  </si>
  <si>
    <t>De Uriarte Quiroz</t>
  </si>
  <si>
    <t>Degales Sánchez</t>
  </si>
  <si>
    <t>Del Moral Ortíz</t>
  </si>
  <si>
    <t>Karla Daniela</t>
  </si>
  <si>
    <t>Del Razo Bermúdez</t>
  </si>
  <si>
    <t>Jhoana Elizabeth</t>
  </si>
  <si>
    <t>Del Río Benítez Landa</t>
  </si>
  <si>
    <t>Del Río Ortiz</t>
  </si>
  <si>
    <t>Rubén Ricardo</t>
  </si>
  <si>
    <t>Delgado Chairez</t>
  </si>
  <si>
    <t>Jenifer</t>
  </si>
  <si>
    <t>Delgado Lagunes</t>
  </si>
  <si>
    <t>Delon Paez</t>
  </si>
  <si>
    <t>Sebastian</t>
  </si>
  <si>
    <t>Deloya Morales</t>
  </si>
  <si>
    <t>Regina Guadalupe</t>
  </si>
  <si>
    <t>Denis Moreno</t>
  </si>
  <si>
    <t>Nelson Antonio</t>
  </si>
  <si>
    <t>Diaz Aguilar</t>
  </si>
  <si>
    <t>Yamileth</t>
  </si>
  <si>
    <t>Diaz Guillen</t>
  </si>
  <si>
    <t>Alan Paul</t>
  </si>
  <si>
    <t>Diaz Segovia</t>
  </si>
  <si>
    <t>Diego Soberanis</t>
  </si>
  <si>
    <t>Saydi Daneth</t>
  </si>
  <si>
    <t>Diez Robledo</t>
  </si>
  <si>
    <t>Doger Villegas</t>
  </si>
  <si>
    <t>Sofia</t>
  </si>
  <si>
    <t>Dominguez Diaz</t>
  </si>
  <si>
    <t>Rebeca</t>
  </si>
  <si>
    <t>Domínguez Cabello</t>
  </si>
  <si>
    <t>Nydia Aily</t>
  </si>
  <si>
    <t>Domínguez García</t>
  </si>
  <si>
    <t>Rosalba Atenea</t>
  </si>
  <si>
    <t>Domínguez González</t>
  </si>
  <si>
    <t>Alán Gabriel</t>
  </si>
  <si>
    <t>Domínguez Guevara</t>
  </si>
  <si>
    <t>Domínguez León</t>
  </si>
  <si>
    <t>Claudia Yareth</t>
  </si>
  <si>
    <t>Domínguez Robles</t>
  </si>
  <si>
    <t>Dariana</t>
  </si>
  <si>
    <t>Domínguez Vargas</t>
  </si>
  <si>
    <t>Dorado Gómez</t>
  </si>
  <si>
    <t>Lisette</t>
  </si>
  <si>
    <t>Duez Albrecht</t>
  </si>
  <si>
    <t>Astrid</t>
  </si>
  <si>
    <t>Durante Crivelli</t>
  </si>
  <si>
    <t>Alessandra</t>
  </si>
  <si>
    <t>Durán Meza</t>
  </si>
  <si>
    <t>Durán Rodríguez</t>
  </si>
  <si>
    <t>Alejandra Paola</t>
  </si>
  <si>
    <t>Dávalos Morales</t>
  </si>
  <si>
    <t>Frida Michelle</t>
  </si>
  <si>
    <t>Díaz Batista</t>
  </si>
  <si>
    <t>Juan Gerardo</t>
  </si>
  <si>
    <t>Díaz Calvario</t>
  </si>
  <si>
    <t>Díaz de León Bonilla</t>
  </si>
  <si>
    <t>Díaz Fonseca</t>
  </si>
  <si>
    <t>Alberto Alejandro</t>
  </si>
  <si>
    <t>Díaz Lozada</t>
  </si>
  <si>
    <t>Diana</t>
  </si>
  <si>
    <t>Díaz Morales</t>
  </si>
  <si>
    <t>Díaz Moreno</t>
  </si>
  <si>
    <t>Díaz Méndez</t>
  </si>
  <si>
    <t>Díaz Pizano</t>
  </si>
  <si>
    <t>Gustavo Junior</t>
  </si>
  <si>
    <t>Díaz Rodríguez</t>
  </si>
  <si>
    <t>Rodrigo</t>
  </si>
  <si>
    <t>Díaz Santiago</t>
  </si>
  <si>
    <t>Grisell Estefanía</t>
  </si>
  <si>
    <t>Díaz Sáyago</t>
  </si>
  <si>
    <t>Hilda</t>
  </si>
  <si>
    <t>Díaz Tejeda</t>
  </si>
  <si>
    <t>Ignacio</t>
  </si>
  <si>
    <t>Díaz Ávila</t>
  </si>
  <si>
    <t>Echeagaray Rodríguez</t>
  </si>
  <si>
    <t>Iñigo</t>
  </si>
  <si>
    <t>Echeguren Rojas</t>
  </si>
  <si>
    <t>Echeverría Barrios</t>
  </si>
  <si>
    <t>Paola Astrid</t>
  </si>
  <si>
    <t>Ehlinger Carriles</t>
  </si>
  <si>
    <t>Emiliano</t>
  </si>
  <si>
    <t>Eliosa Sánchez</t>
  </si>
  <si>
    <t>Enciso Juarez</t>
  </si>
  <si>
    <t>Amelie</t>
  </si>
  <si>
    <t>Encorrada Limón</t>
  </si>
  <si>
    <t>Montserrat</t>
  </si>
  <si>
    <t>Escalante Torres</t>
  </si>
  <si>
    <t>Alhelí</t>
  </si>
  <si>
    <t>Escalera Zambrano</t>
  </si>
  <si>
    <t>Santiago Nicanor</t>
  </si>
  <si>
    <t>Escamilla Anaya</t>
  </si>
  <si>
    <t>Cristorey Cesar</t>
  </si>
  <si>
    <t>Escamilla Olvera</t>
  </si>
  <si>
    <t>Karime Alessandra</t>
  </si>
  <si>
    <t>Escamilla Wingartz</t>
  </si>
  <si>
    <t>Escobar Tovilla</t>
  </si>
  <si>
    <t>Escobedo Castañeda</t>
  </si>
  <si>
    <t>Alonso Javier</t>
  </si>
  <si>
    <t>Escobedo Hurtado</t>
  </si>
  <si>
    <t>Escudero Alfaro</t>
  </si>
  <si>
    <t>Karina Eunisse</t>
  </si>
  <si>
    <t>Escudero Gómez</t>
  </si>
  <si>
    <t>José Francisco</t>
  </si>
  <si>
    <t>Esparragoza Toral</t>
  </si>
  <si>
    <t>Frida</t>
  </si>
  <si>
    <t>España Rivera</t>
  </si>
  <si>
    <t>Espejel Guevara</t>
  </si>
  <si>
    <t>Espejo Marin</t>
  </si>
  <si>
    <t>Esper Abud</t>
  </si>
  <si>
    <t>Antoine</t>
  </si>
  <si>
    <t>Espindola Medina</t>
  </si>
  <si>
    <t>Diego Alfonso</t>
  </si>
  <si>
    <t>Espinosa Barrientos</t>
  </si>
  <si>
    <t>Espinosa Gallardo</t>
  </si>
  <si>
    <t>Karen América</t>
  </si>
  <si>
    <t>Espinosa Munguía</t>
  </si>
  <si>
    <t>Espinosa Osorio</t>
  </si>
  <si>
    <t>Ana</t>
  </si>
  <si>
    <t>Espinoza Acevedo</t>
  </si>
  <si>
    <t>Espinoza Barrios</t>
  </si>
  <si>
    <t>Circe</t>
  </si>
  <si>
    <t>Espinoza Gallegos</t>
  </si>
  <si>
    <t>Roberto Carlos</t>
  </si>
  <si>
    <t>ESPINOZA GONZÁLEZ</t>
  </si>
  <si>
    <t>GUILLERMO JAIR</t>
  </si>
  <si>
    <t>Esquinca Castillo</t>
  </si>
  <si>
    <t>Melani Aide</t>
  </si>
  <si>
    <t>Esquivel Castro</t>
  </si>
  <si>
    <t>Yanni</t>
  </si>
  <si>
    <t>Esquivel Torres</t>
  </si>
  <si>
    <t>Sandra Liliana</t>
  </si>
  <si>
    <t>Esteban Zapata</t>
  </si>
  <si>
    <t>Anuar</t>
  </si>
  <si>
    <t>Estrada Chiñas</t>
  </si>
  <si>
    <t>Conrado de Jesús</t>
  </si>
  <si>
    <t>Estrada Espinoza de los Monteros</t>
  </si>
  <si>
    <t>Brenda América</t>
  </si>
  <si>
    <t>Estrada García</t>
  </si>
  <si>
    <t>Nayelli</t>
  </si>
  <si>
    <t>Estrada Gonzalez</t>
  </si>
  <si>
    <t>Estrada Gutiérrez</t>
  </si>
  <si>
    <t>Diego Alejandro</t>
  </si>
  <si>
    <t>Estrada Lira</t>
  </si>
  <si>
    <t>José Manuel</t>
  </si>
  <si>
    <t>Estrada Rodríguez</t>
  </si>
  <si>
    <t>Danahé del Carmen</t>
  </si>
  <si>
    <t>Fabela Rivas</t>
  </si>
  <si>
    <t>Diego Alan</t>
  </si>
  <si>
    <t>Falcon Montes</t>
  </si>
  <si>
    <t>Sofia Mariana</t>
  </si>
  <si>
    <t>Falcón Pérez</t>
  </si>
  <si>
    <t>Farfán Robles</t>
  </si>
  <si>
    <t>Fasquelle Ayala</t>
  </si>
  <si>
    <t>Matteo</t>
  </si>
  <si>
    <t>Fernandez de Castro Castro</t>
  </si>
  <si>
    <t>Ana Sofía</t>
  </si>
  <si>
    <t>Fernandez Fica</t>
  </si>
  <si>
    <t>Fernández Amescua</t>
  </si>
  <si>
    <t>Fernández Elorriaga</t>
  </si>
  <si>
    <t>Darío</t>
  </si>
  <si>
    <t>Fernández Fragoso</t>
  </si>
  <si>
    <t>Luis Leobardo</t>
  </si>
  <si>
    <t>Fernández García</t>
  </si>
  <si>
    <t>Fernando Daniel</t>
  </si>
  <si>
    <t>Fernández Hernández</t>
  </si>
  <si>
    <t>Itzel</t>
  </si>
  <si>
    <t>fernández jiménez</t>
  </si>
  <si>
    <t>maribel</t>
  </si>
  <si>
    <t>Fernández Jorge</t>
  </si>
  <si>
    <t>Ivan</t>
  </si>
  <si>
    <t>Fernández Lafuente Rodríguez</t>
  </si>
  <si>
    <t>Fernández Prieto</t>
  </si>
  <si>
    <t>Amairany</t>
  </si>
  <si>
    <t>Fernández Rivadeneyra</t>
  </si>
  <si>
    <t>Pablo Andrés</t>
  </si>
  <si>
    <t>Fernández Salgado</t>
  </si>
  <si>
    <t>Ferrari Sánchez</t>
  </si>
  <si>
    <t>Paolo</t>
  </si>
  <si>
    <t>Ferreira Lievano</t>
  </si>
  <si>
    <t>Carlos Antonio</t>
  </si>
  <si>
    <t>Ferrer Quirós</t>
  </si>
  <si>
    <t>Luis Enrique</t>
  </si>
  <si>
    <t>Fierro Palomino</t>
  </si>
  <si>
    <t>Figueroa Ribón</t>
  </si>
  <si>
    <t>Figueroa Villar</t>
  </si>
  <si>
    <t>Martín</t>
  </si>
  <si>
    <t>Flores Bautista</t>
  </si>
  <si>
    <t>Jazmín</t>
  </si>
  <si>
    <t>Luisa</t>
  </si>
  <si>
    <t>Flores Caballero</t>
  </si>
  <si>
    <t>Rubén</t>
  </si>
  <si>
    <t>Flores Cacho</t>
  </si>
  <si>
    <t>Eduardo Enrique</t>
  </si>
  <si>
    <t>Flores Campos</t>
  </si>
  <si>
    <t>José Julio</t>
  </si>
  <si>
    <t>Flores Cortez</t>
  </si>
  <si>
    <t>Flores Cortés</t>
  </si>
  <si>
    <t>Sandra</t>
  </si>
  <si>
    <t>Flores García</t>
  </si>
  <si>
    <t>Flores González</t>
  </si>
  <si>
    <t>Mónica</t>
  </si>
  <si>
    <t>Flores Jáimez</t>
  </si>
  <si>
    <t>Ernesto Eduardo</t>
  </si>
  <si>
    <t>Flores Mejía</t>
  </si>
  <si>
    <t>Sofía Daniela</t>
  </si>
  <si>
    <t>Flores Mendoza</t>
  </si>
  <si>
    <t>Flores Nachon</t>
  </si>
  <si>
    <t>María Inés</t>
  </si>
  <si>
    <t>Flores Netzahualcoyot</t>
  </si>
  <si>
    <t>Erick</t>
  </si>
  <si>
    <t>Flores Ochoa</t>
  </si>
  <si>
    <t>William</t>
  </si>
  <si>
    <t>Flores Paez</t>
  </si>
  <si>
    <t>Pablo Eduardo</t>
  </si>
  <si>
    <t>Flores Peralta</t>
  </si>
  <si>
    <t>Carolina Monserrat</t>
  </si>
  <si>
    <t>Flores Páez</t>
  </si>
  <si>
    <t>Lucía Yissel</t>
  </si>
  <si>
    <t>Flores Robles</t>
  </si>
  <si>
    <t>Flores Samperio</t>
  </si>
  <si>
    <t>Iván Zared</t>
  </si>
  <si>
    <t>Flores Vera</t>
  </si>
  <si>
    <t>Fong López</t>
  </si>
  <si>
    <t>Martha Eugenia</t>
  </si>
  <si>
    <t>Fonseca Sosa</t>
  </si>
  <si>
    <t>Dania Alondra</t>
  </si>
  <si>
    <t>Forcelledo Trujillo</t>
  </si>
  <si>
    <t>Franco Cisneros</t>
  </si>
  <si>
    <t>Leslie Yuriria</t>
  </si>
  <si>
    <t>Franco González</t>
  </si>
  <si>
    <t>Noé</t>
  </si>
  <si>
    <t>Franco Muñoz</t>
  </si>
  <si>
    <t>Adolfo</t>
  </si>
  <si>
    <t>Franz Cortés</t>
  </si>
  <si>
    <t>Freitas González</t>
  </si>
  <si>
    <t>Manuela Del Carmen</t>
  </si>
  <si>
    <t>Freyre Roberts</t>
  </si>
  <si>
    <t>Nicolle</t>
  </si>
  <si>
    <t>Frierdich Ornelas</t>
  </si>
  <si>
    <t>Luke Van</t>
  </si>
  <si>
    <t>Fuentes Benítez</t>
  </si>
  <si>
    <t>Grecia Andrea</t>
  </si>
  <si>
    <t>Fuentes Cruz</t>
  </si>
  <si>
    <t>Fuentes Munguía</t>
  </si>
  <si>
    <t>Fuentevilla Rivera</t>
  </si>
  <si>
    <t>Funes Garcia</t>
  </si>
  <si>
    <t>Martha Graciela</t>
  </si>
  <si>
    <t>Gadea Martínez</t>
  </si>
  <si>
    <t>Lauro Eduardo</t>
  </si>
  <si>
    <t>Galeana Ramírez</t>
  </si>
  <si>
    <t>José Maria</t>
  </si>
  <si>
    <t>Gali Romero</t>
  </si>
  <si>
    <t>Nicolás</t>
  </si>
  <si>
    <t>Galicia Martini</t>
  </si>
  <si>
    <t>Rivka</t>
  </si>
  <si>
    <t>Galindo García</t>
  </si>
  <si>
    <t>Oscar Antonio</t>
  </si>
  <si>
    <t>Galindo Lazo</t>
  </si>
  <si>
    <t>Galindo López</t>
  </si>
  <si>
    <t>Rafael Sebastián</t>
  </si>
  <si>
    <t>Galindo Précoma</t>
  </si>
  <si>
    <t>Gallardo Contreras</t>
  </si>
  <si>
    <t>Lisset</t>
  </si>
  <si>
    <t>Gallardo García</t>
  </si>
  <si>
    <t>Sharon Juliette</t>
  </si>
  <si>
    <t>Gallegos García</t>
  </si>
  <si>
    <t>Ramón Carlos</t>
  </si>
  <si>
    <t>Gallegos Mendoza</t>
  </si>
  <si>
    <t>Estefanía</t>
  </si>
  <si>
    <t>Gallegos Valenzuela</t>
  </si>
  <si>
    <t>María Luisa</t>
  </si>
  <si>
    <t>Gama Cruz</t>
  </si>
  <si>
    <t>Brenda Natalia</t>
  </si>
  <si>
    <t>Gandarillas Sánchez</t>
  </si>
  <si>
    <t>Fernando Edmundo</t>
  </si>
  <si>
    <t>Garcia Aceves</t>
  </si>
  <si>
    <t>Silvana Sofía</t>
  </si>
  <si>
    <t>Garcia Ballesteros</t>
  </si>
  <si>
    <t>Andrea Fernanda</t>
  </si>
  <si>
    <t>Garcia Beltran</t>
  </si>
  <si>
    <t>Tania</t>
  </si>
  <si>
    <t>Garcia Carsolio</t>
  </si>
  <si>
    <t>Victor Manuel</t>
  </si>
  <si>
    <t>Garcia De la Rosa</t>
  </si>
  <si>
    <t>Garcia Ducret</t>
  </si>
  <si>
    <t>Brenda Anabel</t>
  </si>
  <si>
    <t>Garcia Espejel</t>
  </si>
  <si>
    <t>Dayanira</t>
  </si>
  <si>
    <t>Garcia Garcia</t>
  </si>
  <si>
    <t>Dulce Maria</t>
  </si>
  <si>
    <t>Garcia Gaspar</t>
  </si>
  <si>
    <t>Marbella Yoalitzy</t>
  </si>
  <si>
    <t>Garcia Gutierrez</t>
  </si>
  <si>
    <t>Leonel</t>
  </si>
  <si>
    <t>Garcia Jimenez</t>
  </si>
  <si>
    <t>Garcia Puga</t>
  </si>
  <si>
    <t>Mariana Patricia</t>
  </si>
  <si>
    <t>Garcia Rueda</t>
  </si>
  <si>
    <t>Garcia Sanchez</t>
  </si>
  <si>
    <t>Alberto</t>
  </si>
  <si>
    <t>Garcia Velazquez</t>
  </si>
  <si>
    <t>García Acosta</t>
  </si>
  <si>
    <t>Azul Arileth</t>
  </si>
  <si>
    <t>García Anaya</t>
  </si>
  <si>
    <t>Marianna</t>
  </si>
  <si>
    <t>García Ayala</t>
  </si>
  <si>
    <t>García Beltrán</t>
  </si>
  <si>
    <t>Germán</t>
  </si>
  <si>
    <t>García Bermeo</t>
  </si>
  <si>
    <t>Carlos Emiliano</t>
  </si>
  <si>
    <t>García Bermúdez</t>
  </si>
  <si>
    <t>Andrea Lizeth</t>
  </si>
  <si>
    <t>García Bustos</t>
  </si>
  <si>
    <t>Laura Daniela</t>
  </si>
  <si>
    <t>García Cano</t>
  </si>
  <si>
    <t>García Chávez</t>
  </si>
  <si>
    <t>David Noel</t>
  </si>
  <si>
    <t>García Corona</t>
  </si>
  <si>
    <t>Jesús Manuel</t>
  </si>
  <si>
    <t>García De La Cruz</t>
  </si>
  <si>
    <t>García Domínguez</t>
  </si>
  <si>
    <t>Rafael</t>
  </si>
  <si>
    <t>García Díaz</t>
  </si>
  <si>
    <t>César Andrés</t>
  </si>
  <si>
    <t>García Díaz de Rivera</t>
  </si>
  <si>
    <t>García Flores</t>
  </si>
  <si>
    <t>Karime Lisset</t>
  </si>
  <si>
    <t>García Fortoul</t>
  </si>
  <si>
    <t>García García</t>
  </si>
  <si>
    <t>Estela Fátima</t>
  </si>
  <si>
    <t>Luis Mario</t>
  </si>
  <si>
    <t>García Gómez</t>
  </si>
  <si>
    <t>Luis Arturo</t>
  </si>
  <si>
    <t>García Hernández</t>
  </si>
  <si>
    <t>Diana Leilani</t>
  </si>
  <si>
    <t>García Hipólito</t>
  </si>
  <si>
    <t>Jesús David</t>
  </si>
  <si>
    <t>García Jiménez</t>
  </si>
  <si>
    <t>Francisco Emiliano</t>
  </si>
  <si>
    <t>García Licona</t>
  </si>
  <si>
    <t>García Llaguno Pérez</t>
  </si>
  <si>
    <t>Eduardo</t>
  </si>
  <si>
    <t>García López</t>
  </si>
  <si>
    <t>Jennifer</t>
  </si>
  <si>
    <t>García Martínez</t>
  </si>
  <si>
    <t>Carlos Eduardo</t>
  </si>
  <si>
    <t>Emilio José</t>
  </si>
  <si>
    <t>Oscar</t>
  </si>
  <si>
    <t>Venur Maritzabel</t>
  </si>
  <si>
    <t>García Medina</t>
  </si>
  <si>
    <t>Lizbeth</t>
  </si>
  <si>
    <t>García Mena</t>
  </si>
  <si>
    <t>Ramón Alberto</t>
  </si>
  <si>
    <t>García Mendoza</t>
  </si>
  <si>
    <t>García Montiel</t>
  </si>
  <si>
    <t>María Esther</t>
  </si>
  <si>
    <t>García Morales</t>
  </si>
  <si>
    <t>Julieta Susana</t>
  </si>
  <si>
    <t>García Ochoa</t>
  </si>
  <si>
    <t>Daniella</t>
  </si>
  <si>
    <t>García Olascoaga</t>
  </si>
  <si>
    <t>García Ortiz</t>
  </si>
  <si>
    <t>Juan Carlos</t>
  </si>
  <si>
    <t>García Paredes</t>
  </si>
  <si>
    <t>Jonathan</t>
  </si>
  <si>
    <t>García Pérez</t>
  </si>
  <si>
    <t>Diego Arnulfo</t>
  </si>
  <si>
    <t>García Ramos</t>
  </si>
  <si>
    <t>Dinhora Daniela</t>
  </si>
  <si>
    <t>Saúl</t>
  </si>
  <si>
    <t>García Ramírez</t>
  </si>
  <si>
    <t>Mario Raúl</t>
  </si>
  <si>
    <t>García Rodríguez</t>
  </si>
  <si>
    <t>Monsserrat</t>
  </si>
  <si>
    <t>García Romero</t>
  </si>
  <si>
    <t>Andrés Gibrán</t>
  </si>
  <si>
    <t>García Sainos</t>
  </si>
  <si>
    <t>José Esau</t>
  </si>
  <si>
    <t>García Salazar</t>
  </si>
  <si>
    <t>Eduardo Michel</t>
  </si>
  <si>
    <t>Jorge Rodrigo</t>
  </si>
  <si>
    <t>García Salcedo</t>
  </si>
  <si>
    <t>Renán Francisco</t>
  </si>
  <si>
    <t>García Salgado</t>
  </si>
  <si>
    <t>Joshua Amir</t>
  </si>
  <si>
    <t>García Strempler</t>
  </si>
  <si>
    <t>Abril Vianey</t>
  </si>
  <si>
    <t>García Tinajero</t>
  </si>
  <si>
    <t>Zaira</t>
  </si>
  <si>
    <t>García Téllez</t>
  </si>
  <si>
    <t>Reyna Andrea</t>
  </si>
  <si>
    <t>García Urrutia</t>
  </si>
  <si>
    <t>Allison Abril</t>
  </si>
  <si>
    <t>García Vega</t>
  </si>
  <si>
    <t>Adrian</t>
  </si>
  <si>
    <t>García Ventosa</t>
  </si>
  <si>
    <t>Emilio Fernando</t>
  </si>
  <si>
    <t>García von Westarp</t>
  </si>
  <si>
    <t>García Y García</t>
  </si>
  <si>
    <t>García Zambrano</t>
  </si>
  <si>
    <t>José Mauricio</t>
  </si>
  <si>
    <t>García Zapata</t>
  </si>
  <si>
    <t>Susy Aimé</t>
  </si>
  <si>
    <t>García Zazueta</t>
  </si>
  <si>
    <t>Garmendia Zepeda</t>
  </si>
  <si>
    <t>Jos Antonio</t>
  </si>
  <si>
    <t>Garralda Fernández</t>
  </si>
  <si>
    <t>Macarena</t>
  </si>
  <si>
    <t>Garrido González</t>
  </si>
  <si>
    <t>Erika Amairany</t>
  </si>
  <si>
    <t>Garrido Hernández</t>
  </si>
  <si>
    <t>Aranza Mayeli</t>
  </si>
  <si>
    <t>Garrido Ocaña</t>
  </si>
  <si>
    <t>Angie</t>
  </si>
  <si>
    <t>Garza Alba</t>
  </si>
  <si>
    <t>Garza Hidalgo</t>
  </si>
  <si>
    <t>Jose Andres</t>
  </si>
  <si>
    <t>Garza Laguna</t>
  </si>
  <si>
    <t>Diego Miguel</t>
  </si>
  <si>
    <t>Garza Leony</t>
  </si>
  <si>
    <t>Ursula Cecilia</t>
  </si>
  <si>
    <t>Garza Perez</t>
  </si>
  <si>
    <t>Ana Luisa</t>
  </si>
  <si>
    <t>Garza Rojo</t>
  </si>
  <si>
    <t>Garzón Borja</t>
  </si>
  <si>
    <t>Gaxiola Castro</t>
  </si>
  <si>
    <t>Gener Alarcón</t>
  </si>
  <si>
    <t>German Amador</t>
  </si>
  <si>
    <t>Cinthia</t>
  </si>
  <si>
    <t>Gervacio Hernández</t>
  </si>
  <si>
    <t>Daniela</t>
  </si>
  <si>
    <t>Gijon Garcia</t>
  </si>
  <si>
    <t>Angel Adair</t>
  </si>
  <si>
    <t>Gil Leyva</t>
  </si>
  <si>
    <t>Emilio Rosendo</t>
  </si>
  <si>
    <t>Gil Olmos</t>
  </si>
  <si>
    <t>Kevin Manuel</t>
  </si>
  <si>
    <t>Gil Peralta</t>
  </si>
  <si>
    <t>Gil Reyes</t>
  </si>
  <si>
    <t>Harold Fernando</t>
  </si>
  <si>
    <t>Giorgi de la Sierra</t>
  </si>
  <si>
    <t>Paulo</t>
  </si>
  <si>
    <t>Giron Montalvo</t>
  </si>
  <si>
    <t>Adalberto</t>
  </si>
  <si>
    <t>Gomez Salas</t>
  </si>
  <si>
    <t>GOMEZ VAZQUEZ</t>
  </si>
  <si>
    <t>LUIS FERNANDO</t>
  </si>
  <si>
    <t>Gonzalez Collar</t>
  </si>
  <si>
    <t>Zurisadai</t>
  </si>
  <si>
    <t>Gonzalez Ehlinger</t>
  </si>
  <si>
    <t>Gonzalez Fonseca</t>
  </si>
  <si>
    <t>Gonzalez Guzman</t>
  </si>
  <si>
    <t>Gonzalez Ojeda</t>
  </si>
  <si>
    <t>Gonzalez Quintero</t>
  </si>
  <si>
    <t>Jesus Fernando</t>
  </si>
  <si>
    <t>Gonzalez Uriostegui</t>
  </si>
  <si>
    <t>González Alvarez</t>
  </si>
  <si>
    <t>González Angeles</t>
  </si>
  <si>
    <t>Maria del Cielo</t>
  </si>
  <si>
    <t>González Apango</t>
  </si>
  <si>
    <t>González Avila</t>
  </si>
  <si>
    <t>Yunuen Ainara</t>
  </si>
  <si>
    <t>González Barrientos</t>
  </si>
  <si>
    <t>González Cano</t>
  </si>
  <si>
    <t>González Cerviño</t>
  </si>
  <si>
    <t>González Colín</t>
  </si>
  <si>
    <t>González Corona</t>
  </si>
  <si>
    <t>Magda Paulina</t>
  </si>
  <si>
    <t>González Cruz</t>
  </si>
  <si>
    <t>Yaritzi Del Carmen</t>
  </si>
  <si>
    <t>González Córdova</t>
  </si>
  <si>
    <t>González De Oca</t>
  </si>
  <si>
    <t>Cesar Arturo</t>
  </si>
  <si>
    <t>González Dorantes</t>
  </si>
  <si>
    <t>González Díaz</t>
  </si>
  <si>
    <t>González Escamilla</t>
  </si>
  <si>
    <t>González Galicia</t>
  </si>
  <si>
    <t>González Galván</t>
  </si>
  <si>
    <t>González García</t>
  </si>
  <si>
    <t>Bárbara Nicole</t>
  </si>
  <si>
    <t>Nohemi</t>
  </si>
  <si>
    <t>González González</t>
  </si>
  <si>
    <t>Victoria Abril</t>
  </si>
  <si>
    <t>González Hernández</t>
  </si>
  <si>
    <t>José Arturo</t>
  </si>
  <si>
    <t>González Lavalle</t>
  </si>
  <si>
    <t>González Lobato</t>
  </si>
  <si>
    <t>González López</t>
  </si>
  <si>
    <t>González Magaña</t>
  </si>
  <si>
    <t>González Morales</t>
  </si>
  <si>
    <t>Erika Ireri</t>
  </si>
  <si>
    <t>González Morgado</t>
  </si>
  <si>
    <t>González Niño</t>
  </si>
  <si>
    <t>González Ortíz</t>
  </si>
  <si>
    <t>González Pérez</t>
  </si>
  <si>
    <t>Luis Miguel</t>
  </si>
  <si>
    <t>González Ramírez</t>
  </si>
  <si>
    <t>Luna Mariana</t>
  </si>
  <si>
    <t>González Reyes</t>
  </si>
  <si>
    <t>Edgar Yahir</t>
  </si>
  <si>
    <t>González Sampayo</t>
  </si>
  <si>
    <t>Leonardo</t>
  </si>
  <si>
    <t>González Sánchez</t>
  </si>
  <si>
    <t>Victor Eduardo</t>
  </si>
  <si>
    <t>González Torres</t>
  </si>
  <si>
    <t>González Valdez</t>
  </si>
  <si>
    <t>González Vásquez</t>
  </si>
  <si>
    <t>Mariany Camila</t>
  </si>
  <si>
    <t>González Zago</t>
  </si>
  <si>
    <t>González Zamora</t>
  </si>
  <si>
    <t>María Sabina</t>
  </si>
  <si>
    <t>González Zayas</t>
  </si>
  <si>
    <t>Víctor Manuel</t>
  </si>
  <si>
    <t>González Zepeda</t>
  </si>
  <si>
    <t>Paula</t>
  </si>
  <si>
    <t>Gordillo Vázquez</t>
  </si>
  <si>
    <t>Andrea Marián</t>
  </si>
  <si>
    <t>govela garcía</t>
  </si>
  <si>
    <t>ana isabel</t>
  </si>
  <si>
    <t>Graciano Alvarez</t>
  </si>
  <si>
    <t>Granados Chávez</t>
  </si>
  <si>
    <t>Fredel</t>
  </si>
  <si>
    <t>Granados Cruz</t>
  </si>
  <si>
    <t>Andrea Valeria</t>
  </si>
  <si>
    <t>Granados Méndez</t>
  </si>
  <si>
    <t>Karime</t>
  </si>
  <si>
    <t>Grande Ornelas</t>
  </si>
  <si>
    <t>Grave Rivera</t>
  </si>
  <si>
    <t>Carlos Angel</t>
  </si>
  <si>
    <t>Grunauer Pérez</t>
  </si>
  <si>
    <t>Gual Sosa</t>
  </si>
  <si>
    <t>Sarahí</t>
  </si>
  <si>
    <t>Gudiño Ortíz</t>
  </si>
  <si>
    <t>Mario Emmanuel</t>
  </si>
  <si>
    <t>Guerrero Borja</t>
  </si>
  <si>
    <t>Ilse Patricia</t>
  </si>
  <si>
    <t>Guerrero Mendoza</t>
  </si>
  <si>
    <t>Guerrero Otero</t>
  </si>
  <si>
    <t>Guerrero Sánchez</t>
  </si>
  <si>
    <t>Guevara Arenas</t>
  </si>
  <si>
    <t>Yanet Josefina</t>
  </si>
  <si>
    <t>Guevara Tapia</t>
  </si>
  <si>
    <t>Guizar Almanza</t>
  </si>
  <si>
    <t>Iván Eduardo</t>
  </si>
  <si>
    <t>Guizar Oseguera</t>
  </si>
  <si>
    <t>Gurrión Cortés</t>
  </si>
  <si>
    <t>Guillermo Benjamín</t>
  </si>
  <si>
    <t>Gutierrez Avila</t>
  </si>
  <si>
    <t>Nadia</t>
  </si>
  <si>
    <t>Gutierrez Calderoni</t>
  </si>
  <si>
    <t>Gutierrez Espinosa</t>
  </si>
  <si>
    <t>Gutierrez Martinez</t>
  </si>
  <si>
    <t>Gutierrez Salinas</t>
  </si>
  <si>
    <t>Gutirrez Caba¤as</t>
  </si>
  <si>
    <t>Galilea</t>
  </si>
  <si>
    <t>Gutiérrez Acosta</t>
  </si>
  <si>
    <t>Gutiérrez Almanza</t>
  </si>
  <si>
    <t>Airam</t>
  </si>
  <si>
    <t>Gutiérrez Barrera</t>
  </si>
  <si>
    <t>Karla Irais</t>
  </si>
  <si>
    <t>Gutiérrez Blanco</t>
  </si>
  <si>
    <t>Gutiérrez Contreras</t>
  </si>
  <si>
    <t>Ana Karla</t>
  </si>
  <si>
    <t>Gutiérrez Gayosso</t>
  </si>
  <si>
    <t>Humberto</t>
  </si>
  <si>
    <t>Gutiérrez Gutiérrez</t>
  </si>
  <si>
    <t>Ricardo Miguel</t>
  </si>
  <si>
    <t>Gutiérrez Lizárraga</t>
  </si>
  <si>
    <t>Alan Jesael</t>
  </si>
  <si>
    <t>Gutiérrez López</t>
  </si>
  <si>
    <t>Orlando Amín</t>
  </si>
  <si>
    <t>Gutiérrez Ortíz</t>
  </si>
  <si>
    <t>Gutiérrez Pérez</t>
  </si>
  <si>
    <t>Hugo César</t>
  </si>
  <si>
    <t>Gutiérrez Reyes</t>
  </si>
  <si>
    <t>Diego de Jesús</t>
  </si>
  <si>
    <t>Gutiérrez Tomate</t>
  </si>
  <si>
    <t>Gutiérrez Vázquez</t>
  </si>
  <si>
    <t>Carlos Iván</t>
  </si>
  <si>
    <t>Gutiérrez Álvarez</t>
  </si>
  <si>
    <t>Guzman Aguirre</t>
  </si>
  <si>
    <t>Guzman Sanchez</t>
  </si>
  <si>
    <t>Guzmán Damián</t>
  </si>
  <si>
    <t>Anuar Santiago</t>
  </si>
  <si>
    <t>Guzmán Dominguez</t>
  </si>
  <si>
    <t>Guzmán González</t>
  </si>
  <si>
    <t>Héctor David</t>
  </si>
  <si>
    <t>Víctor Alexis</t>
  </si>
  <si>
    <t>Guzmán Hernández</t>
  </si>
  <si>
    <t>Amisuri Anaid</t>
  </si>
  <si>
    <t>Guzmán Peréz</t>
  </si>
  <si>
    <t>Carol Varenka</t>
  </si>
  <si>
    <t>Guzmán Pérez</t>
  </si>
  <si>
    <t>Maria de Lourdes</t>
  </si>
  <si>
    <t>Guzmán Rodríguez</t>
  </si>
  <si>
    <t>Guzmán Santillán</t>
  </si>
  <si>
    <t>Nayra</t>
  </si>
  <si>
    <t>Guzmán Santos</t>
  </si>
  <si>
    <t>Gálvez Reyes</t>
  </si>
  <si>
    <t>Mariella</t>
  </si>
  <si>
    <t>Gámez Báez</t>
  </si>
  <si>
    <t>Vanesa</t>
  </si>
  <si>
    <t>Gámez Guerrero</t>
  </si>
  <si>
    <t>Izcalli</t>
  </si>
  <si>
    <t>Gómez Abundis</t>
  </si>
  <si>
    <t>Denise</t>
  </si>
  <si>
    <t>Gómez Arias</t>
  </si>
  <si>
    <t>Rachel Montserrat</t>
  </si>
  <si>
    <t>Gómez Carrillo</t>
  </si>
  <si>
    <t>André Jeremías</t>
  </si>
  <si>
    <t>Gómez Contreras</t>
  </si>
  <si>
    <t>Héctor Ángel</t>
  </si>
  <si>
    <t>Gómez Cuevas</t>
  </si>
  <si>
    <t>Frida Mariel</t>
  </si>
  <si>
    <t>Gómez Huerta</t>
  </si>
  <si>
    <t>Emily Anacely</t>
  </si>
  <si>
    <t>Gómez Oropeza</t>
  </si>
  <si>
    <t>Irene</t>
  </si>
  <si>
    <t>Gómez Ortíz</t>
  </si>
  <si>
    <t>Diana Carolina</t>
  </si>
  <si>
    <t>Gómez Pardo</t>
  </si>
  <si>
    <t>Alfredo</t>
  </si>
  <si>
    <t>Gómez Quintero</t>
  </si>
  <si>
    <t>Liliana</t>
  </si>
  <si>
    <t>Gómez Reyes</t>
  </si>
  <si>
    <t>Gómez Rojas</t>
  </si>
  <si>
    <t>Gómez Valdés</t>
  </si>
  <si>
    <t>Antonella</t>
  </si>
  <si>
    <t>Gómez Velázquez</t>
  </si>
  <si>
    <t>Bruno</t>
  </si>
  <si>
    <t>Haces Bárcena</t>
  </si>
  <si>
    <t>Haddad Dorantes</t>
  </si>
  <si>
    <t>Samir Rahiv</t>
  </si>
  <si>
    <t>Hallatt García</t>
  </si>
  <si>
    <t>Harrsch Roa</t>
  </si>
  <si>
    <t>Lorena</t>
  </si>
  <si>
    <t>Henkel Martinez</t>
  </si>
  <si>
    <t>Henkel Martínez</t>
  </si>
  <si>
    <t>Hermida Flores</t>
  </si>
  <si>
    <t>Hermida Ito</t>
  </si>
  <si>
    <t>Javier Tadashi</t>
  </si>
  <si>
    <t>Hermida Ladrón de Guevara</t>
  </si>
  <si>
    <t>Hernandez Garcia</t>
  </si>
  <si>
    <t>Edgar</t>
  </si>
  <si>
    <t>Hernandez Ruiz</t>
  </si>
  <si>
    <t>Hernández Arizmendi</t>
  </si>
  <si>
    <t>Brayan Iván</t>
  </si>
  <si>
    <t>Hernández Arrieta</t>
  </si>
  <si>
    <t>Luz Alexandra</t>
  </si>
  <si>
    <t>Hernández Belen</t>
  </si>
  <si>
    <t>Alma Patricia</t>
  </si>
  <si>
    <t>Hernández Beristain</t>
  </si>
  <si>
    <t>Hernández Carrasco</t>
  </si>
  <si>
    <t>Ingrid</t>
  </si>
  <si>
    <t>Hernández Carrazco</t>
  </si>
  <si>
    <t>Ian</t>
  </si>
  <si>
    <t>Hernández Castro</t>
  </si>
  <si>
    <t>Jesus Mauricio</t>
  </si>
  <si>
    <t>Hernández Cruz</t>
  </si>
  <si>
    <t>César Daniel</t>
  </si>
  <si>
    <t>Hernández Cuevas</t>
  </si>
  <si>
    <t>Norma Arleth</t>
  </si>
  <si>
    <t>Hernández De Cisneros</t>
  </si>
  <si>
    <t>Luis Javier</t>
  </si>
  <si>
    <t>Hernández De la Rosa</t>
  </si>
  <si>
    <t>Jessica</t>
  </si>
  <si>
    <t>Hernández Domínguez</t>
  </si>
  <si>
    <t>Mara Montserrat</t>
  </si>
  <si>
    <t>Hernández Espinoza</t>
  </si>
  <si>
    <t>Hernández Farias</t>
  </si>
  <si>
    <t>Alexander</t>
  </si>
  <si>
    <t>Hernández Flores</t>
  </si>
  <si>
    <t>Estefany</t>
  </si>
  <si>
    <t>Hernández García</t>
  </si>
  <si>
    <t>Dalila Sofía</t>
  </si>
  <si>
    <t>Luis Emilio</t>
  </si>
  <si>
    <t>Hernández Gutiérrez</t>
  </si>
  <si>
    <t>Erika</t>
  </si>
  <si>
    <t>Hernández Gómez</t>
  </si>
  <si>
    <t>Julio César</t>
  </si>
  <si>
    <t>Hernández Hernández</t>
  </si>
  <si>
    <t>Aldo Josue</t>
  </si>
  <si>
    <t>Mario Elpidio</t>
  </si>
  <si>
    <t>Hernández Hipólito</t>
  </si>
  <si>
    <t>Hernández Ibarra</t>
  </si>
  <si>
    <t>Hernández Jiménez</t>
  </si>
  <si>
    <t>Yesenia</t>
  </si>
  <si>
    <t>Hernández Juárez</t>
  </si>
  <si>
    <t>Hernández López</t>
  </si>
  <si>
    <t>Ricardo Alberto</t>
  </si>
  <si>
    <t>Hernández Madrigal</t>
  </si>
  <si>
    <t>Hernández Monsalvo</t>
  </si>
  <si>
    <t>Hernández Morón</t>
  </si>
  <si>
    <t>Hernández Ortega</t>
  </si>
  <si>
    <t>Eileen Alejandra</t>
  </si>
  <si>
    <t>Hernández Osorio</t>
  </si>
  <si>
    <t>Hernández Pérez</t>
  </si>
  <si>
    <t>Seylinne del Carmen</t>
  </si>
  <si>
    <t>Hernández Quintero</t>
  </si>
  <si>
    <t>América</t>
  </si>
  <si>
    <t>Hernández Ramírez</t>
  </si>
  <si>
    <t>María Reneé</t>
  </si>
  <si>
    <t>Hernández Reyna</t>
  </si>
  <si>
    <t>Lluvia Andrea</t>
  </si>
  <si>
    <t>Hernández Rosas</t>
  </si>
  <si>
    <t>María Fernanda Alicia</t>
  </si>
  <si>
    <t>Hernández Soto</t>
  </si>
  <si>
    <t>Hernández Sánchez</t>
  </si>
  <si>
    <t>Everardo</t>
  </si>
  <si>
    <t>Hernández Tenorio</t>
  </si>
  <si>
    <t>Aline Karime</t>
  </si>
  <si>
    <t>Hernández Tlacomulco</t>
  </si>
  <si>
    <t>Pedro Kiev</t>
  </si>
  <si>
    <t>Hernández Torres</t>
  </si>
  <si>
    <t>Fernanda</t>
  </si>
  <si>
    <t>Hernández Vargas</t>
  </si>
  <si>
    <t>Tesha Aelinne</t>
  </si>
  <si>
    <t>Hernández Varilla</t>
  </si>
  <si>
    <t>Hernández Álvarez</t>
  </si>
  <si>
    <t>Herrera Astrain</t>
  </si>
  <si>
    <t>Herrera Burela</t>
  </si>
  <si>
    <t>Herrera Coyotzi</t>
  </si>
  <si>
    <t>Herrera García</t>
  </si>
  <si>
    <t>Horacio</t>
  </si>
  <si>
    <t>Herrera Martínez</t>
  </si>
  <si>
    <t>Herrera Pérez</t>
  </si>
  <si>
    <t>Aldo Emmanuel</t>
  </si>
  <si>
    <t>Herrera Ruiz</t>
  </si>
  <si>
    <t>Herrera Silvar</t>
  </si>
  <si>
    <t>Santos</t>
  </si>
  <si>
    <t>Higuera Alanis</t>
  </si>
  <si>
    <t>Jose Xavier</t>
  </si>
  <si>
    <t>Hoffmann Tamayo</t>
  </si>
  <si>
    <t>Ian Alexander</t>
  </si>
  <si>
    <t>Hoyos Hernández</t>
  </si>
  <si>
    <t>Huepa Castillo</t>
  </si>
  <si>
    <t>Dulce María</t>
  </si>
  <si>
    <t>Huergo Curiel</t>
  </si>
  <si>
    <t>María Del Pilar</t>
  </si>
  <si>
    <t>Huerta Herrera</t>
  </si>
  <si>
    <t>Omar Emilio</t>
  </si>
  <si>
    <t>Huerta Hijuelos</t>
  </si>
  <si>
    <t>Hernan</t>
  </si>
  <si>
    <t>Huerta López</t>
  </si>
  <si>
    <t>Mitzi Irais</t>
  </si>
  <si>
    <t>Huerta Matzumoto</t>
  </si>
  <si>
    <t>Edna María</t>
  </si>
  <si>
    <t>Huerta Ocaña</t>
  </si>
  <si>
    <t>Huerta Pérez</t>
  </si>
  <si>
    <t>Huerta Ramos</t>
  </si>
  <si>
    <t>Huerta Texcucano</t>
  </si>
  <si>
    <t>Paul Brandon</t>
  </si>
  <si>
    <t>Huerta Villegas</t>
  </si>
  <si>
    <t>Jimena</t>
  </si>
  <si>
    <t>Huesca Antelis</t>
  </si>
  <si>
    <t>Montserrat Maritey</t>
  </si>
  <si>
    <t>Huitzil Aguilar</t>
  </si>
  <si>
    <t>Flavio</t>
  </si>
  <si>
    <t>Huitzil Zepeda</t>
  </si>
  <si>
    <t>Leslie</t>
  </si>
  <si>
    <t>Ibarra Campos</t>
  </si>
  <si>
    <t>Larissa</t>
  </si>
  <si>
    <t>Ibarra Castellanos</t>
  </si>
  <si>
    <t>Ibarra López</t>
  </si>
  <si>
    <t>Viridiana</t>
  </si>
  <si>
    <t>Inclán Regalet</t>
  </si>
  <si>
    <t>Vania</t>
  </si>
  <si>
    <t>Inostroza Escobar</t>
  </si>
  <si>
    <t>Janah Andrea</t>
  </si>
  <si>
    <t>Islas Hernández</t>
  </si>
  <si>
    <t>Islas Velazquez</t>
  </si>
  <si>
    <t>Gustavo</t>
  </si>
  <si>
    <t>Iturralde Rosano</t>
  </si>
  <si>
    <t>Francisco Javier</t>
  </si>
  <si>
    <t>Izaguirre Ortega</t>
  </si>
  <si>
    <t>Jacob Santillana</t>
  </si>
  <si>
    <t>Jacobo Avendaño</t>
  </si>
  <si>
    <t>Jaimes Adame</t>
  </si>
  <si>
    <t>Cristian Alexis</t>
  </si>
  <si>
    <t>Jaimes Oaxaca</t>
  </si>
  <si>
    <t>Laura Ariadna</t>
  </si>
  <si>
    <t>Jaimes Quinto</t>
  </si>
  <si>
    <t>Maxine</t>
  </si>
  <si>
    <t>Jaimes Román</t>
  </si>
  <si>
    <t>Francisco Leoncio</t>
  </si>
  <si>
    <t>Jalil Martínez</t>
  </si>
  <si>
    <t>Elena</t>
  </si>
  <si>
    <t>Jano Pérez</t>
  </si>
  <si>
    <t>Jara Murillo</t>
  </si>
  <si>
    <t>Jaramillo Andrade</t>
  </si>
  <si>
    <t>Jaramillo Gómez</t>
  </si>
  <si>
    <t>Rubén Alfredo</t>
  </si>
  <si>
    <t>Jaramillo Hernández</t>
  </si>
  <si>
    <t>Ana Carolina</t>
  </si>
  <si>
    <t>Jayassi Castelo</t>
  </si>
  <si>
    <t>Hector Keihiro</t>
  </si>
  <si>
    <t>Jimenez Ruiz</t>
  </si>
  <si>
    <t>Jorge Eduardo</t>
  </si>
  <si>
    <t>Jimnez Ortega</t>
  </si>
  <si>
    <t>Jazm¡n Itzel</t>
  </si>
  <si>
    <t>Jiménez Ahumada</t>
  </si>
  <si>
    <t>Jiménez Benítez</t>
  </si>
  <si>
    <t>Paola Goretti</t>
  </si>
  <si>
    <t>Jiménez García</t>
  </si>
  <si>
    <t>Jiménez Hermoso</t>
  </si>
  <si>
    <t>Gema Nohemi</t>
  </si>
  <si>
    <t>Jiménez Jiménez</t>
  </si>
  <si>
    <t>Jiménez López</t>
  </si>
  <si>
    <t>Javier Alberto</t>
  </si>
  <si>
    <t>Jiménez Molina</t>
  </si>
  <si>
    <t>Susan</t>
  </si>
  <si>
    <t>Jiménez Montesinos</t>
  </si>
  <si>
    <t>José Lisandro</t>
  </si>
  <si>
    <t>Jiménez Ruiz</t>
  </si>
  <si>
    <t>Arantxa Estefanía</t>
  </si>
  <si>
    <t>Jiménez Sánchez</t>
  </si>
  <si>
    <t>Gabriel Andres</t>
  </si>
  <si>
    <t>Jocelyn</t>
  </si>
  <si>
    <t>Jiménez Torres</t>
  </si>
  <si>
    <t>Jiménez Tototzintle</t>
  </si>
  <si>
    <t>Jiménez Velázquez</t>
  </si>
  <si>
    <t>Jesús Emmanuel</t>
  </si>
  <si>
    <t>Jiménez Vázquez</t>
  </si>
  <si>
    <t>Emilia</t>
  </si>
  <si>
    <t>Joseph Eapen</t>
  </si>
  <si>
    <t>Andrew</t>
  </si>
  <si>
    <t>Jui Ruiz</t>
  </si>
  <si>
    <t>Glen Rodrigo</t>
  </si>
  <si>
    <t>Juárez Babines</t>
  </si>
  <si>
    <t>Aide</t>
  </si>
  <si>
    <t>Juárez Jiménez</t>
  </si>
  <si>
    <t>Ricardo Antonio</t>
  </si>
  <si>
    <t>Juárez Marquecho</t>
  </si>
  <si>
    <t>Juárez Muñoz</t>
  </si>
  <si>
    <t>Juárez Márquez</t>
  </si>
  <si>
    <t>Ana Fernanda</t>
  </si>
  <si>
    <t>Juárez Pineda</t>
  </si>
  <si>
    <t>Juárez Rojano</t>
  </si>
  <si>
    <t>Salma Dafne</t>
  </si>
  <si>
    <t>Jáuregui Sainz de Rozas</t>
  </si>
  <si>
    <t>Jímenez Ramírez</t>
  </si>
  <si>
    <t>Sofía Vanessa</t>
  </si>
  <si>
    <t>Kim</t>
  </si>
  <si>
    <t>Jae Joong</t>
  </si>
  <si>
    <t>Klauck De Vicenzo</t>
  </si>
  <si>
    <t>Andreas Joachim</t>
  </si>
  <si>
    <t>Kroepfly García Luna</t>
  </si>
  <si>
    <t>Max</t>
  </si>
  <si>
    <t>Kruger Miguel</t>
  </si>
  <si>
    <t>Richard</t>
  </si>
  <si>
    <t>Kuri Ostos</t>
  </si>
  <si>
    <t>William Charbel</t>
  </si>
  <si>
    <t>Kuri Rodríguez</t>
  </si>
  <si>
    <t>Kurwahn Paz</t>
  </si>
  <si>
    <t>Gustavo Adolfo</t>
  </si>
  <si>
    <t>Lagunes Fernández</t>
  </si>
  <si>
    <t>Laizon Amaro</t>
  </si>
  <si>
    <t>Leonardo Iván</t>
  </si>
  <si>
    <t>Lamuño Brito</t>
  </si>
  <si>
    <t>Maria del Carmen</t>
  </si>
  <si>
    <t>Landa Bautista</t>
  </si>
  <si>
    <t>Karla Andrea</t>
  </si>
  <si>
    <t>Landa Medina</t>
  </si>
  <si>
    <t>Ana Tere</t>
  </si>
  <si>
    <t>Landa Osnaya</t>
  </si>
  <si>
    <t>Karla</t>
  </si>
  <si>
    <t>Landa Rivera</t>
  </si>
  <si>
    <t>Ángel de Jesús</t>
  </si>
  <si>
    <t>Lara Baquero</t>
  </si>
  <si>
    <t>Lara Barradas</t>
  </si>
  <si>
    <t>Carmen Mariela</t>
  </si>
  <si>
    <t>Lara Bautista</t>
  </si>
  <si>
    <t>Lara Cervera</t>
  </si>
  <si>
    <t>Abraham Nihaib</t>
  </si>
  <si>
    <t>Lara Coria</t>
  </si>
  <si>
    <t>Lara Delgado</t>
  </si>
  <si>
    <t>Rufino Abel</t>
  </si>
  <si>
    <t>Lara Montalvo</t>
  </si>
  <si>
    <t>Lara Portilla</t>
  </si>
  <si>
    <t>Lara Solares</t>
  </si>
  <si>
    <t>Lara Zúñiga</t>
  </si>
  <si>
    <t>José Ricardo</t>
  </si>
  <si>
    <t>Lardizabal Rodríguez</t>
  </si>
  <si>
    <t>Larralde Martínez</t>
  </si>
  <si>
    <t>Lascurain Sánchez</t>
  </si>
  <si>
    <t>Laug Velázquez</t>
  </si>
  <si>
    <t>Lavalle Guerrero</t>
  </si>
  <si>
    <t>María Jimena</t>
  </si>
  <si>
    <t>Lavalle Hernández</t>
  </si>
  <si>
    <t>Lazcano Blanco</t>
  </si>
  <si>
    <t>Valeria Sofía</t>
  </si>
  <si>
    <t>Lazcano Guzmán</t>
  </si>
  <si>
    <t>Tito Gustavo</t>
  </si>
  <si>
    <t>Leal Nájera</t>
  </si>
  <si>
    <t>Irán Carolina</t>
  </si>
  <si>
    <t>Leal Palma</t>
  </si>
  <si>
    <t>Leal Santos</t>
  </si>
  <si>
    <t>Maritere</t>
  </si>
  <si>
    <t>Lechuga Bravo</t>
  </si>
  <si>
    <t>Javier Marcelino</t>
  </si>
  <si>
    <t>Ledo Barragan</t>
  </si>
  <si>
    <t>Lemus Figueroa</t>
  </si>
  <si>
    <t>Lemus Manrique</t>
  </si>
  <si>
    <t>Abdiel Esteban</t>
  </si>
  <si>
    <t>Lescas Espinosa</t>
  </si>
  <si>
    <t>Jose Damian</t>
  </si>
  <si>
    <t>Lescieur García</t>
  </si>
  <si>
    <t>Leyva Galvez</t>
  </si>
  <si>
    <t>Ana Jazmin</t>
  </si>
  <si>
    <t>León Aguilar</t>
  </si>
  <si>
    <t>Jocelyn Anette</t>
  </si>
  <si>
    <t>León Arellano</t>
  </si>
  <si>
    <t>Efraín</t>
  </si>
  <si>
    <t>León López</t>
  </si>
  <si>
    <t>Alain</t>
  </si>
  <si>
    <t>León Ramos</t>
  </si>
  <si>
    <t>David Miguel</t>
  </si>
  <si>
    <t>León Sayago</t>
  </si>
  <si>
    <t>Jenny Harumi</t>
  </si>
  <si>
    <t>Licea Padilla</t>
  </si>
  <si>
    <t>Pamela</t>
  </si>
  <si>
    <t>Lima Carmona</t>
  </si>
  <si>
    <t>Yoshua Erenoldo</t>
  </si>
  <si>
    <t>Lima Flores</t>
  </si>
  <si>
    <t>Linares Bretón</t>
  </si>
  <si>
    <t>Linares Castillo</t>
  </si>
  <si>
    <t>Linarte Jacobo</t>
  </si>
  <si>
    <t>Lissette</t>
  </si>
  <si>
    <t>Lira Cerón</t>
  </si>
  <si>
    <t>Patricio Rafael</t>
  </si>
  <si>
    <t>Lira Ruíz</t>
  </si>
  <si>
    <t>Liévanos Liévanos</t>
  </si>
  <si>
    <t>Llano Ines</t>
  </si>
  <si>
    <t>Llante Salas</t>
  </si>
  <si>
    <t>Adriana Aracely</t>
  </si>
  <si>
    <t>Loaiza Calderón</t>
  </si>
  <si>
    <t>Arlette</t>
  </si>
  <si>
    <t>Loaiza L zaro</t>
  </si>
  <si>
    <t>Loeza Valdez</t>
  </si>
  <si>
    <t>Lomelín Valdés</t>
  </si>
  <si>
    <t>Ivanna</t>
  </si>
  <si>
    <t>Lopez Avelar</t>
  </si>
  <si>
    <t>Adriana Sofia</t>
  </si>
  <si>
    <t>Lopez Cardona</t>
  </si>
  <si>
    <t>Luisa Fernanda</t>
  </si>
  <si>
    <t>Lopez Sabates</t>
  </si>
  <si>
    <t>Omar</t>
  </si>
  <si>
    <t>Loredo Cuevas</t>
  </si>
  <si>
    <t>Louvier Caldwell</t>
  </si>
  <si>
    <t>Justin Nicolas</t>
  </si>
  <si>
    <t>Loza Escudero</t>
  </si>
  <si>
    <t>Patricia</t>
  </si>
  <si>
    <t>Lozano González</t>
  </si>
  <si>
    <t>Lozano Solana</t>
  </si>
  <si>
    <t>Cristina</t>
  </si>
  <si>
    <t>María del Rocío</t>
  </si>
  <si>
    <t>Luengas Avila</t>
  </si>
  <si>
    <t>Oscar Daniel</t>
  </si>
  <si>
    <t>Lugardo Flores</t>
  </si>
  <si>
    <t>Saúl Jamín</t>
  </si>
  <si>
    <t>Lugo Cano</t>
  </si>
  <si>
    <t>Irina</t>
  </si>
  <si>
    <t>Lugo Soberanes</t>
  </si>
  <si>
    <t>Mariano Yair</t>
  </si>
  <si>
    <t>Luis Ramírez</t>
  </si>
  <si>
    <t>Luna Alcocer</t>
  </si>
  <si>
    <t>Marijose</t>
  </si>
  <si>
    <t>Luna Díaz</t>
  </si>
  <si>
    <t>Luna García</t>
  </si>
  <si>
    <t>Luna Jiménez</t>
  </si>
  <si>
    <t>Luna Lara</t>
  </si>
  <si>
    <t>Jorge Horacio</t>
  </si>
  <si>
    <t>Luna Mazari</t>
  </si>
  <si>
    <t>Arantza</t>
  </si>
  <si>
    <t>Luna Tiburcio</t>
  </si>
  <si>
    <t>Ezequiel</t>
  </si>
  <si>
    <t>Luviano Jiménez</t>
  </si>
  <si>
    <t>L¢pez Hern ndez</t>
  </si>
  <si>
    <t>López Altamirano</t>
  </si>
  <si>
    <t>López Aquino</t>
  </si>
  <si>
    <t>Ricardo Daniel</t>
  </si>
  <si>
    <t>López Araujo</t>
  </si>
  <si>
    <t>Enrique</t>
  </si>
  <si>
    <t>López Calderón</t>
  </si>
  <si>
    <t>Dalia Berenice</t>
  </si>
  <si>
    <t>López Cano</t>
  </si>
  <si>
    <t>López Carrera</t>
  </si>
  <si>
    <t>López Caso</t>
  </si>
  <si>
    <t>María Gimena</t>
  </si>
  <si>
    <t>López Chávez</t>
  </si>
  <si>
    <t>Hazel David</t>
  </si>
  <si>
    <t>López García</t>
  </si>
  <si>
    <t>López González</t>
  </si>
  <si>
    <t>López Hernández</t>
  </si>
  <si>
    <t>André Federico</t>
  </si>
  <si>
    <t>López Herrera</t>
  </si>
  <si>
    <t>Daniela Tsunami</t>
  </si>
  <si>
    <t>López Herrero</t>
  </si>
  <si>
    <t>López López</t>
  </si>
  <si>
    <t>Eduardo Alejandro</t>
  </si>
  <si>
    <t>López Magaña</t>
  </si>
  <si>
    <t>López Martinez</t>
  </si>
  <si>
    <t>López Martínez</t>
  </si>
  <si>
    <t>López Merino</t>
  </si>
  <si>
    <t>Maria Guadalupe</t>
  </si>
  <si>
    <t>López Morales</t>
  </si>
  <si>
    <t>Roxana</t>
  </si>
  <si>
    <t>López Márquez</t>
  </si>
  <si>
    <t>Juan Alfonso</t>
  </si>
  <si>
    <t>López Nava</t>
  </si>
  <si>
    <t>Mara Abigail</t>
  </si>
  <si>
    <t>López Ojeda</t>
  </si>
  <si>
    <t>Jorge David</t>
  </si>
  <si>
    <t>López Perez</t>
  </si>
  <si>
    <t>López Pérez</t>
  </si>
  <si>
    <t>López Quiroz</t>
  </si>
  <si>
    <t>Diana Patricia</t>
  </si>
  <si>
    <t>López Ramírez</t>
  </si>
  <si>
    <t>Ariadna</t>
  </si>
  <si>
    <t>López Rodríguez</t>
  </si>
  <si>
    <t>López Romero</t>
  </si>
  <si>
    <t>López Sarmiento</t>
  </si>
  <si>
    <t>María Natalia</t>
  </si>
  <si>
    <t>López Solís</t>
  </si>
  <si>
    <t>Jorge Alejandro</t>
  </si>
  <si>
    <t>López Sánchez</t>
  </si>
  <si>
    <t>Joel Luis</t>
  </si>
  <si>
    <t>López Zapotecatl</t>
  </si>
  <si>
    <t>Cuauhtémoc Santiago</t>
  </si>
  <si>
    <t>Macedo López</t>
  </si>
  <si>
    <t>Mario Iván</t>
  </si>
  <si>
    <t>Machorro Orantes</t>
  </si>
  <si>
    <t>Macías Solís</t>
  </si>
  <si>
    <t>Macías Suárez</t>
  </si>
  <si>
    <t>José Armando</t>
  </si>
  <si>
    <t>Macías Sánchez</t>
  </si>
  <si>
    <t>Hassler Stefan</t>
  </si>
  <si>
    <t>Madariaga Ramírez</t>
  </si>
  <si>
    <t>Ramelan</t>
  </si>
  <si>
    <t>Madero Marín</t>
  </si>
  <si>
    <t>Alex</t>
  </si>
  <si>
    <t>Madrid García</t>
  </si>
  <si>
    <t>Leila</t>
  </si>
  <si>
    <t>Madrigal Nava</t>
  </si>
  <si>
    <t>Rodrigo Emmanuel</t>
  </si>
  <si>
    <t>Magaña Marín</t>
  </si>
  <si>
    <t>Patricio</t>
  </si>
  <si>
    <t>Maldonado Bravo</t>
  </si>
  <si>
    <t>Diane Anette</t>
  </si>
  <si>
    <t>Maldonado Hernandez</t>
  </si>
  <si>
    <t>Maldonado López</t>
  </si>
  <si>
    <t>Franchesca Isabel</t>
  </si>
  <si>
    <t>Maldonado Vázquez</t>
  </si>
  <si>
    <t>Malhani</t>
  </si>
  <si>
    <t>Talina Lia</t>
  </si>
  <si>
    <t>Malpica Lecona</t>
  </si>
  <si>
    <t>Mancilla Cruz</t>
  </si>
  <si>
    <t>Mancilla Mendez</t>
  </si>
  <si>
    <t>Mani Alvarado</t>
  </si>
  <si>
    <t>Breydi</t>
  </si>
  <si>
    <t>Manrique Núñez</t>
  </si>
  <si>
    <t>Jorge Ernesto</t>
  </si>
  <si>
    <t>Manuel Cruz</t>
  </si>
  <si>
    <t>Evelyn</t>
  </si>
  <si>
    <t>Manzano Trovamala Martínez</t>
  </si>
  <si>
    <t>Manzo Gil</t>
  </si>
  <si>
    <t>Manzo Vélez</t>
  </si>
  <si>
    <t>Maravilla Mena</t>
  </si>
  <si>
    <t>Marcial Regino</t>
  </si>
  <si>
    <t>Yessenia</t>
  </si>
  <si>
    <t>Mardoniz Libreros</t>
  </si>
  <si>
    <t>Luis Ángel</t>
  </si>
  <si>
    <t>Margalli Garate</t>
  </si>
  <si>
    <t>Marquez Rivera</t>
  </si>
  <si>
    <t>Marrufo Novelo</t>
  </si>
  <si>
    <t>Estefania Amairani</t>
  </si>
  <si>
    <t>Martin-Prieto Urrutia</t>
  </si>
  <si>
    <t>Martinez Elias</t>
  </si>
  <si>
    <t>Martinez Sandoval</t>
  </si>
  <si>
    <t>Miranda</t>
  </si>
  <si>
    <t>Martinez Trevi¤o</t>
  </si>
  <si>
    <t>Mart¡nez Padilla</t>
  </si>
  <si>
    <t>Jes£s</t>
  </si>
  <si>
    <t>Martínez Alvarado</t>
  </si>
  <si>
    <t>Martínez Barajas</t>
  </si>
  <si>
    <t>Andrea Cecilia</t>
  </si>
  <si>
    <t>Martínez Barranco</t>
  </si>
  <si>
    <t>Martínez Cabrera</t>
  </si>
  <si>
    <t>Martínez Centeno</t>
  </si>
  <si>
    <t>Martínez Cruz</t>
  </si>
  <si>
    <t>Carla Jaqueline</t>
  </si>
  <si>
    <t>Martínez Frias</t>
  </si>
  <si>
    <t>María Magdalena</t>
  </si>
  <si>
    <t>Martínez García</t>
  </si>
  <si>
    <t>Brenda Isabel</t>
  </si>
  <si>
    <t>Martínez González</t>
  </si>
  <si>
    <t>Martínez Guillen</t>
  </si>
  <si>
    <t>Martínez Gómez</t>
  </si>
  <si>
    <t>Karina Isabel</t>
  </si>
  <si>
    <t>Martínez Hernández</t>
  </si>
  <si>
    <t>Ana Gabriela</t>
  </si>
  <si>
    <t>Livan</t>
  </si>
  <si>
    <t>Martínez Huerta</t>
  </si>
  <si>
    <t>Martínez Leppaniemi</t>
  </si>
  <si>
    <t>Martínez López</t>
  </si>
  <si>
    <t>Yunuén</t>
  </si>
  <si>
    <t>Martínez Martínez</t>
  </si>
  <si>
    <t>Christian</t>
  </si>
  <si>
    <t>Martínez Minutti</t>
  </si>
  <si>
    <t>Mucio</t>
  </si>
  <si>
    <t>Martínez Otero Astudillo</t>
  </si>
  <si>
    <t>Martínez Reyes</t>
  </si>
  <si>
    <t>Lorena Estefanía</t>
  </si>
  <si>
    <t>Martínez Sendra</t>
  </si>
  <si>
    <t>Rodrigo Fernando</t>
  </si>
  <si>
    <t>Martínez Sánchez</t>
  </si>
  <si>
    <t>Wendy</t>
  </si>
  <si>
    <t>Martínez Velasco</t>
  </si>
  <si>
    <t>Angélica Sarahí</t>
  </si>
  <si>
    <t>Martínez Vieyra</t>
  </si>
  <si>
    <t>Pedro José</t>
  </si>
  <si>
    <t>Martínez Zúñiga</t>
  </si>
  <si>
    <t>Martínez Álvarez</t>
  </si>
  <si>
    <t>Marín Mercado</t>
  </si>
  <si>
    <t>Marín Rojas</t>
  </si>
  <si>
    <t>Tannia</t>
  </si>
  <si>
    <t>Mastache Iberri</t>
  </si>
  <si>
    <t>Mata Rodríguez</t>
  </si>
  <si>
    <t>Leonardo Arath</t>
  </si>
  <si>
    <t>Matadamas Hernández</t>
  </si>
  <si>
    <t>César Edwin</t>
  </si>
  <si>
    <t>Matarredona Vieyra</t>
  </si>
  <si>
    <t>Mateos Cabrera</t>
  </si>
  <si>
    <t>Adamary Sofía</t>
  </si>
  <si>
    <t>Mateos Gómez</t>
  </si>
  <si>
    <t>Mateos López</t>
  </si>
  <si>
    <t>Mattar Rodríguez</t>
  </si>
  <si>
    <t>Mauleón Terés</t>
  </si>
  <si>
    <t>Mauro Sánchez</t>
  </si>
  <si>
    <t>May Custodio</t>
  </si>
  <si>
    <t>Maya Flores</t>
  </si>
  <si>
    <t>Mayoral Olivares</t>
  </si>
  <si>
    <t>José Ángel</t>
  </si>
  <si>
    <t>Mayorga Castelán</t>
  </si>
  <si>
    <t>Maza Esmailzadeh</t>
  </si>
  <si>
    <t>Bijan</t>
  </si>
  <si>
    <t>Mcdonald Ehrenberg</t>
  </si>
  <si>
    <t>Christian William</t>
  </si>
  <si>
    <t>Medel Frias</t>
  </si>
  <si>
    <t>Arath Edoardo</t>
  </si>
  <si>
    <t>Medina Contreras</t>
  </si>
  <si>
    <t>Elda Yenitzia</t>
  </si>
  <si>
    <t>Medina Huerta</t>
  </si>
  <si>
    <t>Medina Moctezuma</t>
  </si>
  <si>
    <t>Desiree</t>
  </si>
  <si>
    <t>Medina Pérez</t>
  </si>
  <si>
    <t>César Alberto</t>
  </si>
  <si>
    <t>Medrano José</t>
  </si>
  <si>
    <t>Zyanya Nastienka</t>
  </si>
  <si>
    <t>Medrano Vázquez</t>
  </si>
  <si>
    <t>Sandra Paulina</t>
  </si>
  <si>
    <t>Mejia Serna</t>
  </si>
  <si>
    <t>Mejia Vazquez</t>
  </si>
  <si>
    <t>Mejía Caballero</t>
  </si>
  <si>
    <t>Azul</t>
  </si>
  <si>
    <t>Mejía García</t>
  </si>
  <si>
    <t>Cristina Lariza</t>
  </si>
  <si>
    <t>Mejía Hernández</t>
  </si>
  <si>
    <t>María Guadalupe</t>
  </si>
  <si>
    <t>Mejía Jarillo</t>
  </si>
  <si>
    <t>José Joaquín</t>
  </si>
  <si>
    <t>Melendez Navarro</t>
  </si>
  <si>
    <t>Francisco Alejandro</t>
  </si>
  <si>
    <t>Melendez Romero</t>
  </si>
  <si>
    <t>Francisco Bernardo</t>
  </si>
  <si>
    <t>Meléndez Gutiérrez</t>
  </si>
  <si>
    <t>Mena Munive</t>
  </si>
  <si>
    <t>Elena Josuany</t>
  </si>
  <si>
    <t>Mena Ponce de León</t>
  </si>
  <si>
    <t>Mena Zamudio</t>
  </si>
  <si>
    <t>Felipe Daniel</t>
  </si>
  <si>
    <t>Mendez Miramontes</t>
  </si>
  <si>
    <t>Jose Ramon</t>
  </si>
  <si>
    <t>Mendez Osorio</t>
  </si>
  <si>
    <t>Armando Jafet</t>
  </si>
  <si>
    <t>Mendiolea Villaseñor</t>
  </si>
  <si>
    <t>Mendivil Pedraza</t>
  </si>
  <si>
    <t>Mendoza Aragón</t>
  </si>
  <si>
    <t>Mendoza Bedolla</t>
  </si>
  <si>
    <t>Fernando Marco</t>
  </si>
  <si>
    <t>Mendoza García</t>
  </si>
  <si>
    <t>Ximena Melissa</t>
  </si>
  <si>
    <t>Mendoza Hernández</t>
  </si>
  <si>
    <t>Jimena Alejandra</t>
  </si>
  <si>
    <t>Mendoza Huitzil</t>
  </si>
  <si>
    <t>Mendoza Lara</t>
  </si>
  <si>
    <t>Jacqueline</t>
  </si>
  <si>
    <t>Mendoza Parada</t>
  </si>
  <si>
    <t>Josmar José</t>
  </si>
  <si>
    <t>Mendoza Pérez</t>
  </si>
  <si>
    <t>Mendoza Rivero</t>
  </si>
  <si>
    <t>Helios Salvador</t>
  </si>
  <si>
    <t>Mendoza Rojas</t>
  </si>
  <si>
    <t>Meneses Sánchez</t>
  </si>
  <si>
    <t>Linda Esmeralda</t>
  </si>
  <si>
    <t>Mengual Ku</t>
  </si>
  <si>
    <t>Amy Jocelyn</t>
  </si>
  <si>
    <t>Menéndez Blanco</t>
  </si>
  <si>
    <t>Iratxe</t>
  </si>
  <si>
    <t>Mercado Tirado</t>
  </si>
  <si>
    <t>Mercado Ventura</t>
  </si>
  <si>
    <t>Fernanda Valeria</t>
  </si>
  <si>
    <t>Merchant Hanan</t>
  </si>
  <si>
    <t>Merino Negroe</t>
  </si>
  <si>
    <t>Merino Ramírez</t>
  </si>
  <si>
    <t>Stephanya</t>
  </si>
  <si>
    <t>Merlo Camacho</t>
  </si>
  <si>
    <t>Manuel</t>
  </si>
  <si>
    <t>Mex Maldonado</t>
  </si>
  <si>
    <t>Oscar Amilcar</t>
  </si>
  <si>
    <t>Mexicano Romero</t>
  </si>
  <si>
    <t>Meza Alonso</t>
  </si>
  <si>
    <t>Cristóbal</t>
  </si>
  <si>
    <t>Meza Dossetti</t>
  </si>
  <si>
    <t>Katherine</t>
  </si>
  <si>
    <t>Mezhua Amador</t>
  </si>
  <si>
    <t>Carlos Irenio</t>
  </si>
  <si>
    <t>Mier Prado</t>
  </si>
  <si>
    <t>María Elisa</t>
  </si>
  <si>
    <t>Mijangos Antonio</t>
  </si>
  <si>
    <t>Grecia Desiree</t>
  </si>
  <si>
    <t>José Ramón</t>
  </si>
  <si>
    <t>Mijangos Malpica</t>
  </si>
  <si>
    <t>Millan Lara</t>
  </si>
  <si>
    <t>Minutti Calva</t>
  </si>
  <si>
    <t>Yulianna</t>
  </si>
  <si>
    <t>Miranda Flores</t>
  </si>
  <si>
    <t>Miranda Millan</t>
  </si>
  <si>
    <t>Miranda Moreno</t>
  </si>
  <si>
    <t>Lorena Yecenia</t>
  </si>
  <si>
    <t>Miranda Ramos</t>
  </si>
  <si>
    <t>Miguel Rafael</t>
  </si>
  <si>
    <t>Moctezuma Huidobro</t>
  </si>
  <si>
    <t>Moctezuma Reyes</t>
  </si>
  <si>
    <t>Moctezuma Téllez</t>
  </si>
  <si>
    <t>Mogollán Ramos</t>
  </si>
  <si>
    <t>Adriana Amparo</t>
  </si>
  <si>
    <t>Moises Bojalil</t>
  </si>
  <si>
    <t>Molina Bozada</t>
  </si>
  <si>
    <t>Yosefin De Los Ángeles</t>
  </si>
  <si>
    <t>Molina Flores</t>
  </si>
  <si>
    <t>Emmanuel de Jesús</t>
  </si>
  <si>
    <t>Molina Gonzalez</t>
  </si>
  <si>
    <t>Alexa Yamile</t>
  </si>
  <si>
    <t>Molina Hernández</t>
  </si>
  <si>
    <t>Molina Vásquez</t>
  </si>
  <si>
    <t>Karla Monserrat</t>
  </si>
  <si>
    <t>Mondragon Delgado</t>
  </si>
  <si>
    <t>Nicole Sarahi</t>
  </si>
  <si>
    <t>Mondragón Vazquez</t>
  </si>
  <si>
    <t>Melissa Alejandra</t>
  </si>
  <si>
    <t>Monroy Flores</t>
  </si>
  <si>
    <t>Monroy Gaytan</t>
  </si>
  <si>
    <t>Monroy Núñez</t>
  </si>
  <si>
    <t>Monsalve Ruiz</t>
  </si>
  <si>
    <t>Alix Ximena</t>
  </si>
  <si>
    <t>Montalvo Martínez</t>
  </si>
  <si>
    <t>Naisel</t>
  </si>
  <si>
    <t>Montaño Sánchez</t>
  </si>
  <si>
    <t>Montero Leal</t>
  </si>
  <si>
    <t>Laura Mariana</t>
  </si>
  <si>
    <t>Montero Pozada</t>
  </si>
  <si>
    <t>Montes de Oca Méndez</t>
  </si>
  <si>
    <t>Montes Magaña</t>
  </si>
  <si>
    <t>Montes Morales</t>
  </si>
  <si>
    <t>Montes Soto</t>
  </si>
  <si>
    <t>Tania Valentina</t>
  </si>
  <si>
    <t>Montiel Farfán</t>
  </si>
  <si>
    <t>Héctor</t>
  </si>
  <si>
    <t>Montoya Figueroa</t>
  </si>
  <si>
    <t>Montoya García</t>
  </si>
  <si>
    <t>Montoya Hernandez</t>
  </si>
  <si>
    <t>Saymin</t>
  </si>
  <si>
    <t>Montoya Morales</t>
  </si>
  <si>
    <t>Constanza Sofía</t>
  </si>
  <si>
    <t>Monzalvo Loza</t>
  </si>
  <si>
    <t>Itzel Paulina</t>
  </si>
  <si>
    <t>Mora Flores</t>
  </si>
  <si>
    <t>Xochitl</t>
  </si>
  <si>
    <t>Mora Hidalgo</t>
  </si>
  <si>
    <t>Luis Alexis</t>
  </si>
  <si>
    <t>Mora Reyes</t>
  </si>
  <si>
    <t>Morales Aguilar</t>
  </si>
  <si>
    <t>Morales Bautista</t>
  </si>
  <si>
    <t>Morales Carreto</t>
  </si>
  <si>
    <t>Mishel</t>
  </si>
  <si>
    <t>Morales Castañeda</t>
  </si>
  <si>
    <t>Valeria del Carmen</t>
  </si>
  <si>
    <t>Morales Ch vez</t>
  </si>
  <si>
    <t>Edith Lili</t>
  </si>
  <si>
    <t>Morales de la Torre</t>
  </si>
  <si>
    <t>Cecilia Gabriela</t>
  </si>
  <si>
    <t>Morales De la Vega</t>
  </si>
  <si>
    <t>Claudia Vianney</t>
  </si>
  <si>
    <t>Morales Díaz</t>
  </si>
  <si>
    <t>Morales Gandara</t>
  </si>
  <si>
    <t>Morales Hernández</t>
  </si>
  <si>
    <t>Estephania</t>
  </si>
  <si>
    <t>Morales Mestre</t>
  </si>
  <si>
    <t>Mitzy Margarette</t>
  </si>
  <si>
    <t>Morales Montero</t>
  </si>
  <si>
    <t>Uri David</t>
  </si>
  <si>
    <t>Morales Máximo</t>
  </si>
  <si>
    <t>Brianda Aleydi</t>
  </si>
  <si>
    <t>Morales Ortíz</t>
  </si>
  <si>
    <t>Jesús Adrián</t>
  </si>
  <si>
    <t>Morales Sánchez</t>
  </si>
  <si>
    <t>Karel Adolfo</t>
  </si>
  <si>
    <t>Morales Victoria</t>
  </si>
  <si>
    <t>Jesús Alejandro</t>
  </si>
  <si>
    <t>Morales Zoletto</t>
  </si>
  <si>
    <t>Moran Mendez</t>
  </si>
  <si>
    <t>Alessandra Zamary</t>
  </si>
  <si>
    <t>Moranchel Hernández</t>
  </si>
  <si>
    <t>Mara Aly</t>
  </si>
  <si>
    <t>Morando Reyes</t>
  </si>
  <si>
    <t>César Ivan</t>
  </si>
  <si>
    <t>Morante Ortega</t>
  </si>
  <si>
    <t>Moreno Betancourt</t>
  </si>
  <si>
    <t>Juan Ram¢n</t>
  </si>
  <si>
    <t>Moreno Carmona</t>
  </si>
  <si>
    <t>Moreno Castera</t>
  </si>
  <si>
    <t>Job</t>
  </si>
  <si>
    <t>Moreno Figueroa</t>
  </si>
  <si>
    <t>Marisol</t>
  </si>
  <si>
    <t>Moreno Guraieb</t>
  </si>
  <si>
    <t>Moreno Morales</t>
  </si>
  <si>
    <t>Moreno Muñiz</t>
  </si>
  <si>
    <t>Moreno Reyes</t>
  </si>
  <si>
    <t>Moreno Robles</t>
  </si>
  <si>
    <t>Carlos Augusto</t>
  </si>
  <si>
    <t>Gibran</t>
  </si>
  <si>
    <t>Moreno Salvador</t>
  </si>
  <si>
    <t>Moreno San Luis</t>
  </si>
  <si>
    <t>Mario Armando</t>
  </si>
  <si>
    <t>Moreno Valle Pandal</t>
  </si>
  <si>
    <t>Morgan Penagos</t>
  </si>
  <si>
    <t>Leonardo de Jesús</t>
  </si>
  <si>
    <t>Morán Cuéllar</t>
  </si>
  <si>
    <t>Morán Martínez</t>
  </si>
  <si>
    <t>Muciño Castillo</t>
  </si>
  <si>
    <t>Alexandra</t>
  </si>
  <si>
    <t>Murillo Hernández</t>
  </si>
  <si>
    <t>José Hiram</t>
  </si>
  <si>
    <t>Muycelo Ramírez</t>
  </si>
  <si>
    <t>Muñiz Abascal</t>
  </si>
  <si>
    <t>Muñoz Avendaño</t>
  </si>
  <si>
    <t>Muñoz Cortés</t>
  </si>
  <si>
    <t>Alicia Claudine</t>
  </si>
  <si>
    <t>Muñoz Domínguez</t>
  </si>
  <si>
    <t>Alejandra Caridad</t>
  </si>
  <si>
    <t>Muñoz Faustino</t>
  </si>
  <si>
    <t>Muñoz Fergadis</t>
  </si>
  <si>
    <t>José Miguel</t>
  </si>
  <si>
    <t>Muñoz Hernández</t>
  </si>
  <si>
    <t>José Aaron</t>
  </si>
  <si>
    <t>Muñoz Martínez</t>
  </si>
  <si>
    <t>Muñoz Salgado</t>
  </si>
  <si>
    <t>Vanessa Jael</t>
  </si>
  <si>
    <t>Márquez Altamirano</t>
  </si>
  <si>
    <t>Márquez Benita</t>
  </si>
  <si>
    <t>Kyara Patricia</t>
  </si>
  <si>
    <t>Márquez Dresser</t>
  </si>
  <si>
    <t>Méndez Nataren</t>
  </si>
  <si>
    <t>Hada Esmeralda</t>
  </si>
  <si>
    <t>Méndez Sánchez</t>
  </si>
  <si>
    <t>Fabrizzio</t>
  </si>
  <si>
    <t>Méndez Vega</t>
  </si>
  <si>
    <t>Melanie Abigail</t>
  </si>
  <si>
    <t>Nacer López</t>
  </si>
  <si>
    <t>Randa</t>
  </si>
  <si>
    <t>Nava González</t>
  </si>
  <si>
    <t>Nava Landin</t>
  </si>
  <si>
    <t>Pedro Jesús</t>
  </si>
  <si>
    <t>Nava Reyes</t>
  </si>
  <si>
    <t>Kelin Michel</t>
  </si>
  <si>
    <t>Navarrete Romero</t>
  </si>
  <si>
    <t>Dana</t>
  </si>
  <si>
    <t>Navarrete Vasconcelos</t>
  </si>
  <si>
    <t>Navarro Aguirre</t>
  </si>
  <si>
    <t>Damaris Atalia</t>
  </si>
  <si>
    <t>Navarro Martínez</t>
  </si>
  <si>
    <t>Naxi Moyotl</t>
  </si>
  <si>
    <t>Neri Ledezma</t>
  </si>
  <si>
    <t>Luis Humberto</t>
  </si>
  <si>
    <t>Niembro Muñoz</t>
  </si>
  <si>
    <t>Felipe de Jesús</t>
  </si>
  <si>
    <t>Nieves Valenzuela</t>
  </si>
  <si>
    <t>Nochebuena Reyes</t>
  </si>
  <si>
    <t>Nolasco Solis</t>
  </si>
  <si>
    <t>Brenda Karen</t>
  </si>
  <si>
    <t>Noriega Herrera</t>
  </si>
  <si>
    <t>Noriega Merlo</t>
  </si>
  <si>
    <t>Javier Enrique</t>
  </si>
  <si>
    <t>Noriega Palomares</t>
  </si>
  <si>
    <t>Nuñez Feria</t>
  </si>
  <si>
    <t>Andrea Yatzari</t>
  </si>
  <si>
    <t>Nuñez Salinas</t>
  </si>
  <si>
    <t>Jorge Humberto</t>
  </si>
  <si>
    <t>Núñez Cabrera</t>
  </si>
  <si>
    <t>Anet Paola</t>
  </si>
  <si>
    <t>Núñez Palacios</t>
  </si>
  <si>
    <t>Ochoa Contreras</t>
  </si>
  <si>
    <t>Ochoa Hernández</t>
  </si>
  <si>
    <t>Ochoa Martínez</t>
  </si>
  <si>
    <t>Ochoa Núñez</t>
  </si>
  <si>
    <t>Camila Daniela</t>
  </si>
  <si>
    <t>Ochoa Ramírez</t>
  </si>
  <si>
    <t>Yavne</t>
  </si>
  <si>
    <t>Ochoa Romero</t>
  </si>
  <si>
    <t>Maximileano</t>
  </si>
  <si>
    <t>Ocomatl Flores</t>
  </si>
  <si>
    <t>Ojeda Diaz</t>
  </si>
  <si>
    <t>Ojeda Lauper</t>
  </si>
  <si>
    <t>Jorge Alberto</t>
  </si>
  <si>
    <t>Ojeda Olivares</t>
  </si>
  <si>
    <t>Ojeda Solá</t>
  </si>
  <si>
    <t>Ojeda Sánchez</t>
  </si>
  <si>
    <t>Nancy</t>
  </si>
  <si>
    <t>Olarte González</t>
  </si>
  <si>
    <t>Olguín Olvera</t>
  </si>
  <si>
    <t>Oliva Cacique</t>
  </si>
  <si>
    <t>Claudia Itzel</t>
  </si>
  <si>
    <t>Oliva Cruz</t>
  </si>
  <si>
    <t>Daisy Dara</t>
  </si>
  <si>
    <t>Olivares Leal</t>
  </si>
  <si>
    <t>Olivares Torres</t>
  </si>
  <si>
    <t>Hugo</t>
  </si>
  <si>
    <t>Ollivier Ochoa</t>
  </si>
  <si>
    <t>Olmedo Santos</t>
  </si>
  <si>
    <t>Olvera Ricardi</t>
  </si>
  <si>
    <t>Ono Ikegami</t>
  </si>
  <si>
    <t>Ordaz Hernández</t>
  </si>
  <si>
    <t>Axel Mauricio</t>
  </si>
  <si>
    <t>Ordaz López</t>
  </si>
  <si>
    <t>Orduño Luna</t>
  </si>
  <si>
    <t>Concepción</t>
  </si>
  <si>
    <t>Orea Arenas</t>
  </si>
  <si>
    <t>Aldo Sergio</t>
  </si>
  <si>
    <t>Orea Hernández</t>
  </si>
  <si>
    <t>Alejandro Sebastián</t>
  </si>
  <si>
    <t>Orellana Vargas</t>
  </si>
  <si>
    <t>Ariel</t>
  </si>
  <si>
    <t>Oria Montero</t>
  </si>
  <si>
    <t>Juan Ramón</t>
  </si>
  <si>
    <t>Origel Munguía</t>
  </si>
  <si>
    <t>Emir</t>
  </si>
  <si>
    <t>Orlanzino Zago</t>
  </si>
  <si>
    <t>Jaqueline</t>
  </si>
  <si>
    <t>Orozco Cuevas</t>
  </si>
  <si>
    <t>Estela</t>
  </si>
  <si>
    <t>Orozco Flores</t>
  </si>
  <si>
    <t>Orozco Sánchez</t>
  </si>
  <si>
    <t>Ortega Caballero</t>
  </si>
  <si>
    <t>Luz Mariana</t>
  </si>
  <si>
    <t>Ortega Cisneros</t>
  </si>
  <si>
    <t>Ortega Garcia</t>
  </si>
  <si>
    <t>Ortega Gómez</t>
  </si>
  <si>
    <t>Ortega Martinez</t>
  </si>
  <si>
    <t>Clarissa Lisset</t>
  </si>
  <si>
    <t>Polet Esmeralda</t>
  </si>
  <si>
    <t>Ortega Poshotyan</t>
  </si>
  <si>
    <t>Nuné</t>
  </si>
  <si>
    <t>Ortega Pérez</t>
  </si>
  <si>
    <t>Ortega Silva</t>
  </si>
  <si>
    <t>Ortiz Alejandro</t>
  </si>
  <si>
    <t>Mario Arturo</t>
  </si>
  <si>
    <t>Ortiz de Montellano Torres</t>
  </si>
  <si>
    <t>Ortiz Martínez</t>
  </si>
  <si>
    <t>Elvia Marcela</t>
  </si>
  <si>
    <t>Ortiz Medel</t>
  </si>
  <si>
    <t>Issac</t>
  </si>
  <si>
    <t>Ortiz Triana</t>
  </si>
  <si>
    <t>Ortiz Tunal</t>
  </si>
  <si>
    <t>Sebastián Enrique</t>
  </si>
  <si>
    <t>Ortiz Villaseñor</t>
  </si>
  <si>
    <t>Berenice Citlalic</t>
  </si>
  <si>
    <t>Ortuno</t>
  </si>
  <si>
    <t>Yulissa</t>
  </si>
  <si>
    <t>Osorio Ceballos</t>
  </si>
  <si>
    <t>José de Jesús</t>
  </si>
  <si>
    <t>Osorio Cortés</t>
  </si>
  <si>
    <t>Osorio Guevara</t>
  </si>
  <si>
    <t>Osorio Mendoza</t>
  </si>
  <si>
    <t>Ospina Bueno</t>
  </si>
  <si>
    <t>Oviedo Oropeza</t>
  </si>
  <si>
    <t>Gerardo Emiliano</t>
  </si>
  <si>
    <t>Oyuela Núñez</t>
  </si>
  <si>
    <t>David Alberto</t>
  </si>
  <si>
    <t>Pablo Garrido</t>
  </si>
  <si>
    <t>Pacheco Arvizu</t>
  </si>
  <si>
    <t>Emilio de Jesús</t>
  </si>
  <si>
    <t>Pacheco Balc zar</t>
  </si>
  <si>
    <t>Veronica</t>
  </si>
  <si>
    <t>Pacheco Delfín</t>
  </si>
  <si>
    <t>Pacheco Morán</t>
  </si>
  <si>
    <t>Pacheco Perey</t>
  </si>
  <si>
    <t>María Carolina</t>
  </si>
  <si>
    <t>Padilla Chaparro</t>
  </si>
  <si>
    <t>José Pastor</t>
  </si>
  <si>
    <t>Padilla Fernández</t>
  </si>
  <si>
    <t>César Augusto</t>
  </si>
  <si>
    <t>Padilla Jiménez</t>
  </si>
  <si>
    <t>Ada Fernanda</t>
  </si>
  <si>
    <t>Padilla Limón</t>
  </si>
  <si>
    <t>Luis Daniel</t>
  </si>
  <si>
    <t>Padilla Soberón</t>
  </si>
  <si>
    <t>Padilla Varea</t>
  </si>
  <si>
    <t>Paez Marlasca</t>
  </si>
  <si>
    <t>Oriol</t>
  </si>
  <si>
    <t>Palacios Azúa</t>
  </si>
  <si>
    <t>Silvia Valeria</t>
  </si>
  <si>
    <t>Palero Herrero</t>
  </si>
  <si>
    <t>Palomas Vélez</t>
  </si>
  <si>
    <t>Panduro Reyes</t>
  </si>
  <si>
    <t>José Angel</t>
  </si>
  <si>
    <t>Pantoja Medina</t>
  </si>
  <si>
    <t>Paredes Cabrera</t>
  </si>
  <si>
    <t>Ahtziry Alejandra</t>
  </si>
  <si>
    <t>Paredes Nuñez</t>
  </si>
  <si>
    <t>Paredes Perez</t>
  </si>
  <si>
    <t>Marina Lizeth</t>
  </si>
  <si>
    <t>Paredes Villegas</t>
  </si>
  <si>
    <t>Parizot Hernández</t>
  </si>
  <si>
    <t>Etienne</t>
  </si>
  <si>
    <t>Parra García</t>
  </si>
  <si>
    <t>Parra Melchor</t>
  </si>
  <si>
    <t>Sol Astrid</t>
  </si>
  <si>
    <t>Partido Hernández</t>
  </si>
  <si>
    <t>Pasquel Seijas</t>
  </si>
  <si>
    <t>Nathalie Valentina</t>
  </si>
  <si>
    <t>Patiño Torres</t>
  </si>
  <si>
    <t>Luz Alexia</t>
  </si>
  <si>
    <t>Payán Martínez</t>
  </si>
  <si>
    <t>Sofía Alejandra</t>
  </si>
  <si>
    <t>Paz Zamora</t>
  </si>
  <si>
    <t>Kelly Guadalupe</t>
  </si>
  <si>
    <t>Pedraza De León</t>
  </si>
  <si>
    <t>Pedroche Zehenny</t>
  </si>
  <si>
    <t>Pejenaute García</t>
  </si>
  <si>
    <t>Leyre</t>
  </si>
  <si>
    <t>Peláez Samperio</t>
  </si>
  <si>
    <t>Perea Ibarra</t>
  </si>
  <si>
    <t>Efrén</t>
  </si>
  <si>
    <t>Perea Martínez</t>
  </si>
  <si>
    <t>Sofia Guadalupe</t>
  </si>
  <si>
    <t>Perea Vázquez</t>
  </si>
  <si>
    <t>Julieta</t>
  </si>
  <si>
    <t>Pereda Aguado</t>
  </si>
  <si>
    <t>Iván Enrique</t>
  </si>
  <si>
    <t>Peregrina De La Fuente</t>
  </si>
  <si>
    <t>Peregrino Ruiz</t>
  </si>
  <si>
    <t>Mariano Efrain</t>
  </si>
  <si>
    <t>Perera Martínez</t>
  </si>
  <si>
    <t>César Manuel</t>
  </si>
  <si>
    <t>Perez Aguirre</t>
  </si>
  <si>
    <t>Arlette Johanna</t>
  </si>
  <si>
    <t>Perez Hijar</t>
  </si>
  <si>
    <t>Perez Ritschl</t>
  </si>
  <si>
    <t>Petriz Guzmán</t>
  </si>
  <si>
    <t>Juan Antonio</t>
  </si>
  <si>
    <t>Peña Cervantes</t>
  </si>
  <si>
    <t>José Daniel</t>
  </si>
  <si>
    <t>Peña Corzo</t>
  </si>
  <si>
    <t>José Iván</t>
  </si>
  <si>
    <t>Philipp Gutiérrez</t>
  </si>
  <si>
    <t>Xennia Yaidy</t>
  </si>
  <si>
    <t>Pimentel Godínez</t>
  </si>
  <si>
    <t>Pimienta Flores</t>
  </si>
  <si>
    <t>Ángel Adrián</t>
  </si>
  <si>
    <t>Pineda Morales</t>
  </si>
  <si>
    <t>Carlos Santiago</t>
  </si>
  <si>
    <t>Pineda Sampieri</t>
  </si>
  <si>
    <t>Pinto Santiago</t>
  </si>
  <si>
    <t>María Ximena</t>
  </si>
  <si>
    <t>Piscil Acuña</t>
  </si>
  <si>
    <t>Edwin</t>
  </si>
  <si>
    <t>Piñón Vásquez</t>
  </si>
  <si>
    <t>Sinaí Monserrat</t>
  </si>
  <si>
    <t>Planter Félix</t>
  </si>
  <si>
    <t>Plaza Flores</t>
  </si>
  <si>
    <t>Jocelyn Gisef</t>
  </si>
  <si>
    <t>Polanco Domínguez</t>
  </si>
  <si>
    <t>Jorge Roberto</t>
  </si>
  <si>
    <t>Ponce Alejandre</t>
  </si>
  <si>
    <t>Sergio Emilio</t>
  </si>
  <si>
    <t>Ponce Bonfil</t>
  </si>
  <si>
    <t>Ponce Cortés</t>
  </si>
  <si>
    <t>Claudia Haydée</t>
  </si>
  <si>
    <t>Ponce De León Perez Del Razo</t>
  </si>
  <si>
    <t>Ponce Elias</t>
  </si>
  <si>
    <t>Arianne</t>
  </si>
  <si>
    <t>Ponce Gerring</t>
  </si>
  <si>
    <t>Ponce Palacios</t>
  </si>
  <si>
    <t>Esmeralda</t>
  </si>
  <si>
    <t>Ponce Reyes</t>
  </si>
  <si>
    <t>María de Guadalupe</t>
  </si>
  <si>
    <t>Poo Rugarcía</t>
  </si>
  <si>
    <t>Popoca Galindo</t>
  </si>
  <si>
    <t>Aurelio</t>
  </si>
  <si>
    <t>Portocarrero Ramos</t>
  </si>
  <si>
    <t>Priede Vila</t>
  </si>
  <si>
    <t>Valentina</t>
  </si>
  <si>
    <t>Prisco Gómez</t>
  </si>
  <si>
    <t>Pro White</t>
  </si>
  <si>
    <t>Procel Mart¡nez</t>
  </si>
  <si>
    <t>Prol Casillas</t>
  </si>
  <si>
    <t>Puch Ramos</t>
  </si>
  <si>
    <t>Sara Valeria</t>
  </si>
  <si>
    <t>Puente Aburto</t>
  </si>
  <si>
    <t>Puente Infante</t>
  </si>
  <si>
    <t>Pulido Balandra</t>
  </si>
  <si>
    <t>Elena María</t>
  </si>
  <si>
    <t>Purón Sandoval</t>
  </si>
  <si>
    <t>Pérez Alcalá</t>
  </si>
  <si>
    <t>Pérez Aquino</t>
  </si>
  <si>
    <t>Karla Paola</t>
  </si>
  <si>
    <t>Pérez Arana</t>
  </si>
  <si>
    <t>Pérez Arroyo</t>
  </si>
  <si>
    <t>Pérez Bernal</t>
  </si>
  <si>
    <t>Pérez Campa</t>
  </si>
  <si>
    <t>Carlos Fernando</t>
  </si>
  <si>
    <t>Pérez Carmona</t>
  </si>
  <si>
    <t>Pérez Carrillo</t>
  </si>
  <si>
    <t>Pérez Cota</t>
  </si>
  <si>
    <t>Pérez del Valle</t>
  </si>
  <si>
    <t>Salma Samai</t>
  </si>
  <si>
    <t>Pérez Fernández</t>
  </si>
  <si>
    <t>Fátima Itzel</t>
  </si>
  <si>
    <t>Pérez Félix</t>
  </si>
  <si>
    <t>Ana Paola</t>
  </si>
  <si>
    <t>Pérez Galván</t>
  </si>
  <si>
    <t>Pérez García</t>
  </si>
  <si>
    <t>Alessandro</t>
  </si>
  <si>
    <t>José Jesús</t>
  </si>
  <si>
    <t>Yadira Joseelin</t>
  </si>
  <si>
    <t>Pérez Gómez</t>
  </si>
  <si>
    <t>Holcan Esteban</t>
  </si>
  <si>
    <t>Pérez Hernández</t>
  </si>
  <si>
    <t>Arturo Javier</t>
  </si>
  <si>
    <t>Jose Erick</t>
  </si>
  <si>
    <t>Pérez Licea Hedrick</t>
  </si>
  <si>
    <t>Naomi Joanna</t>
  </si>
  <si>
    <t>Pérez Linares</t>
  </si>
  <si>
    <t>América Anaid</t>
  </si>
  <si>
    <t>Pérez Llave</t>
  </si>
  <si>
    <t>Pérez Lobato</t>
  </si>
  <si>
    <t>Pérez López</t>
  </si>
  <si>
    <t>Pérez Martínez</t>
  </si>
  <si>
    <t>Carlos Yael</t>
  </si>
  <si>
    <t>Pérez Mendoza</t>
  </si>
  <si>
    <t>Eduardo Arturo</t>
  </si>
  <si>
    <t>Pérez Meneses</t>
  </si>
  <si>
    <t>Giovanna</t>
  </si>
  <si>
    <t>Pérez Mercado</t>
  </si>
  <si>
    <t>Daniel Alexander</t>
  </si>
  <si>
    <t>Fernanda Karina</t>
  </si>
  <si>
    <t>Pérez Montiel</t>
  </si>
  <si>
    <t>Benjamin</t>
  </si>
  <si>
    <t>Pérez Perfecto</t>
  </si>
  <si>
    <t>Pérez Peña</t>
  </si>
  <si>
    <t>Pérez Prol</t>
  </si>
  <si>
    <t>José Benito</t>
  </si>
  <si>
    <t>Pérez Pérez</t>
  </si>
  <si>
    <t>Pérez Ramos</t>
  </si>
  <si>
    <t>Yael</t>
  </si>
  <si>
    <t>Pérez Rico</t>
  </si>
  <si>
    <t>Jesús Eduardo</t>
  </si>
  <si>
    <t>Pérez Rivera</t>
  </si>
  <si>
    <t>Vanessa</t>
  </si>
  <si>
    <t>Pérez Rodríguez</t>
  </si>
  <si>
    <t>Pérez Romo</t>
  </si>
  <si>
    <t>Pérez Sagarra</t>
  </si>
  <si>
    <t>Jorge Miguel</t>
  </si>
  <si>
    <t>Pérez Salazar Barranco</t>
  </si>
  <si>
    <t>Alvaro</t>
  </si>
  <si>
    <t>Pérez Sarmiento</t>
  </si>
  <si>
    <t>Jokebed Cristina</t>
  </si>
  <si>
    <t>Pérez Soto</t>
  </si>
  <si>
    <t>Jenifer Guadalupe</t>
  </si>
  <si>
    <t>Pérez Sánchez</t>
  </si>
  <si>
    <t>Karen Itzel</t>
  </si>
  <si>
    <t>Luis Felipe</t>
  </si>
  <si>
    <t>Pérez Trejo</t>
  </si>
  <si>
    <t>Claudia</t>
  </si>
  <si>
    <t>Pérez Trujillo</t>
  </si>
  <si>
    <t>José Martín</t>
  </si>
  <si>
    <t>Pérez Tzompantzi</t>
  </si>
  <si>
    <t>Alan Miguel</t>
  </si>
  <si>
    <t>Pérez Urquieta</t>
  </si>
  <si>
    <t>Zabdi Paulina</t>
  </si>
  <si>
    <t>Pérez Zaldívar</t>
  </si>
  <si>
    <t>Gabriela</t>
  </si>
  <si>
    <t>Quechol Aca</t>
  </si>
  <si>
    <t>Quechol Maciel</t>
  </si>
  <si>
    <t>Kate</t>
  </si>
  <si>
    <t>Quevedo Hernández</t>
  </si>
  <si>
    <t>Quezada Alvarado</t>
  </si>
  <si>
    <t>Cristopher Bernardo</t>
  </si>
  <si>
    <t>Quian Moo</t>
  </si>
  <si>
    <t>Narcedalia</t>
  </si>
  <si>
    <t>Quintero Rivas</t>
  </si>
  <si>
    <t>Quiroz Alvarado</t>
  </si>
  <si>
    <t>Mariana Sofía</t>
  </si>
  <si>
    <t>Quiroz Apud</t>
  </si>
  <si>
    <t>Quiroz Porras</t>
  </si>
  <si>
    <t>Iván Osvaldo</t>
  </si>
  <si>
    <t>Quiroz Rodríguez</t>
  </si>
  <si>
    <t>Quiñones Corona</t>
  </si>
  <si>
    <t>Verónica</t>
  </si>
  <si>
    <t>Quiñones Ramírez</t>
  </si>
  <si>
    <t>Radilla Marb n</t>
  </si>
  <si>
    <t>Jos Roberto</t>
  </si>
  <si>
    <t>Ramirez Balderas</t>
  </si>
  <si>
    <t>Ramirez Galdeano</t>
  </si>
  <si>
    <t>Ramirez Garcia</t>
  </si>
  <si>
    <t>Anyel</t>
  </si>
  <si>
    <t>Ramos Bermeo</t>
  </si>
  <si>
    <t>Christopher David</t>
  </si>
  <si>
    <t>Ramos De la Rosa</t>
  </si>
  <si>
    <t>Nilia</t>
  </si>
  <si>
    <t>Ramos García</t>
  </si>
  <si>
    <t>Ramos Hernández</t>
  </si>
  <si>
    <t>Ramos Justo</t>
  </si>
  <si>
    <t>Rosalinda</t>
  </si>
  <si>
    <t>Ramos Luna</t>
  </si>
  <si>
    <t>Katy Estefanía</t>
  </si>
  <si>
    <t>Ram¡rez Polanco</t>
  </si>
  <si>
    <t>Omar Ismael</t>
  </si>
  <si>
    <t>Ramírez Balcázar</t>
  </si>
  <si>
    <t>Dolores Alexandra</t>
  </si>
  <si>
    <t>Ramírez Cerón</t>
  </si>
  <si>
    <t>María de Jesús</t>
  </si>
  <si>
    <t>Ramírez Cuaxiloa</t>
  </si>
  <si>
    <t>Ramírez Córdova</t>
  </si>
  <si>
    <t>Annel Atziri</t>
  </si>
  <si>
    <t>Ramírez Flores</t>
  </si>
  <si>
    <t>Ramírez Garzón</t>
  </si>
  <si>
    <t>Ramírez Gross</t>
  </si>
  <si>
    <t>Ramírez Hernández</t>
  </si>
  <si>
    <t>Ramírez Novelo</t>
  </si>
  <si>
    <t>Ramírez Paredes</t>
  </si>
  <si>
    <t>Ramírez Ramírez</t>
  </si>
  <si>
    <t>Paulino David</t>
  </si>
  <si>
    <t>Ramírez Rascón</t>
  </si>
  <si>
    <t>Ramírez Robles</t>
  </si>
  <si>
    <t>Ramírez Rodriguez</t>
  </si>
  <si>
    <t>Ramírez Rojas</t>
  </si>
  <si>
    <t>Ramírez Romero</t>
  </si>
  <si>
    <t>Ramírez Salazar</t>
  </si>
  <si>
    <t>Andrea Monserrat</t>
  </si>
  <si>
    <t>Ramírez Villanueva</t>
  </si>
  <si>
    <t>Sugey Itzayana</t>
  </si>
  <si>
    <t>Ramírez Vázquez</t>
  </si>
  <si>
    <t>Iván Alberto</t>
  </si>
  <si>
    <t>Rangel Camacho</t>
  </si>
  <si>
    <t>Adriana Paola</t>
  </si>
  <si>
    <t>Rangel Coronado</t>
  </si>
  <si>
    <t>Rangel Reyes</t>
  </si>
  <si>
    <t>Rascón Sangri</t>
  </si>
  <si>
    <t>Mateo</t>
  </si>
  <si>
    <t>Ravelo Vega</t>
  </si>
  <si>
    <t>Rebollar Farcieth</t>
  </si>
  <si>
    <t>Rebolledo López</t>
  </si>
  <si>
    <t>Rebolledo Sastr</t>
  </si>
  <si>
    <t>Rebollo Mercado</t>
  </si>
  <si>
    <t>Neftali</t>
  </si>
  <si>
    <t>Reigadas Berentsen</t>
  </si>
  <si>
    <t>Reinoso Diaz Barriga</t>
  </si>
  <si>
    <t>Requejo Ibarra</t>
  </si>
  <si>
    <t>Mariangela</t>
  </si>
  <si>
    <t>Resendi Hernández</t>
  </si>
  <si>
    <t>Reséndiz Hernández</t>
  </si>
  <si>
    <t>Reyes Cabrera</t>
  </si>
  <si>
    <t>Suani Mercedes</t>
  </si>
  <si>
    <t>Reyes Castelan</t>
  </si>
  <si>
    <t>Reyes del Valle</t>
  </si>
  <si>
    <t>Jalmar Jael</t>
  </si>
  <si>
    <t>Reyes Garci Crespo</t>
  </si>
  <si>
    <t>Reyes García</t>
  </si>
  <si>
    <t>Reyes Gayosso</t>
  </si>
  <si>
    <t>Karen Abril</t>
  </si>
  <si>
    <t>Reyes Montor</t>
  </si>
  <si>
    <t>Damaris Bet-Sua</t>
  </si>
  <si>
    <t>Reyes Osorio</t>
  </si>
  <si>
    <t>Eder Yael</t>
  </si>
  <si>
    <t>Reyes Ramírez</t>
  </si>
  <si>
    <t>Zazi Victoria</t>
  </si>
  <si>
    <t>Reyes Rivera</t>
  </si>
  <si>
    <t>Reyes Romero</t>
  </si>
  <si>
    <t>Christopher Anibal</t>
  </si>
  <si>
    <t>Reyes Ruiz</t>
  </si>
  <si>
    <t>Fabian</t>
  </si>
  <si>
    <t>Reyes Tapia</t>
  </si>
  <si>
    <t>Stephani</t>
  </si>
  <si>
    <t>Reyes Téllez</t>
  </si>
  <si>
    <t>Guadalupe Montserrat</t>
  </si>
  <si>
    <t>Reyes Vaquera</t>
  </si>
  <si>
    <t>Priscila</t>
  </si>
  <si>
    <t>Reyes-Coria Esper</t>
  </si>
  <si>
    <t>Reyna Hernandez</t>
  </si>
  <si>
    <t>Riaño Espinoza</t>
  </si>
  <si>
    <t>Rincon Nava</t>
  </si>
  <si>
    <t>Jennyfer Andrea</t>
  </si>
  <si>
    <t>Rios Ordaz</t>
  </si>
  <si>
    <t>Rioseco Sanjuan</t>
  </si>
  <si>
    <t>Riosmena Angeles</t>
  </si>
  <si>
    <t>Riquelme Carballido</t>
  </si>
  <si>
    <t>Agustín</t>
  </si>
  <si>
    <t>Rivas Martínez</t>
  </si>
  <si>
    <t>Rivera Bombardier</t>
  </si>
  <si>
    <t>Sebastian Alejandro</t>
  </si>
  <si>
    <t>Rivera Cedeño</t>
  </si>
  <si>
    <t>Rivera Díaz</t>
  </si>
  <si>
    <t>Rivera Fuentes</t>
  </si>
  <si>
    <t>Daniela Estefanía</t>
  </si>
  <si>
    <t>Rivera Gonzalez</t>
  </si>
  <si>
    <t>Rivera González</t>
  </si>
  <si>
    <t>Ángel Rodolfo</t>
  </si>
  <si>
    <t>Rivera Guzman</t>
  </si>
  <si>
    <t>Rivera Polvo</t>
  </si>
  <si>
    <t>Itzel Guadalupe</t>
  </si>
  <si>
    <t>Rivera Rivero</t>
  </si>
  <si>
    <t>Rivera Robles</t>
  </si>
  <si>
    <t>Giovanni</t>
  </si>
  <si>
    <t>Rivera Rodríguez</t>
  </si>
  <si>
    <t>Dora Cristina</t>
  </si>
  <si>
    <t>Rivera Romero</t>
  </si>
  <si>
    <t>Rivera Urrutia</t>
  </si>
  <si>
    <t>Rivera Vazquez</t>
  </si>
  <si>
    <t>Madai</t>
  </si>
  <si>
    <t>Rivera Villamil</t>
  </si>
  <si>
    <t>Irving</t>
  </si>
  <si>
    <t>Rivera Vázquez</t>
  </si>
  <si>
    <t>Rivero Farías</t>
  </si>
  <si>
    <t>Rivero Mejía</t>
  </si>
  <si>
    <t>Rafael Eduardo</t>
  </si>
  <si>
    <t>Riveros Reina</t>
  </si>
  <si>
    <t>Manuela</t>
  </si>
  <si>
    <t>Robles D Amico</t>
  </si>
  <si>
    <t>Andrés Antonio</t>
  </si>
  <si>
    <t>Robles Gaspar</t>
  </si>
  <si>
    <t>Robles Miranda</t>
  </si>
  <si>
    <t>Robles Nasta</t>
  </si>
  <si>
    <t>Robles Pérez</t>
  </si>
  <si>
    <t>Robles Tepetla</t>
  </si>
  <si>
    <t>Braulio Iván</t>
  </si>
  <si>
    <t>Robles Yasumura</t>
  </si>
  <si>
    <t>Mauricio Azael</t>
  </si>
  <si>
    <t>Víctor Hugo</t>
  </si>
  <si>
    <t>Rocha Solares</t>
  </si>
  <si>
    <t>Rocha Villa</t>
  </si>
  <si>
    <t>Jorge Arturo</t>
  </si>
  <si>
    <t>Rodoreda Rodríguez</t>
  </si>
  <si>
    <t>Rodriguez Barrera</t>
  </si>
  <si>
    <t>Jaime Arturo</t>
  </si>
  <si>
    <t>Rodriguez Jurado</t>
  </si>
  <si>
    <t>Rodriguez Perez</t>
  </si>
  <si>
    <t>Anette Michel</t>
  </si>
  <si>
    <t>Rodriguez Urquijo</t>
  </si>
  <si>
    <t>Mauricio Alejandro</t>
  </si>
  <si>
    <t>Rodriguez Ventura</t>
  </si>
  <si>
    <t>Rodriguez Villagarcia</t>
  </si>
  <si>
    <t>Rodríguez Arteaga</t>
  </si>
  <si>
    <t>Rodríguez Azpe</t>
  </si>
  <si>
    <t>Rodríguez Bernal</t>
  </si>
  <si>
    <t>Rodríguez Castañeda</t>
  </si>
  <si>
    <t>Marcos Augusto</t>
  </si>
  <si>
    <t>Rodríguez Corona</t>
  </si>
  <si>
    <t>Rodríguez Cortés</t>
  </si>
  <si>
    <t>Lucía</t>
  </si>
  <si>
    <t>Rodríguez De la Torre</t>
  </si>
  <si>
    <t>Rodríguez Escudero</t>
  </si>
  <si>
    <t>Hannia</t>
  </si>
  <si>
    <t>Rodríguez Fernández</t>
  </si>
  <si>
    <t>Rodríguez García</t>
  </si>
  <si>
    <t>Rodríguez Guerra</t>
  </si>
  <si>
    <t>Rodríguez Guevara</t>
  </si>
  <si>
    <t>Yaret Ofelia</t>
  </si>
  <si>
    <t>Rodríguez Hernández</t>
  </si>
  <si>
    <t>Paloma</t>
  </si>
  <si>
    <t>Rodríguez Jiménez</t>
  </si>
  <si>
    <t>Efrén Arquímides</t>
  </si>
  <si>
    <t>Rodríguez Martínez</t>
  </si>
  <si>
    <t>Santiago Raúl</t>
  </si>
  <si>
    <t>Rodríguez Marín</t>
  </si>
  <si>
    <t>Rodríguez Medina</t>
  </si>
  <si>
    <t>Rodríguez Mercado</t>
  </si>
  <si>
    <t>Rodríguez Moreno</t>
  </si>
  <si>
    <t>Víctor</t>
  </si>
  <si>
    <t>Rodríguez Pedroche</t>
  </si>
  <si>
    <t>Rodríguez Pliego</t>
  </si>
  <si>
    <t>Rodríguez Pérez</t>
  </si>
  <si>
    <t>Jesús Efrain</t>
  </si>
  <si>
    <t>Rodríguez Ramírez</t>
  </si>
  <si>
    <t>Luz Regina</t>
  </si>
  <si>
    <t>Manuel Eduardo</t>
  </si>
  <si>
    <t>Stefanny</t>
  </si>
  <si>
    <t>Rodríguez Rodríguez</t>
  </si>
  <si>
    <t>Karen Mariel</t>
  </si>
  <si>
    <t>Rodríguez Romo</t>
  </si>
  <si>
    <t>Rodríguez Sanromán</t>
  </si>
  <si>
    <t>Rodríguez Santiago</t>
  </si>
  <si>
    <t>María Isabel</t>
  </si>
  <si>
    <t>Rodríguez Tanús</t>
  </si>
  <si>
    <t>Rodríguez Tello</t>
  </si>
  <si>
    <t>Ivonne</t>
  </si>
  <si>
    <t>Rodríguez Torres</t>
  </si>
  <si>
    <t>Rodríguez Vicens</t>
  </si>
  <si>
    <t>Lesly</t>
  </si>
  <si>
    <t>Rodríguez Vázquez</t>
  </si>
  <si>
    <t>Rodríguez Álvarez</t>
  </si>
  <si>
    <t>Amaury André</t>
  </si>
  <si>
    <t>Rogel Ayala</t>
  </si>
  <si>
    <t>Rojas Bonilla</t>
  </si>
  <si>
    <t>Edmundo Salvador</t>
  </si>
  <si>
    <t>Rojas Del Ángel</t>
  </si>
  <si>
    <t>Rojas García</t>
  </si>
  <si>
    <t>Rojas Rechy</t>
  </si>
  <si>
    <t>Zarey</t>
  </si>
  <si>
    <t>Rojas Zurita</t>
  </si>
  <si>
    <t>Roldán Ochoa</t>
  </si>
  <si>
    <t>Diana Paola</t>
  </si>
  <si>
    <t>Romano Martínez</t>
  </si>
  <si>
    <t>Romera García</t>
  </si>
  <si>
    <t>Katia</t>
  </si>
  <si>
    <t>Romero Bartolo</t>
  </si>
  <si>
    <t>Romero Bolanos</t>
  </si>
  <si>
    <t>Romero Cota</t>
  </si>
  <si>
    <t>Romero Espinoza</t>
  </si>
  <si>
    <t>Romero Garcia</t>
  </si>
  <si>
    <t>Jesus Rodrigo</t>
  </si>
  <si>
    <t>Romero Gómez</t>
  </si>
  <si>
    <t>Romero Hernández</t>
  </si>
  <si>
    <t>Fabiola Ivonne</t>
  </si>
  <si>
    <t>Romero Magadán</t>
  </si>
  <si>
    <t>Angélica Magdiel</t>
  </si>
  <si>
    <t>Romero Minchaca</t>
  </si>
  <si>
    <t>Romero Mora</t>
  </si>
  <si>
    <t>Laura Marlene</t>
  </si>
  <si>
    <t>Romero Nava</t>
  </si>
  <si>
    <t>Romero Ortega</t>
  </si>
  <si>
    <t>Miriam</t>
  </si>
  <si>
    <t>Romero Ortiz</t>
  </si>
  <si>
    <t>Andrea Margarita</t>
  </si>
  <si>
    <t>Romero Rodr¡guez</t>
  </si>
  <si>
    <t>Johana Andrea</t>
  </si>
  <si>
    <t>Ronzón Jáuregui</t>
  </si>
  <si>
    <t>Nubia Teresa</t>
  </si>
  <si>
    <t>Rosales Bortolotti</t>
  </si>
  <si>
    <t>Rosales Huitron</t>
  </si>
  <si>
    <t>Emilio Javier</t>
  </si>
  <si>
    <t>Rosales Luna</t>
  </si>
  <si>
    <t>Rosales Nájera</t>
  </si>
  <si>
    <t>María José Valentina</t>
  </si>
  <si>
    <t>Rosales Padrón</t>
  </si>
  <si>
    <t>Alondra</t>
  </si>
  <si>
    <t>Rosas Bustamante</t>
  </si>
  <si>
    <t>Diego Armando</t>
  </si>
  <si>
    <t>Rosas Luna</t>
  </si>
  <si>
    <t>Iv n Alejandro</t>
  </si>
  <si>
    <t>Rosas Ortega</t>
  </si>
  <si>
    <t>Rosas Polin</t>
  </si>
  <si>
    <t>Rosas Rosas</t>
  </si>
  <si>
    <t>Rosas Tlaczani</t>
  </si>
  <si>
    <t>Jonathan Eliasib</t>
  </si>
  <si>
    <t>Rosete Jiménez</t>
  </si>
  <si>
    <t>Rosette Palacios</t>
  </si>
  <si>
    <t>Joel Ignacio</t>
  </si>
  <si>
    <t>Rothenhofer Espinosa</t>
  </si>
  <si>
    <t>Rubio González</t>
  </si>
  <si>
    <t>Mauricio Alberto</t>
  </si>
  <si>
    <t>Rueda Thompson</t>
  </si>
  <si>
    <t>Rugarcia Buergo</t>
  </si>
  <si>
    <t>Rugerio Tapia</t>
  </si>
  <si>
    <t>Jose Pablo</t>
  </si>
  <si>
    <t>Ruiz González</t>
  </si>
  <si>
    <t>Ruiz Mondragón</t>
  </si>
  <si>
    <t>Ruiz Rugerio</t>
  </si>
  <si>
    <t>Ruz Miranda</t>
  </si>
  <si>
    <t>Ruíz Broca</t>
  </si>
  <si>
    <t>Aldo Antonio</t>
  </si>
  <si>
    <t>Ruíz Cerro</t>
  </si>
  <si>
    <t>Ruíz Ruíz</t>
  </si>
  <si>
    <t>María Paula</t>
  </si>
  <si>
    <t>Ríos Ortíz</t>
  </si>
  <si>
    <t>Laura Ximena</t>
  </si>
  <si>
    <t>Sabugo Vélez</t>
  </si>
  <si>
    <t>Sadurni Lira</t>
  </si>
  <si>
    <t>Saenz Zayas</t>
  </si>
  <si>
    <t>Salas De León</t>
  </si>
  <si>
    <t>Alondra Naomi</t>
  </si>
  <si>
    <t>Salazar González</t>
  </si>
  <si>
    <t>Enid</t>
  </si>
  <si>
    <t>Salazar Gudiño</t>
  </si>
  <si>
    <t>Tessa Nahian</t>
  </si>
  <si>
    <t>Salazar Hurtado</t>
  </si>
  <si>
    <t>Mariana Danae</t>
  </si>
  <si>
    <t>Salazar Mar</t>
  </si>
  <si>
    <t>Salazar Mendoza</t>
  </si>
  <si>
    <t>Ana Claudia</t>
  </si>
  <si>
    <t>Salazar Ortega</t>
  </si>
  <si>
    <t>Salazar Rosas</t>
  </si>
  <si>
    <t>Saldaña Noriega</t>
  </si>
  <si>
    <t>René</t>
  </si>
  <si>
    <t>Saldaña Pacheco</t>
  </si>
  <si>
    <t>Jonatan</t>
  </si>
  <si>
    <t>Salgado Cabrera</t>
  </si>
  <si>
    <t>Mónica Daniela</t>
  </si>
  <si>
    <t>Salgado De Anda</t>
  </si>
  <si>
    <t>María Teresa</t>
  </si>
  <si>
    <t>Salgado Granados</t>
  </si>
  <si>
    <t>Tania Carolina</t>
  </si>
  <si>
    <t>Salgado Juárez</t>
  </si>
  <si>
    <t>Salgado López</t>
  </si>
  <si>
    <t>Salinas Azpeitia</t>
  </si>
  <si>
    <t>Salinas González</t>
  </si>
  <si>
    <t>Salmerón Justo</t>
  </si>
  <si>
    <t>Noel Alejandro</t>
  </si>
  <si>
    <t>Salomón Jiménez</t>
  </si>
  <si>
    <t>Salvador Castrejón</t>
  </si>
  <si>
    <t>Salvatori González</t>
  </si>
  <si>
    <t>Samberino Tamayo</t>
  </si>
  <si>
    <t>San Martin Pizzolotto</t>
  </si>
  <si>
    <t>San Román Lugo</t>
  </si>
  <si>
    <t>José Alfredo</t>
  </si>
  <si>
    <t>Sanabria Santiago</t>
  </si>
  <si>
    <t>Sanchez</t>
  </si>
  <si>
    <t>Marian Rubi</t>
  </si>
  <si>
    <t>Sanchez Arroyo</t>
  </si>
  <si>
    <t>Sanchez Cruz</t>
  </si>
  <si>
    <t>Anette Paola</t>
  </si>
  <si>
    <t>Sanchez Gamboa</t>
  </si>
  <si>
    <t>Sanchez Ruiz</t>
  </si>
  <si>
    <t>Julio Arturo</t>
  </si>
  <si>
    <t>Sandoval García</t>
  </si>
  <si>
    <t>Sandoval Guevara</t>
  </si>
  <si>
    <t>Emmanuel Esau</t>
  </si>
  <si>
    <t>Sandoval Mata</t>
  </si>
  <si>
    <t>Daniel Imanol</t>
  </si>
  <si>
    <t>Sanromán Torres</t>
  </si>
  <si>
    <t>Santaella Rendón</t>
  </si>
  <si>
    <t>Jesús Fernando</t>
  </si>
  <si>
    <t>Santamaría Morales</t>
  </si>
  <si>
    <t>Santiago Jarquín</t>
  </si>
  <si>
    <t>Fabián Daniel</t>
  </si>
  <si>
    <t>Santiago Vázquez</t>
  </si>
  <si>
    <t>Santiesteban Gali</t>
  </si>
  <si>
    <t>Paula Dinorah</t>
  </si>
  <si>
    <t>Santillán Hernández</t>
  </si>
  <si>
    <t>Santos Ballester Moncada</t>
  </si>
  <si>
    <t>Yves</t>
  </si>
  <si>
    <t>Santos Madrid</t>
  </si>
  <si>
    <t>Sanz Alvarez</t>
  </si>
  <si>
    <t>María del Mar</t>
  </si>
  <si>
    <t>Sarabia García</t>
  </si>
  <si>
    <t>Saravia Pérez</t>
  </si>
  <si>
    <t>Sarzo Wabi</t>
  </si>
  <si>
    <t>Saucedo Hernández</t>
  </si>
  <si>
    <t>Damián</t>
  </si>
  <si>
    <t>Saucedo Lozano</t>
  </si>
  <si>
    <t>Schettino Martinez</t>
  </si>
  <si>
    <t>Genaro</t>
  </si>
  <si>
    <t>Segura Rojas</t>
  </si>
  <si>
    <t>Daniel Ramón</t>
  </si>
  <si>
    <t>Seleguan Bader</t>
  </si>
  <si>
    <t>Semperlotti Bautista</t>
  </si>
  <si>
    <t>Shanat</t>
  </si>
  <si>
    <t>Senties Tostado</t>
  </si>
  <si>
    <t>Seres Cortés</t>
  </si>
  <si>
    <t>Andrea Ivette</t>
  </si>
  <si>
    <t>Serrano Navarro</t>
  </si>
  <si>
    <t>Serrano Ortiz</t>
  </si>
  <si>
    <t>Jorge Braulio</t>
  </si>
  <si>
    <t>Serrano Reyes</t>
  </si>
  <si>
    <t>Gerardo Christian</t>
  </si>
  <si>
    <t>Serrano Valdés</t>
  </si>
  <si>
    <t>Brenda Mishelle</t>
  </si>
  <si>
    <t>Serrato Rodríguez</t>
  </si>
  <si>
    <t>Serrato Solano</t>
  </si>
  <si>
    <t>Diona</t>
  </si>
  <si>
    <t>Serratos Arriaga</t>
  </si>
  <si>
    <t>Salma Elizabeth</t>
  </si>
  <si>
    <t>Serret Sandoval</t>
  </si>
  <si>
    <t>Setzer Clemente</t>
  </si>
  <si>
    <t>Federico Jesús</t>
  </si>
  <si>
    <t>Seynos Alvarado</t>
  </si>
  <si>
    <t>Sierra Varela</t>
  </si>
  <si>
    <t>María Michelle</t>
  </si>
  <si>
    <t>Silva Sánchez</t>
  </si>
  <si>
    <t>Siordia Bautista</t>
  </si>
  <si>
    <t>Smaniotto Flores</t>
  </si>
  <si>
    <t>Cassandra</t>
  </si>
  <si>
    <t>Soberanis Maciel</t>
  </si>
  <si>
    <t>Oster Denilson</t>
  </si>
  <si>
    <t>Socci Rodríguez</t>
  </si>
  <si>
    <t>Solano Martínez</t>
  </si>
  <si>
    <t>Solis Díaz</t>
  </si>
  <si>
    <t>Cinthya</t>
  </si>
  <si>
    <t>Solís Badillo</t>
  </si>
  <si>
    <t>Solís Balandra</t>
  </si>
  <si>
    <t>Solís Ocampo</t>
  </si>
  <si>
    <t>Sordo Flores</t>
  </si>
  <si>
    <t>Arad Alejandro</t>
  </si>
  <si>
    <t>Soria Gómez</t>
  </si>
  <si>
    <t>Soria Hernández</t>
  </si>
  <si>
    <t>Juan De Dios</t>
  </si>
  <si>
    <t>Soriano Barragán</t>
  </si>
  <si>
    <t>Haziel</t>
  </si>
  <si>
    <t>Sosa Aldecoa</t>
  </si>
  <si>
    <t>Sosa Delgado</t>
  </si>
  <si>
    <t>Heidi Adhara</t>
  </si>
  <si>
    <t>Sosa Garrido</t>
  </si>
  <si>
    <t>Sosa Ham</t>
  </si>
  <si>
    <t>Antonio Alejandro</t>
  </si>
  <si>
    <t>Sosa Lagunes</t>
  </si>
  <si>
    <t>Sosa Luna</t>
  </si>
  <si>
    <t>Hector Ramon</t>
  </si>
  <si>
    <t>Sosa Martínez</t>
  </si>
  <si>
    <t>Ericka</t>
  </si>
  <si>
    <t>Sosa Ramírez</t>
  </si>
  <si>
    <t>Amilcar</t>
  </si>
  <si>
    <t>Soto Chavarría</t>
  </si>
  <si>
    <t>Sharon</t>
  </si>
  <si>
    <t>Soto Fernández</t>
  </si>
  <si>
    <t>Soto Herrera</t>
  </si>
  <si>
    <t>Sophia Renata</t>
  </si>
  <si>
    <t>Soto Pérez</t>
  </si>
  <si>
    <t>Soto Santiago</t>
  </si>
  <si>
    <t>Mayra Patricia</t>
  </si>
  <si>
    <t>Soto Wiedfeldt</t>
  </si>
  <si>
    <t>Adrián</t>
  </si>
  <si>
    <t>Stefanoni Zanella</t>
  </si>
  <si>
    <t>Sternberg Modolo</t>
  </si>
  <si>
    <t>Sophia</t>
  </si>
  <si>
    <t>Strano Chavez Cardenas</t>
  </si>
  <si>
    <t>Francesca</t>
  </si>
  <si>
    <t>Suárez Sánchez</t>
  </si>
  <si>
    <t>Sandra Carolina</t>
  </si>
  <si>
    <t>Sánchez Almonte</t>
  </si>
  <si>
    <t>César Oscar</t>
  </si>
  <si>
    <t>Sánchez Arronte</t>
  </si>
  <si>
    <t>Sánchez Bretón</t>
  </si>
  <si>
    <t>Sánchez Burgos</t>
  </si>
  <si>
    <t>Dania Xquenda</t>
  </si>
  <si>
    <t>Sánchez Campos</t>
  </si>
  <si>
    <t>Julia</t>
  </si>
  <si>
    <t>Sánchez Cano</t>
  </si>
  <si>
    <t>Sánchez de León Rodríguez</t>
  </si>
  <si>
    <t>Michel</t>
  </si>
  <si>
    <t>Sánchez Delgadillo</t>
  </si>
  <si>
    <t>Mario Joel</t>
  </si>
  <si>
    <t>Sánchez Fernández</t>
  </si>
  <si>
    <t>Sánchez Gil</t>
  </si>
  <si>
    <t>Sánchez González</t>
  </si>
  <si>
    <t>Sánchez Guadarrama</t>
  </si>
  <si>
    <t>Sánchez Juárez</t>
  </si>
  <si>
    <t>Sánchez Kirchner</t>
  </si>
  <si>
    <t>Bárbara</t>
  </si>
  <si>
    <t>Sánchez León</t>
  </si>
  <si>
    <t>Lidia Gabriela</t>
  </si>
  <si>
    <t>Sánchez López</t>
  </si>
  <si>
    <t>Sánchez Marcial</t>
  </si>
  <si>
    <t>Sánchez Miñón</t>
  </si>
  <si>
    <t>Aylin</t>
  </si>
  <si>
    <t>Sánchez Montiel</t>
  </si>
  <si>
    <t>Sánchez Morales</t>
  </si>
  <si>
    <t>Fabián</t>
  </si>
  <si>
    <t>Sánchez Méndez</t>
  </si>
  <si>
    <t>Sánchez Oliver</t>
  </si>
  <si>
    <t>Sánchez Pablo</t>
  </si>
  <si>
    <t>Sánchez Palomo</t>
  </si>
  <si>
    <t>José Andrés</t>
  </si>
  <si>
    <t>Sánchez Paqui</t>
  </si>
  <si>
    <t>Sánchez Pérez</t>
  </si>
  <si>
    <t>Yarely</t>
  </si>
  <si>
    <t>Sánchez Reyes</t>
  </si>
  <si>
    <t>Sánchez Rodríguez</t>
  </si>
  <si>
    <t>Josafat Israel</t>
  </si>
  <si>
    <t>Sánchez Romero</t>
  </si>
  <si>
    <t>Sánchez Sánchez</t>
  </si>
  <si>
    <t>Luis Jesús</t>
  </si>
  <si>
    <t>Sánchez Teutli</t>
  </si>
  <si>
    <t>Sánchez Torres</t>
  </si>
  <si>
    <t>Sánchez Valencia</t>
  </si>
  <si>
    <t>Rommel Francisco</t>
  </si>
  <si>
    <t>Sánchez Vázquez</t>
  </si>
  <si>
    <t>Sánchez Zacatzontel</t>
  </si>
  <si>
    <t>Tablero Gomez</t>
  </si>
  <si>
    <t>Wilfredo Rafael</t>
  </si>
  <si>
    <t>Tacomo Vidal</t>
  </si>
  <si>
    <t>Mitzi</t>
  </si>
  <si>
    <t>Taja Sánchez</t>
  </si>
  <si>
    <t>Takeda Aguirre</t>
  </si>
  <si>
    <t>Maximiliano Shinnosuke</t>
  </si>
  <si>
    <t>Tapia Cadena</t>
  </si>
  <si>
    <t>Naomi Stephania</t>
  </si>
  <si>
    <t>Tapia Castrejón</t>
  </si>
  <si>
    <t>Marian Carolina</t>
  </si>
  <si>
    <t>Tapia Cruz</t>
  </si>
  <si>
    <t>Tapia Tapia</t>
  </si>
  <si>
    <t>Tapia Villa</t>
  </si>
  <si>
    <t>Tarin Duran</t>
  </si>
  <si>
    <t>Marco André</t>
  </si>
  <si>
    <t>Taylor Sagahon</t>
  </si>
  <si>
    <t>Andrea Lilian</t>
  </si>
  <si>
    <t>Teapila Toxqui</t>
  </si>
  <si>
    <t>Tecpoyotl Cuaxiloa</t>
  </si>
  <si>
    <t>Tecpoyotl López</t>
  </si>
  <si>
    <t>Teixeira Correau</t>
  </si>
  <si>
    <t>Tejeda Cohetero</t>
  </si>
  <si>
    <t>Donovan</t>
  </si>
  <si>
    <t>Tejeda Venegas</t>
  </si>
  <si>
    <t>Telez Osorio</t>
  </si>
  <si>
    <t>Oliver</t>
  </si>
  <si>
    <t>Tellez Guzmán</t>
  </si>
  <si>
    <t>Geraldine Michel</t>
  </si>
  <si>
    <t>Tello Arenas</t>
  </si>
  <si>
    <t>Gabriel Andrés</t>
  </si>
  <si>
    <t>Tello Correa</t>
  </si>
  <si>
    <t>Tenorio Gamboa</t>
  </si>
  <si>
    <t>Francisco Leopoldo</t>
  </si>
  <si>
    <t>Fátima Guadalupe</t>
  </si>
  <si>
    <t>Tenorio Ponce</t>
  </si>
  <si>
    <t>Litza Varinia</t>
  </si>
  <si>
    <t>Teodoro Escudero</t>
  </si>
  <si>
    <t>Mildred</t>
  </si>
  <si>
    <t>Tepetl Gómez</t>
  </si>
  <si>
    <t>Tepole Ginez</t>
  </si>
  <si>
    <t>Terron Mondragon</t>
  </si>
  <si>
    <t>Theurel Hernández</t>
  </si>
  <si>
    <t>Tiburcio Pérez</t>
  </si>
  <si>
    <t>Tlacuilo Rueda</t>
  </si>
  <si>
    <t>Dulce Encarnación</t>
  </si>
  <si>
    <t>Tlahuiz Ruiz</t>
  </si>
  <si>
    <t>Tlaiye Peredo</t>
  </si>
  <si>
    <t>Tlaiye Pescador</t>
  </si>
  <si>
    <t>Tlalpa Quintanilla</t>
  </si>
  <si>
    <t>Jorge Daniel</t>
  </si>
  <si>
    <t>Tlamani Toxqui</t>
  </si>
  <si>
    <t>Anayeli</t>
  </si>
  <si>
    <t>Tlapa Rangel</t>
  </si>
  <si>
    <t>Tlatelpa Acevedo</t>
  </si>
  <si>
    <t>Guadalupe</t>
  </si>
  <si>
    <t>Tlatelpa Castañeda</t>
  </si>
  <si>
    <t>Brenda Maria</t>
  </si>
  <si>
    <t>Tlelo Teutle</t>
  </si>
  <si>
    <t>Tochimani Cuautle</t>
  </si>
  <si>
    <t>Toledo Caldera</t>
  </si>
  <si>
    <t>Toledo Wall</t>
  </si>
  <si>
    <t>Armando Esaú</t>
  </si>
  <si>
    <t>Tom Linares</t>
  </si>
  <si>
    <t>Toriz Buendia</t>
  </si>
  <si>
    <t>Angel Agustin</t>
  </si>
  <si>
    <t>Torres Aguilar</t>
  </si>
  <si>
    <t>Jordi</t>
  </si>
  <si>
    <t>Torres Almazán</t>
  </si>
  <si>
    <t>Torres Barrios</t>
  </si>
  <si>
    <t>Torres Cantú</t>
  </si>
  <si>
    <t>Claudio Emiliano</t>
  </si>
  <si>
    <t>Torres Carreño</t>
  </si>
  <si>
    <t>Torres Lara</t>
  </si>
  <si>
    <t>Torres Martínez</t>
  </si>
  <si>
    <t>Ana Cristina</t>
  </si>
  <si>
    <t>Torres Maya</t>
  </si>
  <si>
    <t>Torres Paredes</t>
  </si>
  <si>
    <t>Torres Ramírez</t>
  </si>
  <si>
    <t>Cristian</t>
  </si>
  <si>
    <t>Torres Sánchez</t>
  </si>
  <si>
    <t>Mildreth Aidé</t>
  </si>
  <si>
    <t>Torres Tello</t>
  </si>
  <si>
    <t>Johana Michelle</t>
  </si>
  <si>
    <t>Torrijos Castillo</t>
  </si>
  <si>
    <t>Tovar Rocabado</t>
  </si>
  <si>
    <t>Andrés Daniel</t>
  </si>
  <si>
    <t>Toxqui Martínez</t>
  </si>
  <si>
    <t>Toxqui Toxqui</t>
  </si>
  <si>
    <t>Evelyn Citlalli</t>
  </si>
  <si>
    <t>Toxtle Campos</t>
  </si>
  <si>
    <t>Toxtle Mancilla</t>
  </si>
  <si>
    <t>Trejo Rodríguez</t>
  </si>
  <si>
    <t>Natalia Valentina</t>
  </si>
  <si>
    <t>Trespalacios González</t>
  </si>
  <si>
    <t>Treviño Martínez</t>
  </si>
  <si>
    <t>Eugenio</t>
  </si>
  <si>
    <t>Trujillo Ramírez</t>
  </si>
  <si>
    <t>Trujillo Reyes</t>
  </si>
  <si>
    <t>Uc Avalos</t>
  </si>
  <si>
    <t>Vania Lorena</t>
  </si>
  <si>
    <t>Urbina Castruita</t>
  </si>
  <si>
    <t>Medardo Angel</t>
  </si>
  <si>
    <t>Urbina García</t>
  </si>
  <si>
    <t>Uresti Rios</t>
  </si>
  <si>
    <t>Uriostegui Merino</t>
  </si>
  <si>
    <t>Urtusuástegui Guerrero</t>
  </si>
  <si>
    <t>Ana María</t>
  </si>
  <si>
    <t>Valadez Escalante</t>
  </si>
  <si>
    <t>Valderrabano Goicoechea</t>
  </si>
  <si>
    <t>Valderrama Vázquez</t>
  </si>
  <si>
    <t>Jorge Elton</t>
  </si>
  <si>
    <t>Valdes Muñoz</t>
  </si>
  <si>
    <t>Bertha Irais</t>
  </si>
  <si>
    <t>Valdes Torres</t>
  </si>
  <si>
    <t>Valdez Cervantes</t>
  </si>
  <si>
    <t>Mauricio Henry</t>
  </si>
  <si>
    <t>Valdovinos Ramírez</t>
  </si>
  <si>
    <t>Melisa</t>
  </si>
  <si>
    <t>Valdés Valdés</t>
  </si>
  <si>
    <t>Valencia Tescucano</t>
  </si>
  <si>
    <t>Valerdi Jacobo</t>
  </si>
  <si>
    <t>Manuel Alejandro</t>
  </si>
  <si>
    <t>Valladares Alvay</t>
  </si>
  <si>
    <t>Mayra Paola</t>
  </si>
  <si>
    <t>Vallejo Pérez</t>
  </si>
  <si>
    <t>Valverde Fraga</t>
  </si>
  <si>
    <t>Solange</t>
  </si>
  <si>
    <t>Van Dam López</t>
  </si>
  <si>
    <t>Varela Salgado</t>
  </si>
  <si>
    <t>Varela Venegas</t>
  </si>
  <si>
    <t>Vargas Austin</t>
  </si>
  <si>
    <t>César Roberto</t>
  </si>
  <si>
    <t>Vargas Espinosa</t>
  </si>
  <si>
    <t>Arath</t>
  </si>
  <si>
    <t>Vargas Garc¡a</t>
  </si>
  <si>
    <t>V¡ctor Antonio</t>
  </si>
  <si>
    <t>Vargas López</t>
  </si>
  <si>
    <t>Vargas MartInez</t>
  </si>
  <si>
    <t>Vargas Montalvo</t>
  </si>
  <si>
    <t>Angel Daniel</t>
  </si>
  <si>
    <t>Vargas Rivero</t>
  </si>
  <si>
    <t>Mayra Judith</t>
  </si>
  <si>
    <t>Vargas Romero</t>
  </si>
  <si>
    <t>Aarón</t>
  </si>
  <si>
    <t>Vargas Zarza</t>
  </si>
  <si>
    <t>Laura Andrea</t>
  </si>
  <si>
    <t>Vazquez Arroyo</t>
  </si>
  <si>
    <t>Vazquez Bautista</t>
  </si>
  <si>
    <t>Alexis Jared</t>
  </si>
  <si>
    <t>Vazquez Lagunes</t>
  </si>
  <si>
    <t>Eduardo Daniel</t>
  </si>
  <si>
    <t>Vazquez Salomon</t>
  </si>
  <si>
    <t>Vazquéz López</t>
  </si>
  <si>
    <t>Gerardo Miguel</t>
  </si>
  <si>
    <t>Vega Cuamatzi</t>
  </si>
  <si>
    <t>Vega Gutiérrez</t>
  </si>
  <si>
    <t>Vega Peralta</t>
  </si>
  <si>
    <t>Velasco Hernández</t>
  </si>
  <si>
    <t>Denise Alexandra</t>
  </si>
  <si>
    <t>Eduardo Roberto</t>
  </si>
  <si>
    <t>Velazquez Mainou</t>
  </si>
  <si>
    <t>Velez Bustos</t>
  </si>
  <si>
    <t>Vel zquez Garc¡a</t>
  </si>
  <si>
    <t>Velázquez Cabrera</t>
  </si>
  <si>
    <t>Kevin de Jesús</t>
  </si>
  <si>
    <t>Velázquez Corona</t>
  </si>
  <si>
    <t>Velázquez de León Julián</t>
  </si>
  <si>
    <t>Kiara</t>
  </si>
  <si>
    <t>Velázquez Demetrio</t>
  </si>
  <si>
    <t>Velázquez Pozos</t>
  </si>
  <si>
    <t>Rodolfo Antonio</t>
  </si>
  <si>
    <t>Vera Agüera</t>
  </si>
  <si>
    <t>Melanie</t>
  </si>
  <si>
    <t>Vera Ordoñez</t>
  </si>
  <si>
    <t>Daira Marcela</t>
  </si>
  <si>
    <t>Vera Ramírez</t>
  </si>
  <si>
    <t>Vera Ruiz</t>
  </si>
  <si>
    <t>Francisco Emmanuel</t>
  </si>
  <si>
    <t>Vergara Cruz</t>
  </si>
  <si>
    <t>Briana Daniela</t>
  </si>
  <si>
    <t>Vergara Juárez</t>
  </si>
  <si>
    <t>Martha Sofía</t>
  </si>
  <si>
    <t>Vicencio Aguilar</t>
  </si>
  <si>
    <t>Victoria Ruiz</t>
  </si>
  <si>
    <t>Victorio Avendaño</t>
  </si>
  <si>
    <t>Angel Jesus</t>
  </si>
  <si>
    <t>Vicuña García</t>
  </si>
  <si>
    <t>Soledad Alejandra</t>
  </si>
  <si>
    <t>Vilchis Rodríguez</t>
  </si>
  <si>
    <t>Villa Flores</t>
  </si>
  <si>
    <t>fvilla</t>
  </si>
  <si>
    <t>fVilla</t>
  </si>
  <si>
    <t>Villa Issa Campos</t>
  </si>
  <si>
    <t>Claudette</t>
  </si>
  <si>
    <t>Villa Lombardero</t>
  </si>
  <si>
    <t>Villa Risso</t>
  </si>
  <si>
    <t>Villa Santana</t>
  </si>
  <si>
    <t>Villafaña García</t>
  </si>
  <si>
    <t>Villagómez Ríos</t>
  </si>
  <si>
    <t>Villalba Alvarado</t>
  </si>
  <si>
    <t>Villarreal Estrada</t>
  </si>
  <si>
    <t>Carmen Andrea</t>
  </si>
  <si>
    <t>Villegas Zamora</t>
  </si>
  <si>
    <t>Javier Alejandro</t>
  </si>
  <si>
    <t>Viscencio Martínez</t>
  </si>
  <si>
    <t>César Octavio</t>
  </si>
  <si>
    <t>Viveros Hernández</t>
  </si>
  <si>
    <t>Jose Carlos</t>
  </si>
  <si>
    <t>Vizcarra Gutiérrez</t>
  </si>
  <si>
    <t>Gustavo Adrian</t>
  </si>
  <si>
    <t>Vizcaya Alvarez</t>
  </si>
  <si>
    <t>Diana Sofia</t>
  </si>
  <si>
    <t>Vossler Molina</t>
  </si>
  <si>
    <t>Alessa</t>
  </si>
  <si>
    <t>Vázquez Alvarado</t>
  </si>
  <si>
    <t>Vázquez Arenas</t>
  </si>
  <si>
    <t>Levi</t>
  </si>
  <si>
    <t>Vázquez Carrasco</t>
  </si>
  <si>
    <t>Celia Mariana</t>
  </si>
  <si>
    <t>Gael Manuel</t>
  </si>
  <si>
    <t>Vázquez Cruz</t>
  </si>
  <si>
    <t>Alondra Abigail</t>
  </si>
  <si>
    <t>Vázquez de Lara Canseco</t>
  </si>
  <si>
    <t>Vázquez Esponda</t>
  </si>
  <si>
    <t>Vázquez Le´Blanc</t>
  </si>
  <si>
    <t>Vázquez López</t>
  </si>
  <si>
    <t>Mariana Alejandra</t>
  </si>
  <si>
    <t>Vázquez Magdaleno</t>
  </si>
  <si>
    <t>Vázquez Novelo</t>
  </si>
  <si>
    <t>Michelle Monserratt</t>
  </si>
  <si>
    <t>Vázquez Quiroz</t>
  </si>
  <si>
    <t>Diyinitza</t>
  </si>
  <si>
    <t>Wade González</t>
  </si>
  <si>
    <t>Jorge Alán</t>
  </si>
  <si>
    <t>Wainstein Padilla</t>
  </si>
  <si>
    <t>Marcos</t>
  </si>
  <si>
    <t>Walls Esper</t>
  </si>
  <si>
    <t>Isabella</t>
  </si>
  <si>
    <t>Wappler Barragán</t>
  </si>
  <si>
    <t>Watanabe García Colín</t>
  </si>
  <si>
    <t>Harumi</t>
  </si>
  <si>
    <t>Winckler Huber</t>
  </si>
  <si>
    <t>Xicale Pérez</t>
  </si>
  <si>
    <t>Vianey Andrea</t>
  </si>
  <si>
    <t>Xicohtencatl Ramírez</t>
  </si>
  <si>
    <t>Ximena Rocio</t>
  </si>
  <si>
    <t>Xinto Sánchez</t>
  </si>
  <si>
    <t>Osvaldo</t>
  </si>
  <si>
    <t>Xochitiotzin Galindo</t>
  </si>
  <si>
    <t>Carolina Fernanda</t>
  </si>
  <si>
    <t>Yepez Balderas</t>
  </si>
  <si>
    <t>Yáñez González</t>
  </si>
  <si>
    <t>Zacatlán Reyes</t>
  </si>
  <si>
    <t>César Ariel</t>
  </si>
  <si>
    <t>Zacatzontetl Huelitl</t>
  </si>
  <si>
    <t>Itzel Daniela</t>
  </si>
  <si>
    <t>Zainos Rocha</t>
  </si>
  <si>
    <t>Eduardo Emilio</t>
  </si>
  <si>
    <t>Zamarripa Ancona</t>
  </si>
  <si>
    <t>Iván Eliezer</t>
  </si>
  <si>
    <t>Zamora Rosales</t>
  </si>
  <si>
    <t>Zamora Vázquez</t>
  </si>
  <si>
    <t>Ingrid Andrea</t>
  </si>
  <si>
    <t>Zamora Zaragoza</t>
  </si>
  <si>
    <t>Zamorano Perez</t>
  </si>
  <si>
    <t>Zanella Roldán</t>
  </si>
  <si>
    <t>Zapata Hernández</t>
  </si>
  <si>
    <t>Zaraboso Ruiz</t>
  </si>
  <si>
    <t>Zavala Isais</t>
  </si>
  <si>
    <t>Zavala Miranda</t>
  </si>
  <si>
    <t>Alondra Esperanza</t>
  </si>
  <si>
    <t>Zavaleta Romero</t>
  </si>
  <si>
    <t>Zehenny Maurer</t>
  </si>
  <si>
    <t>Diego Gabriel</t>
  </si>
  <si>
    <t>Zempoaltecatl Cardona</t>
  </si>
  <si>
    <t>Zenteno López</t>
  </si>
  <si>
    <t>Zepeda González</t>
  </si>
  <si>
    <t>Hector Emiliano</t>
  </si>
  <si>
    <t>Zepeda Haaz</t>
  </si>
  <si>
    <t>Maraya</t>
  </si>
  <si>
    <t>Zerecero Catzalco</t>
  </si>
  <si>
    <t>Aline Victoria</t>
  </si>
  <si>
    <t>Zorrilla García</t>
  </si>
  <si>
    <t>Zorrilla Serrato</t>
  </si>
  <si>
    <t>Adán</t>
  </si>
  <si>
    <t>Zuno Muro</t>
  </si>
  <si>
    <t>Zurita Alcazar</t>
  </si>
  <si>
    <t>Zurita González</t>
  </si>
  <si>
    <t>Cielo</t>
  </si>
  <si>
    <t>Sol</t>
  </si>
  <si>
    <t>Zurita Luis</t>
  </si>
  <si>
    <t>María de los Ángeles</t>
  </si>
  <si>
    <t>Zurita Marmolejo</t>
  </si>
  <si>
    <t>Sergio Emiliano</t>
  </si>
  <si>
    <t>Zurita Ventura</t>
  </si>
  <si>
    <t>Fernando Jose</t>
  </si>
  <si>
    <t>Zuñiga Arenas</t>
  </si>
  <si>
    <t>Zúñiga Ramírez</t>
  </si>
  <si>
    <t>Águila López</t>
  </si>
  <si>
    <t>Cristian Josafat</t>
  </si>
  <si>
    <t>Álvarez Hernández</t>
  </si>
  <si>
    <t>Álvarez Juárez</t>
  </si>
  <si>
    <t>Germán Jared</t>
  </si>
  <si>
    <t>Álvarez Quintero</t>
  </si>
  <si>
    <t>Álvarez Santiago</t>
  </si>
  <si>
    <t>Cristhian Rafael</t>
  </si>
  <si>
    <t>Álvarez Sánchez</t>
  </si>
  <si>
    <t>Karmina</t>
  </si>
  <si>
    <t>Examen 160</t>
  </si>
  <si>
    <t>Examen 120</t>
  </si>
  <si>
    <t>PRESENTÓ</t>
  </si>
  <si>
    <t>PE 160</t>
  </si>
  <si>
    <t>PE 120</t>
  </si>
  <si>
    <t>AP 160</t>
  </si>
  <si>
    <t>AP 120</t>
  </si>
  <si>
    <t>CONJUNTOS</t>
  </si>
  <si>
    <t>NÚMEROS</t>
  </si>
  <si>
    <t>SÍMBOLOS</t>
  </si>
  <si>
    <t>DIAGG1</t>
  </si>
  <si>
    <t>DIAGG2</t>
  </si>
  <si>
    <t>DIAGG3</t>
  </si>
  <si>
    <t>DIAGG4</t>
  </si>
  <si>
    <t>DIAGG5</t>
  </si>
  <si>
    <t>Estudiantes que presentaron el examen</t>
  </si>
  <si>
    <t>Estudiantes que presentaron el examen 160</t>
  </si>
  <si>
    <t>Estudiantes que presentaron el examen 120</t>
  </si>
  <si>
    <t>Estudiantes que aprobaron el examen 160</t>
  </si>
  <si>
    <t>Estudiantes que aprobaron el examen 120</t>
  </si>
  <si>
    <t>Promedio de Conjuntos</t>
  </si>
  <si>
    <t>Promedio de Números</t>
  </si>
  <si>
    <t>Promedio de Símbolos Algebraicos</t>
  </si>
  <si>
    <t>Promedio G1</t>
  </si>
  <si>
    <t>Promedio G2</t>
  </si>
  <si>
    <t>Promedio G3</t>
  </si>
  <si>
    <t>Promedio G4</t>
  </si>
  <si>
    <t>Promedio G5</t>
  </si>
  <si>
    <t>Estudiantes que no presentaron examen</t>
  </si>
  <si>
    <t>Estudiantes que no aprobaron el examen 160</t>
  </si>
  <si>
    <t>Estudiantes que no aprobaron examen 120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</si>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</sst>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que</a:t>
            </a:r>
            <a:r>
              <a:rPr lang="en-US" baseline="0"/>
              <a:t> presentó examen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02-43B2-A106-20E3116C8B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02-43B2-A106-20E3116C8BE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Gráficas!$A$1:$B$1</c:f>
              <c:strCache>
                <c:ptCount val="2"/>
                <c:pt idx="0">
                  <c:v>Estudiantes que no presentaron examen</c:v>
                </c:pt>
                <c:pt idx="1">
                  <c:v>Estudiantes que presentaron el examen</c:v>
                </c:pt>
              </c:strCache>
            </c:strRef>
          </c:cat>
          <c:val>
            <c:numRef>
              <c:f>Gráficas!$A$2:$B$2</c:f>
              <c:numCache>
                <c:formatCode>General</c:formatCode>
                <c:ptCount val="2"/>
                <c:pt idx="0">
                  <c:v>388</c:v>
                </c:pt>
                <c:pt idx="1">
                  <c:v>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3-4AA0-B6AE-5D2D0E3035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examen que presentaron</a:t>
            </a:r>
            <a:endParaRPr lang="es-MX"/>
          </a:p>
        </c:rich>
      </c:tx>
      <c:layout>
        <c:manualLayout>
          <c:xMode val="edge"/>
          <c:yMode val="edge"/>
          <c:x val="0.1689306649168853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4A-4FE8-AEE5-95098B780E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4A-4FE8-AEE5-95098B780E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Gráficas!$C$1:$D$1</c:f>
              <c:strCache>
                <c:ptCount val="2"/>
                <c:pt idx="0">
                  <c:v>Estudiantes que presentaron el examen 160</c:v>
                </c:pt>
                <c:pt idx="1">
                  <c:v>Estudiantes que presentaron el examen 120</c:v>
                </c:pt>
              </c:strCache>
            </c:strRef>
          </c:cat>
          <c:val>
            <c:numRef>
              <c:f>Gráficas!$C$2:$D$2</c:f>
              <c:numCache>
                <c:formatCode>General</c:formatCode>
                <c:ptCount val="2"/>
                <c:pt idx="0">
                  <c:v>887</c:v>
                </c:pt>
                <c:pt idx="1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E-4F3F-BB12-26C2F7F40C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alumnos que aprobaron</a:t>
            </a:r>
            <a:r>
              <a:rPr lang="en-US" baseline="0"/>
              <a:t> Examen 160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C1-47A4-A662-37533DAABB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C1-47A4-A662-37533DAABBC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Gráficas!$A$21:$B$21</c:f>
              <c:strCache>
                <c:ptCount val="2"/>
                <c:pt idx="0">
                  <c:v>Estudiantes que no aprobaron el examen 160</c:v>
                </c:pt>
                <c:pt idx="1">
                  <c:v>Estudiantes que aprobaron el examen 160</c:v>
                </c:pt>
              </c:strCache>
            </c:strRef>
          </c:cat>
          <c:val>
            <c:numRef>
              <c:f>Gráficas!$A$22:$B$22</c:f>
              <c:numCache>
                <c:formatCode>General</c:formatCode>
                <c:ptCount val="2"/>
                <c:pt idx="0">
                  <c:v>627</c:v>
                </c:pt>
                <c:pt idx="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4-4327-97B8-4CB54F8EE0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alumnos que aprobaron el examen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A7-46D5-A20E-AC85D37A16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A7-46D5-A20E-AC85D37A165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Gráficas!$G$21:$H$21</c:f>
              <c:strCache>
                <c:ptCount val="2"/>
                <c:pt idx="0">
                  <c:v>Estudiantes que no aprobaron examen 120</c:v>
                </c:pt>
                <c:pt idx="1">
                  <c:v>Estudiantes que aprobaron el examen 120</c:v>
                </c:pt>
              </c:strCache>
            </c:strRef>
          </c:cat>
          <c:val>
            <c:numRef>
              <c:f>Gráficas!$G$22:$H$22</c:f>
              <c:numCache>
                <c:formatCode>General</c:formatCode>
                <c:ptCount val="2"/>
                <c:pt idx="0">
                  <c:v>492</c:v>
                </c:pt>
                <c:pt idx="1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9-4C4F-924A-794F97F8C1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Promedio por sección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Gráficas!$A$39:$H$39</c:f>
              <c:strCache>
                <c:ptCount val="8"/>
                <c:pt idx="0">
                  <c:v>Promedio de Conjuntos</c:v>
                </c:pt>
                <c:pt idx="1">
                  <c:v>Promedio de Números</c:v>
                </c:pt>
                <c:pt idx="2">
                  <c:v>Promedio de Símbolos Algebraicos</c:v>
                </c:pt>
                <c:pt idx="3">
                  <c:v>Promedio G1</c:v>
                </c:pt>
                <c:pt idx="4">
                  <c:v>Promedio G2</c:v>
                </c:pt>
                <c:pt idx="5">
                  <c:v>Promedio G3</c:v>
                </c:pt>
                <c:pt idx="6">
                  <c:v>Promedio G4</c:v>
                </c:pt>
                <c:pt idx="7">
                  <c:v>Promedio G5</c:v>
                </c:pt>
              </c:strCache>
            </c:strRef>
          </c:cat>
          <c:val>
            <c:numRef>
              <c:f>Gráficas!$A$40:$H$40</c:f>
              <c:numCache>
                <c:formatCode>General</c:formatCode>
                <c:ptCount val="8"/>
                <c:pt idx="0">
                  <c:v>5.1815107102593014</c:v>
                </c:pt>
                <c:pt idx="1">
                  <c:v>5.205749718151071</c:v>
                </c:pt>
                <c:pt idx="2">
                  <c:v>4.27605089386374</c:v>
                </c:pt>
                <c:pt idx="3">
                  <c:v>5.1442307692307692</c:v>
                </c:pt>
                <c:pt idx="4">
                  <c:v>5.7051282051282</c:v>
                </c:pt>
                <c:pt idx="5">
                  <c:v>6.2139423076923075</c:v>
                </c:pt>
                <c:pt idx="6">
                  <c:v>6.490384615384615</c:v>
                </c:pt>
                <c:pt idx="7">
                  <c:v>4.759615384615385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E-44E6-9283-F4A0424D5F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1172575"/>
        <c:axId val="571174239"/>
      </c:barChart>
      <c:catAx>
        <c:axId val="57117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174239"/>
        <c:crosses val="autoZero"/>
        <c:auto val="1"/>
        <c:lblAlgn val="ctr"/>
        <c:lblOffset val="100"/>
        <c:noMultiLvlLbl val="0"/>
      </c:catAx>
      <c:valAx>
        <c:axId val="57117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17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104775</xdr:rowOff>
    </xdr:from>
    <xdr:to>
      <xdr:col>5</xdr:col>
      <xdr:colOff>666750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4</xdr:row>
      <xdr:rowOff>104775</xdr:rowOff>
    </xdr:from>
    <xdr:to>
      <xdr:col>12</xdr:col>
      <xdr:colOff>509587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</xdr:colOff>
      <xdr:row>22</xdr:row>
      <xdr:rowOff>47625</xdr:rowOff>
    </xdr:from>
    <xdr:to>
      <xdr:col>5</xdr:col>
      <xdr:colOff>681037</xdr:colOff>
      <xdr:row>36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757237</xdr:colOff>
      <xdr:row>22</xdr:row>
      <xdr:rowOff>47625</xdr:rowOff>
    </xdr:from>
    <xdr:to>
      <xdr:col>12</xdr:col>
      <xdr:colOff>376237</xdr:colOff>
      <xdr:row>36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814386</xdr:colOff>
      <xdr:row>40</xdr:row>
      <xdr:rowOff>57149</xdr:rowOff>
    </xdr:from>
    <xdr:to>
      <xdr:col>11</xdr:col>
      <xdr:colOff>228599</xdr:colOff>
      <xdr:row>63</xdr:row>
      <xdr:rowOff>104774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09"/>
  <sheetViews>
    <sheetView tabSelected="1" zoomScale="103" workbookViewId="0">
      <pane ySplit="1" topLeftCell="A10" activePane="bottomLeft" state="frozen"/>
      <selection pane="bottomLeft" activeCell="C1" sqref="C1:C1048576"/>
    </sheetView>
  </sheetViews>
  <sheetFormatPr baseColWidth="10" defaultColWidth="9.140625" defaultRowHeight="15" x14ac:dyDescent="0.25"/>
  <cols>
    <col min="5" max="5" width="7" customWidth="1"/>
    <col min="6" max="6" width="6.140625" customWidth="1"/>
    <col min="7" max="7" width="5.7109375" customWidth="1"/>
    <col min="8" max="8" width="5.85546875" customWidth="1"/>
    <col min="9" max="9" width="5.28515625" customWidth="1"/>
    <col min="10" max="10" width="5.140625" customWidth="1"/>
    <col min="11" max="12" width="5.5703125" customWidth="1"/>
    <col min="13" max="13" width="50" customWidth="1"/>
    <col min="14" max="14" width="5.140625" customWidth="1"/>
    <col min="15" max="15" width="38" customWidth="1"/>
    <col min="16" max="16" width="5.42578125" customWidth="1"/>
    <col min="17" max="17" width="5.28515625" customWidth="1"/>
    <col min="24" max="24" width="7.5703125" customWidth="1"/>
    <col min="25" max="25" width="7.85546875" customWidth="1"/>
    <col min="30" max="30" width="9.140625" style="1"/>
  </cols>
  <sheetData>
    <row r="1" spans="1:33" x14ac:dyDescent="0.25">
      <c r="A1" t="s">
        <v>0</v>
      </c>
      <c r="B1" t="s">
        <v>1</v>
      </c>
      <c r="C1" t="s">
        <v>2</v>
      </c>
      <c r="D1" t="s">
        <v>3416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3385</v>
      </c>
      <c r="T1" t="s">
        <v>3386</v>
      </c>
      <c r="U1" t="s">
        <v>3387</v>
      </c>
      <c r="V1" t="s">
        <v>3388</v>
      </c>
      <c r="W1" t="s">
        <v>3389</v>
      </c>
      <c r="X1" t="s">
        <v>3390</v>
      </c>
      <c r="Y1" t="s">
        <v>3391</v>
      </c>
      <c r="Z1" t="s">
        <v>3392</v>
      </c>
      <c r="AA1" t="s">
        <v>3393</v>
      </c>
      <c r="AB1" t="s">
        <v>3394</v>
      </c>
      <c r="AC1" t="s">
        <v>3395</v>
      </c>
      <c r="AD1" s="1" t="s">
        <v>3396</v>
      </c>
      <c r="AE1" t="s">
        <v>3397</v>
      </c>
      <c r="AF1" t="s">
        <v>3398</v>
      </c>
      <c r="AG1" t="s">
        <v>3399</v>
      </c>
    </row>
    <row r="2" spans="1:33" x14ac:dyDescent="0.25">
      <c r="A2" t="s">
        <v>18</v>
      </c>
      <c r="B2" t="s">
        <v>19</v>
      </c>
      <c r="C2">
        <v>164732</v>
      </c>
      <c r="D2">
        <v>164732</v>
      </c>
      <c r="S2">
        <f>O2/16</f>
        <v>0</v>
      </c>
      <c r="T2">
        <f>M2/12</f>
        <v>0</v>
      </c>
      <c r="U2">
        <f t="shared" ref="U2:U65" si="0">IF(AND(E2="",F2="",G2="",H2="",I2="",J2="",K2="",L2="",M2=""),0,1)</f>
        <v>0</v>
      </c>
      <c r="V2">
        <f>IF(O2="",0,1)</f>
        <v>0</v>
      </c>
      <c r="W2">
        <f>IF(M2="",0,1)</f>
        <v>0</v>
      </c>
      <c r="X2">
        <f t="shared" ref="X2:Y4" si="1">IF(AND(V2=1,S2&gt;6),1,0)</f>
        <v>0</v>
      </c>
      <c r="Y2">
        <f t="shared" si="1"/>
        <v>0</v>
      </c>
      <c r="Z2">
        <f>E2/5</f>
        <v>0</v>
      </c>
      <c r="AA2">
        <f>F2/4</f>
        <v>0</v>
      </c>
      <c r="AB2">
        <f>G2/7</f>
        <v>0</v>
      </c>
      <c r="AC2">
        <f>H2/2</f>
        <v>0</v>
      </c>
      <c r="AD2" s="1">
        <f>I2/6</f>
        <v>0</v>
      </c>
      <c r="AE2">
        <f>J2/2</f>
        <v>0</v>
      </c>
      <c r="AF2">
        <f>K2</f>
        <v>0</v>
      </c>
      <c r="AG2">
        <f>L2</f>
        <v>0</v>
      </c>
    </row>
    <row r="3" spans="1:33" x14ac:dyDescent="0.25">
      <c r="A3" t="s">
        <v>21</v>
      </c>
      <c r="B3" t="s">
        <v>22</v>
      </c>
      <c r="C3">
        <v>168181</v>
      </c>
      <c r="D3">
        <v>168181</v>
      </c>
      <c r="H3">
        <v>0</v>
      </c>
      <c r="I3">
        <v>40</v>
      </c>
      <c r="J3">
        <v>10</v>
      </c>
      <c r="K3">
        <v>10</v>
      </c>
      <c r="L3">
        <v>0</v>
      </c>
      <c r="M3">
        <v>60</v>
      </c>
      <c r="S3">
        <f t="shared" ref="S3:S66" si="2">O3/16</f>
        <v>0</v>
      </c>
      <c r="T3">
        <f t="shared" ref="T3:T66" si="3">M3/12</f>
        <v>5</v>
      </c>
      <c r="U3">
        <f>IF(AND(E3="",F3="",G3="",H3="",I3="",J3="",K3="",L3="",M3=""),0,1)</f>
        <v>1</v>
      </c>
      <c r="V3">
        <f t="shared" ref="V3:V66" si="4">IF(O3="",0,1)</f>
        <v>0</v>
      </c>
      <c r="W3">
        <f t="shared" ref="W3:W66" si="5">IF(M3="",0,1)</f>
        <v>1</v>
      </c>
      <c r="X3">
        <f t="shared" si="1"/>
        <v>0</v>
      </c>
      <c r="Y3">
        <f t="shared" si="1"/>
        <v>0</v>
      </c>
      <c r="Z3">
        <f t="shared" ref="Z3:Z66" si="6">E3/5</f>
        <v>0</v>
      </c>
      <c r="AA3">
        <f t="shared" ref="AA3:AA66" si="7">F3/4</f>
        <v>0</v>
      </c>
      <c r="AB3">
        <f t="shared" ref="AB3:AB66" si="8">G3/7</f>
        <v>0</v>
      </c>
      <c r="AC3">
        <f t="shared" ref="AC3:AC66" si="9">H3/2</f>
        <v>0</v>
      </c>
      <c r="AD3" s="1">
        <f t="shared" ref="AD3:AD66" si="10">I3/6</f>
        <v>6.666666666666667</v>
      </c>
      <c r="AE3">
        <f t="shared" ref="AE3:AE66" si="11">J3/2</f>
        <v>5</v>
      </c>
      <c r="AF3">
        <f t="shared" ref="AF3:AF66" si="12">K3</f>
        <v>10</v>
      </c>
      <c r="AG3">
        <f t="shared" ref="AG3:AG66" si="13">L3</f>
        <v>0</v>
      </c>
    </row>
    <row r="4" spans="1:33" x14ac:dyDescent="0.25">
      <c r="A4" t="s">
        <v>23</v>
      </c>
      <c r="B4" t="s">
        <v>24</v>
      </c>
      <c r="C4">
        <v>166769</v>
      </c>
      <c r="D4">
        <v>166769</v>
      </c>
      <c r="H4">
        <v>20</v>
      </c>
      <c r="I4">
        <v>40</v>
      </c>
      <c r="J4">
        <v>0</v>
      </c>
      <c r="K4">
        <v>10</v>
      </c>
      <c r="L4">
        <v>0</v>
      </c>
      <c r="M4">
        <v>70</v>
      </c>
      <c r="S4">
        <f t="shared" si="2"/>
        <v>0</v>
      </c>
      <c r="T4">
        <f>M4/12</f>
        <v>5.833333333333333</v>
      </c>
      <c r="U4">
        <f t="shared" si="0"/>
        <v>1</v>
      </c>
      <c r="V4">
        <f t="shared" si="4"/>
        <v>0</v>
      </c>
      <c r="W4">
        <f t="shared" si="5"/>
        <v>1</v>
      </c>
      <c r="X4">
        <f t="shared" si="1"/>
        <v>0</v>
      </c>
      <c r="Y4">
        <f t="shared" si="1"/>
        <v>0</v>
      </c>
      <c r="Z4">
        <f t="shared" si="6"/>
        <v>0</v>
      </c>
      <c r="AA4">
        <f t="shared" si="7"/>
        <v>0</v>
      </c>
      <c r="AB4">
        <f t="shared" si="8"/>
        <v>0</v>
      </c>
      <c r="AC4">
        <f t="shared" si="9"/>
        <v>10</v>
      </c>
      <c r="AD4" s="1">
        <f t="shared" si="10"/>
        <v>6.666666666666667</v>
      </c>
      <c r="AE4">
        <f t="shared" si="11"/>
        <v>0</v>
      </c>
      <c r="AF4">
        <f t="shared" si="12"/>
        <v>10</v>
      </c>
      <c r="AG4">
        <f t="shared" si="13"/>
        <v>0</v>
      </c>
    </row>
    <row r="5" spans="1:33" x14ac:dyDescent="0.25">
      <c r="A5" t="s">
        <v>23</v>
      </c>
      <c r="B5" t="s">
        <v>25</v>
      </c>
      <c r="C5">
        <v>166768</v>
      </c>
      <c r="D5">
        <v>166768</v>
      </c>
      <c r="E5">
        <v>10</v>
      </c>
      <c r="F5">
        <v>10</v>
      </c>
      <c r="G5">
        <v>40</v>
      </c>
      <c r="O5">
        <v>60</v>
      </c>
      <c r="S5">
        <f>O5/16</f>
        <v>3.75</v>
      </c>
      <c r="T5">
        <f t="shared" si="3"/>
        <v>0</v>
      </c>
      <c r="U5">
        <f t="shared" si="0"/>
        <v>1</v>
      </c>
      <c r="V5">
        <f t="shared" si="4"/>
        <v>1</v>
      </c>
      <c r="W5">
        <f t="shared" si="5"/>
        <v>0</v>
      </c>
      <c r="X5">
        <f t="shared" ref="X5:X68" si="14">IF(AND(V5=1,S5&gt;6),1,0)</f>
        <v>0</v>
      </c>
      <c r="Y5">
        <f t="shared" ref="Y5:Y68" si="15">IF(AND(W5=1,T5&gt;6),1,0)</f>
        <v>0</v>
      </c>
      <c r="Z5">
        <f t="shared" si="6"/>
        <v>2</v>
      </c>
      <c r="AA5">
        <f t="shared" si="7"/>
        <v>2.5</v>
      </c>
      <c r="AB5">
        <f t="shared" si="8"/>
        <v>5.7142857142857144</v>
      </c>
      <c r="AC5">
        <f t="shared" si="9"/>
        <v>0</v>
      </c>
      <c r="AD5" s="1">
        <f t="shared" si="10"/>
        <v>0</v>
      </c>
      <c r="AE5">
        <f t="shared" si="11"/>
        <v>0</v>
      </c>
      <c r="AF5">
        <f t="shared" si="12"/>
        <v>0</v>
      </c>
      <c r="AG5">
        <f t="shared" si="13"/>
        <v>0</v>
      </c>
    </row>
    <row r="6" spans="1:33" x14ac:dyDescent="0.25">
      <c r="A6" t="s">
        <v>26</v>
      </c>
      <c r="B6" t="s">
        <v>27</v>
      </c>
      <c r="C6">
        <v>167803</v>
      </c>
      <c r="D6">
        <v>167803</v>
      </c>
      <c r="E6">
        <v>30</v>
      </c>
      <c r="F6">
        <v>20</v>
      </c>
      <c r="G6">
        <v>30</v>
      </c>
      <c r="O6">
        <v>80</v>
      </c>
      <c r="S6">
        <f t="shared" si="2"/>
        <v>5</v>
      </c>
      <c r="T6">
        <f t="shared" si="3"/>
        <v>0</v>
      </c>
      <c r="U6">
        <f t="shared" si="0"/>
        <v>1</v>
      </c>
      <c r="V6">
        <f t="shared" si="4"/>
        <v>1</v>
      </c>
      <c r="W6">
        <f t="shared" si="5"/>
        <v>0</v>
      </c>
      <c r="X6">
        <f t="shared" si="14"/>
        <v>0</v>
      </c>
      <c r="Y6">
        <f t="shared" si="15"/>
        <v>0</v>
      </c>
      <c r="Z6">
        <f t="shared" si="6"/>
        <v>6</v>
      </c>
      <c r="AA6">
        <f t="shared" si="7"/>
        <v>5</v>
      </c>
      <c r="AB6">
        <f t="shared" si="8"/>
        <v>4.2857142857142856</v>
      </c>
      <c r="AC6">
        <f t="shared" si="9"/>
        <v>0</v>
      </c>
      <c r="AD6" s="1">
        <f t="shared" si="10"/>
        <v>0</v>
      </c>
      <c r="AE6">
        <f t="shared" si="11"/>
        <v>0</v>
      </c>
      <c r="AF6">
        <f t="shared" si="12"/>
        <v>0</v>
      </c>
      <c r="AG6">
        <f t="shared" si="13"/>
        <v>0</v>
      </c>
    </row>
    <row r="7" spans="1:33" x14ac:dyDescent="0.25">
      <c r="A7" t="s">
        <v>28</v>
      </c>
      <c r="B7" t="s">
        <v>24</v>
      </c>
      <c r="C7">
        <v>166428</v>
      </c>
      <c r="D7">
        <v>166428</v>
      </c>
      <c r="E7">
        <v>50</v>
      </c>
      <c r="O7">
        <v>50</v>
      </c>
      <c r="S7">
        <f t="shared" si="2"/>
        <v>3.125</v>
      </c>
      <c r="T7">
        <f t="shared" si="3"/>
        <v>0</v>
      </c>
      <c r="U7">
        <f t="shared" si="0"/>
        <v>1</v>
      </c>
      <c r="V7">
        <f t="shared" si="4"/>
        <v>1</v>
      </c>
      <c r="W7">
        <f t="shared" si="5"/>
        <v>0</v>
      </c>
      <c r="X7">
        <f t="shared" si="14"/>
        <v>0</v>
      </c>
      <c r="Y7">
        <f t="shared" si="15"/>
        <v>0</v>
      </c>
      <c r="Z7">
        <f t="shared" si="6"/>
        <v>10</v>
      </c>
      <c r="AA7">
        <f t="shared" si="7"/>
        <v>0</v>
      </c>
      <c r="AB7">
        <f t="shared" si="8"/>
        <v>0</v>
      </c>
      <c r="AC7">
        <f t="shared" si="9"/>
        <v>0</v>
      </c>
      <c r="AD7" s="1">
        <f t="shared" si="10"/>
        <v>0</v>
      </c>
      <c r="AE7">
        <f t="shared" si="11"/>
        <v>0</v>
      </c>
      <c r="AF7">
        <f t="shared" si="12"/>
        <v>0</v>
      </c>
      <c r="AG7">
        <f t="shared" si="13"/>
        <v>0</v>
      </c>
    </row>
    <row r="8" spans="1:33" x14ac:dyDescent="0.25">
      <c r="A8" t="s">
        <v>29</v>
      </c>
      <c r="B8" t="s">
        <v>30</v>
      </c>
      <c r="C8">
        <v>165299</v>
      </c>
      <c r="D8">
        <v>165299</v>
      </c>
      <c r="E8">
        <v>30</v>
      </c>
      <c r="F8">
        <v>0</v>
      </c>
      <c r="G8">
        <v>10</v>
      </c>
      <c r="O8">
        <v>40</v>
      </c>
      <c r="S8">
        <f t="shared" si="2"/>
        <v>2.5</v>
      </c>
      <c r="T8">
        <f t="shared" si="3"/>
        <v>0</v>
      </c>
      <c r="U8">
        <f t="shared" si="0"/>
        <v>1</v>
      </c>
      <c r="V8">
        <f t="shared" si="4"/>
        <v>1</v>
      </c>
      <c r="W8">
        <f t="shared" si="5"/>
        <v>0</v>
      </c>
      <c r="X8">
        <f t="shared" si="14"/>
        <v>0</v>
      </c>
      <c r="Y8">
        <f t="shared" si="15"/>
        <v>0</v>
      </c>
      <c r="Z8">
        <f t="shared" si="6"/>
        <v>6</v>
      </c>
      <c r="AA8">
        <f t="shared" si="7"/>
        <v>0</v>
      </c>
      <c r="AB8">
        <f t="shared" si="8"/>
        <v>1.4285714285714286</v>
      </c>
      <c r="AC8">
        <f t="shared" si="9"/>
        <v>0</v>
      </c>
      <c r="AD8" s="1">
        <f t="shared" si="10"/>
        <v>0</v>
      </c>
      <c r="AE8">
        <f t="shared" si="11"/>
        <v>0</v>
      </c>
      <c r="AF8">
        <f t="shared" si="12"/>
        <v>0</v>
      </c>
      <c r="AG8">
        <f t="shared" si="13"/>
        <v>0</v>
      </c>
    </row>
    <row r="9" spans="1:33" x14ac:dyDescent="0.25">
      <c r="A9" t="s">
        <v>31</v>
      </c>
      <c r="B9" t="s">
        <v>32</v>
      </c>
      <c r="C9">
        <v>168488</v>
      </c>
      <c r="D9">
        <v>168488</v>
      </c>
      <c r="E9">
        <v>30</v>
      </c>
      <c r="F9">
        <v>10</v>
      </c>
      <c r="G9">
        <v>40</v>
      </c>
      <c r="O9">
        <v>80</v>
      </c>
      <c r="S9">
        <f t="shared" si="2"/>
        <v>5</v>
      </c>
      <c r="T9">
        <f t="shared" si="3"/>
        <v>0</v>
      </c>
      <c r="U9">
        <f t="shared" si="0"/>
        <v>1</v>
      </c>
      <c r="V9">
        <f t="shared" si="4"/>
        <v>1</v>
      </c>
      <c r="W9">
        <f t="shared" si="5"/>
        <v>0</v>
      </c>
      <c r="X9">
        <f t="shared" si="14"/>
        <v>0</v>
      </c>
      <c r="Y9">
        <f t="shared" si="15"/>
        <v>0</v>
      </c>
      <c r="Z9">
        <f t="shared" si="6"/>
        <v>6</v>
      </c>
      <c r="AA9">
        <f t="shared" si="7"/>
        <v>2.5</v>
      </c>
      <c r="AB9">
        <f t="shared" si="8"/>
        <v>5.7142857142857144</v>
      </c>
      <c r="AC9">
        <f t="shared" si="9"/>
        <v>0</v>
      </c>
      <c r="AD9" s="1">
        <f t="shared" si="10"/>
        <v>0</v>
      </c>
      <c r="AE9">
        <f t="shared" si="11"/>
        <v>0</v>
      </c>
      <c r="AF9">
        <f t="shared" si="12"/>
        <v>0</v>
      </c>
      <c r="AG9">
        <f t="shared" si="13"/>
        <v>0</v>
      </c>
    </row>
    <row r="10" spans="1:33" x14ac:dyDescent="0.25">
      <c r="A10" t="s">
        <v>33</v>
      </c>
      <c r="B10" t="s">
        <v>34</v>
      </c>
      <c r="C10">
        <v>161869</v>
      </c>
      <c r="D10">
        <v>161869</v>
      </c>
      <c r="S10">
        <f t="shared" si="2"/>
        <v>0</v>
      </c>
      <c r="T10">
        <f t="shared" si="3"/>
        <v>0</v>
      </c>
      <c r="U10">
        <f t="shared" si="0"/>
        <v>0</v>
      </c>
      <c r="V10">
        <f t="shared" si="4"/>
        <v>0</v>
      </c>
      <c r="W10">
        <f t="shared" si="5"/>
        <v>0</v>
      </c>
      <c r="X10">
        <f t="shared" si="14"/>
        <v>0</v>
      </c>
      <c r="Y10">
        <f t="shared" si="15"/>
        <v>0</v>
      </c>
      <c r="Z10">
        <f t="shared" si="6"/>
        <v>0</v>
      </c>
      <c r="AA10">
        <f t="shared" si="7"/>
        <v>0</v>
      </c>
      <c r="AB10">
        <f t="shared" si="8"/>
        <v>0</v>
      </c>
      <c r="AC10">
        <f t="shared" si="9"/>
        <v>0</v>
      </c>
      <c r="AD10" s="1">
        <f t="shared" si="10"/>
        <v>0</v>
      </c>
      <c r="AE10">
        <f t="shared" si="11"/>
        <v>0</v>
      </c>
      <c r="AF10">
        <f t="shared" si="12"/>
        <v>0</v>
      </c>
      <c r="AG10">
        <f t="shared" si="13"/>
        <v>0</v>
      </c>
    </row>
    <row r="11" spans="1:33" x14ac:dyDescent="0.25">
      <c r="A11" t="s">
        <v>35</v>
      </c>
      <c r="B11" t="s">
        <v>36</v>
      </c>
      <c r="C11" t="s">
        <v>37</v>
      </c>
      <c r="S11">
        <f t="shared" si="2"/>
        <v>0</v>
      </c>
      <c r="T11">
        <f t="shared" si="3"/>
        <v>0</v>
      </c>
      <c r="U11">
        <f t="shared" si="0"/>
        <v>0</v>
      </c>
      <c r="V11">
        <f t="shared" si="4"/>
        <v>0</v>
      </c>
      <c r="W11">
        <f t="shared" si="5"/>
        <v>0</v>
      </c>
      <c r="X11">
        <f t="shared" si="14"/>
        <v>0</v>
      </c>
      <c r="Y11">
        <f t="shared" si="15"/>
        <v>0</v>
      </c>
      <c r="Z11">
        <f t="shared" si="6"/>
        <v>0</v>
      </c>
      <c r="AA11">
        <f t="shared" si="7"/>
        <v>0</v>
      </c>
      <c r="AB11">
        <f t="shared" si="8"/>
        <v>0</v>
      </c>
      <c r="AC11">
        <f t="shared" si="9"/>
        <v>0</v>
      </c>
      <c r="AD11" s="1">
        <f t="shared" si="10"/>
        <v>0</v>
      </c>
      <c r="AE11">
        <f t="shared" si="11"/>
        <v>0</v>
      </c>
      <c r="AF11">
        <f t="shared" si="12"/>
        <v>0</v>
      </c>
      <c r="AG11">
        <f t="shared" si="13"/>
        <v>0</v>
      </c>
    </row>
    <row r="12" spans="1:33" x14ac:dyDescent="0.25">
      <c r="A12" t="s">
        <v>38</v>
      </c>
      <c r="B12" t="s">
        <v>39</v>
      </c>
      <c r="C12">
        <v>166580</v>
      </c>
      <c r="D12">
        <v>166580</v>
      </c>
      <c r="H12">
        <v>20</v>
      </c>
      <c r="I12">
        <v>20</v>
      </c>
      <c r="J12">
        <v>20</v>
      </c>
      <c r="K12">
        <v>10</v>
      </c>
      <c r="L12">
        <v>0</v>
      </c>
      <c r="M12">
        <v>70</v>
      </c>
      <c r="S12">
        <f t="shared" si="2"/>
        <v>0</v>
      </c>
      <c r="T12">
        <f t="shared" si="3"/>
        <v>5.833333333333333</v>
      </c>
      <c r="U12">
        <f t="shared" si="0"/>
        <v>1</v>
      </c>
      <c r="V12">
        <f t="shared" si="4"/>
        <v>0</v>
      </c>
      <c r="W12">
        <f t="shared" si="5"/>
        <v>1</v>
      </c>
      <c r="X12">
        <f t="shared" si="14"/>
        <v>0</v>
      </c>
      <c r="Y12">
        <f t="shared" si="15"/>
        <v>0</v>
      </c>
      <c r="Z12">
        <f t="shared" si="6"/>
        <v>0</v>
      </c>
      <c r="AA12">
        <f t="shared" si="7"/>
        <v>0</v>
      </c>
      <c r="AB12">
        <f t="shared" si="8"/>
        <v>0</v>
      </c>
      <c r="AC12">
        <f t="shared" si="9"/>
        <v>10</v>
      </c>
      <c r="AD12" s="1">
        <f t="shared" si="10"/>
        <v>3.3333333333333335</v>
      </c>
      <c r="AE12">
        <f t="shared" si="11"/>
        <v>10</v>
      </c>
      <c r="AF12">
        <f t="shared" si="12"/>
        <v>10</v>
      </c>
      <c r="AG12">
        <f t="shared" si="13"/>
        <v>0</v>
      </c>
    </row>
    <row r="13" spans="1:33" x14ac:dyDescent="0.25">
      <c r="A13" t="s">
        <v>40</v>
      </c>
      <c r="B13" t="s">
        <v>41</v>
      </c>
      <c r="C13">
        <v>168631</v>
      </c>
      <c r="D13">
        <v>168631</v>
      </c>
      <c r="E13">
        <v>10</v>
      </c>
      <c r="F13">
        <v>10</v>
      </c>
      <c r="G13">
        <v>40</v>
      </c>
      <c r="O13">
        <v>60</v>
      </c>
      <c r="S13">
        <f t="shared" si="2"/>
        <v>3.75</v>
      </c>
      <c r="T13">
        <f t="shared" si="3"/>
        <v>0</v>
      </c>
      <c r="U13">
        <f t="shared" si="0"/>
        <v>1</v>
      </c>
      <c r="V13">
        <f t="shared" si="4"/>
        <v>1</v>
      </c>
      <c r="W13">
        <f t="shared" si="5"/>
        <v>0</v>
      </c>
      <c r="X13">
        <f t="shared" si="14"/>
        <v>0</v>
      </c>
      <c r="Y13">
        <f t="shared" si="15"/>
        <v>0</v>
      </c>
      <c r="Z13">
        <f t="shared" si="6"/>
        <v>2</v>
      </c>
      <c r="AA13">
        <f t="shared" si="7"/>
        <v>2.5</v>
      </c>
      <c r="AB13">
        <f t="shared" si="8"/>
        <v>5.7142857142857144</v>
      </c>
      <c r="AC13">
        <f t="shared" si="9"/>
        <v>0</v>
      </c>
      <c r="AD13" s="1">
        <f t="shared" si="10"/>
        <v>0</v>
      </c>
      <c r="AE13">
        <f t="shared" si="11"/>
        <v>0</v>
      </c>
      <c r="AF13">
        <f t="shared" si="12"/>
        <v>0</v>
      </c>
      <c r="AG13">
        <f t="shared" si="13"/>
        <v>0</v>
      </c>
    </row>
    <row r="14" spans="1:33" x14ac:dyDescent="0.25">
      <c r="A14" t="s">
        <v>42</v>
      </c>
      <c r="B14" t="s">
        <v>43</v>
      </c>
      <c r="C14">
        <v>167152</v>
      </c>
      <c r="D14">
        <v>167152</v>
      </c>
      <c r="E14">
        <v>10</v>
      </c>
      <c r="F14">
        <v>20</v>
      </c>
      <c r="G14">
        <v>10</v>
      </c>
      <c r="O14">
        <v>40</v>
      </c>
      <c r="S14">
        <f t="shared" si="2"/>
        <v>2.5</v>
      </c>
      <c r="T14">
        <f t="shared" si="3"/>
        <v>0</v>
      </c>
      <c r="U14">
        <f t="shared" si="0"/>
        <v>1</v>
      </c>
      <c r="V14">
        <f t="shared" si="4"/>
        <v>1</v>
      </c>
      <c r="W14">
        <f t="shared" si="5"/>
        <v>0</v>
      </c>
      <c r="X14">
        <f t="shared" si="14"/>
        <v>0</v>
      </c>
      <c r="Y14">
        <f t="shared" si="15"/>
        <v>0</v>
      </c>
      <c r="Z14">
        <f t="shared" si="6"/>
        <v>2</v>
      </c>
      <c r="AA14">
        <f t="shared" si="7"/>
        <v>5</v>
      </c>
      <c r="AB14">
        <f t="shared" si="8"/>
        <v>1.4285714285714286</v>
      </c>
      <c r="AC14">
        <f t="shared" si="9"/>
        <v>0</v>
      </c>
      <c r="AD14" s="1">
        <f t="shared" si="10"/>
        <v>0</v>
      </c>
      <c r="AE14">
        <f t="shared" si="11"/>
        <v>0</v>
      </c>
      <c r="AF14">
        <f t="shared" si="12"/>
        <v>0</v>
      </c>
      <c r="AG14">
        <f t="shared" si="13"/>
        <v>0</v>
      </c>
    </row>
    <row r="15" spans="1:33" x14ac:dyDescent="0.25">
      <c r="A15" t="s">
        <v>44</v>
      </c>
      <c r="B15" t="s">
        <v>45</v>
      </c>
      <c r="C15">
        <v>167383</v>
      </c>
      <c r="D15">
        <v>167383</v>
      </c>
      <c r="E15">
        <v>10</v>
      </c>
      <c r="F15">
        <v>10</v>
      </c>
      <c r="G15">
        <v>50</v>
      </c>
      <c r="O15">
        <v>70</v>
      </c>
      <c r="S15">
        <f t="shared" si="2"/>
        <v>4.375</v>
      </c>
      <c r="T15">
        <f t="shared" si="3"/>
        <v>0</v>
      </c>
      <c r="U15">
        <f t="shared" si="0"/>
        <v>1</v>
      </c>
      <c r="V15">
        <f t="shared" si="4"/>
        <v>1</v>
      </c>
      <c r="W15">
        <f t="shared" si="5"/>
        <v>0</v>
      </c>
      <c r="X15">
        <f t="shared" si="14"/>
        <v>0</v>
      </c>
      <c r="Y15">
        <f t="shared" si="15"/>
        <v>0</v>
      </c>
      <c r="Z15">
        <f t="shared" si="6"/>
        <v>2</v>
      </c>
      <c r="AA15">
        <f t="shared" si="7"/>
        <v>2.5</v>
      </c>
      <c r="AB15">
        <f t="shared" si="8"/>
        <v>7.1428571428571432</v>
      </c>
      <c r="AC15">
        <f t="shared" si="9"/>
        <v>0</v>
      </c>
      <c r="AD15" s="1">
        <f t="shared" si="10"/>
        <v>0</v>
      </c>
      <c r="AE15">
        <f t="shared" si="11"/>
        <v>0</v>
      </c>
      <c r="AF15">
        <f t="shared" si="12"/>
        <v>0</v>
      </c>
      <c r="AG15">
        <f t="shared" si="13"/>
        <v>0</v>
      </c>
    </row>
    <row r="16" spans="1:33" x14ac:dyDescent="0.25">
      <c r="A16" t="s">
        <v>46</v>
      </c>
      <c r="B16" t="s">
        <v>47</v>
      </c>
      <c r="C16">
        <v>166092</v>
      </c>
      <c r="D16">
        <v>166092</v>
      </c>
      <c r="E16">
        <v>30</v>
      </c>
      <c r="F16">
        <v>20</v>
      </c>
      <c r="G16">
        <v>30</v>
      </c>
      <c r="O16">
        <v>80</v>
      </c>
      <c r="S16">
        <f t="shared" si="2"/>
        <v>5</v>
      </c>
      <c r="T16">
        <f t="shared" si="3"/>
        <v>0</v>
      </c>
      <c r="U16">
        <f t="shared" si="0"/>
        <v>1</v>
      </c>
      <c r="V16">
        <f t="shared" si="4"/>
        <v>1</v>
      </c>
      <c r="W16">
        <f t="shared" si="5"/>
        <v>0</v>
      </c>
      <c r="X16">
        <f t="shared" si="14"/>
        <v>0</v>
      </c>
      <c r="Y16">
        <f t="shared" si="15"/>
        <v>0</v>
      </c>
      <c r="Z16">
        <f t="shared" si="6"/>
        <v>6</v>
      </c>
      <c r="AA16">
        <f t="shared" si="7"/>
        <v>5</v>
      </c>
      <c r="AB16">
        <f t="shared" si="8"/>
        <v>4.2857142857142856</v>
      </c>
      <c r="AC16">
        <f t="shared" si="9"/>
        <v>0</v>
      </c>
      <c r="AD16" s="1">
        <f t="shared" si="10"/>
        <v>0</v>
      </c>
      <c r="AE16">
        <f t="shared" si="11"/>
        <v>0</v>
      </c>
      <c r="AF16">
        <f t="shared" si="12"/>
        <v>0</v>
      </c>
      <c r="AG16">
        <f t="shared" si="13"/>
        <v>0</v>
      </c>
    </row>
    <row r="17" spans="1:33" x14ac:dyDescent="0.25">
      <c r="A17" t="s">
        <v>48</v>
      </c>
      <c r="B17" t="s">
        <v>49</v>
      </c>
      <c r="C17">
        <v>166384</v>
      </c>
      <c r="D17">
        <v>166384</v>
      </c>
      <c r="E17">
        <v>40</v>
      </c>
      <c r="F17">
        <v>10</v>
      </c>
      <c r="G17">
        <v>40</v>
      </c>
      <c r="O17">
        <v>90</v>
      </c>
      <c r="S17">
        <f t="shared" si="2"/>
        <v>5.625</v>
      </c>
      <c r="T17">
        <f t="shared" si="3"/>
        <v>0</v>
      </c>
      <c r="U17">
        <f t="shared" si="0"/>
        <v>1</v>
      </c>
      <c r="V17">
        <f t="shared" si="4"/>
        <v>1</v>
      </c>
      <c r="W17">
        <f t="shared" si="5"/>
        <v>0</v>
      </c>
      <c r="X17">
        <f t="shared" si="14"/>
        <v>0</v>
      </c>
      <c r="Y17">
        <f t="shared" si="15"/>
        <v>0</v>
      </c>
      <c r="Z17">
        <f t="shared" si="6"/>
        <v>8</v>
      </c>
      <c r="AA17">
        <f t="shared" si="7"/>
        <v>2.5</v>
      </c>
      <c r="AB17">
        <f t="shared" si="8"/>
        <v>5.7142857142857144</v>
      </c>
      <c r="AC17">
        <f t="shared" si="9"/>
        <v>0</v>
      </c>
      <c r="AD17" s="1">
        <f t="shared" si="10"/>
        <v>0</v>
      </c>
      <c r="AE17">
        <f t="shared" si="11"/>
        <v>0</v>
      </c>
      <c r="AF17">
        <f t="shared" si="12"/>
        <v>0</v>
      </c>
      <c r="AG17">
        <f t="shared" si="13"/>
        <v>0</v>
      </c>
    </row>
    <row r="18" spans="1:33" x14ac:dyDescent="0.25">
      <c r="A18" t="s">
        <v>50</v>
      </c>
      <c r="B18" t="s">
        <v>51</v>
      </c>
      <c r="C18">
        <v>164706</v>
      </c>
      <c r="D18">
        <v>164706</v>
      </c>
      <c r="R18">
        <v>0</v>
      </c>
      <c r="S18">
        <f t="shared" si="2"/>
        <v>0</v>
      </c>
      <c r="T18">
        <f t="shared" si="3"/>
        <v>0</v>
      </c>
      <c r="U18">
        <f t="shared" si="0"/>
        <v>0</v>
      </c>
      <c r="V18">
        <f t="shared" si="4"/>
        <v>0</v>
      </c>
      <c r="W18">
        <f t="shared" si="5"/>
        <v>0</v>
      </c>
      <c r="X18">
        <f t="shared" si="14"/>
        <v>0</v>
      </c>
      <c r="Y18">
        <f t="shared" si="15"/>
        <v>0</v>
      </c>
      <c r="Z18">
        <f t="shared" si="6"/>
        <v>0</v>
      </c>
      <c r="AA18">
        <f t="shared" si="7"/>
        <v>0</v>
      </c>
      <c r="AB18">
        <f t="shared" si="8"/>
        <v>0</v>
      </c>
      <c r="AC18">
        <f t="shared" si="9"/>
        <v>0</v>
      </c>
      <c r="AD18" s="1">
        <f t="shared" si="10"/>
        <v>0</v>
      </c>
      <c r="AE18">
        <f t="shared" si="11"/>
        <v>0</v>
      </c>
      <c r="AF18">
        <f t="shared" si="12"/>
        <v>0</v>
      </c>
      <c r="AG18">
        <f t="shared" si="13"/>
        <v>0</v>
      </c>
    </row>
    <row r="19" spans="1:33" x14ac:dyDescent="0.25">
      <c r="A19" t="s">
        <v>52</v>
      </c>
      <c r="B19" t="s">
        <v>53</v>
      </c>
      <c r="C19">
        <v>165973</v>
      </c>
      <c r="D19">
        <v>165973</v>
      </c>
      <c r="H19">
        <v>10</v>
      </c>
      <c r="I19">
        <v>10</v>
      </c>
      <c r="J19">
        <v>10</v>
      </c>
      <c r="K19">
        <v>10</v>
      </c>
      <c r="L19">
        <v>0</v>
      </c>
      <c r="M19">
        <v>40</v>
      </c>
      <c r="S19">
        <f t="shared" si="2"/>
        <v>0</v>
      </c>
      <c r="T19">
        <f t="shared" si="3"/>
        <v>3.3333333333333335</v>
      </c>
      <c r="U19">
        <f t="shared" si="0"/>
        <v>1</v>
      </c>
      <c r="V19">
        <f t="shared" si="4"/>
        <v>0</v>
      </c>
      <c r="W19">
        <f t="shared" si="5"/>
        <v>1</v>
      </c>
      <c r="X19">
        <f t="shared" si="14"/>
        <v>0</v>
      </c>
      <c r="Y19">
        <f t="shared" si="15"/>
        <v>0</v>
      </c>
      <c r="Z19">
        <f t="shared" si="6"/>
        <v>0</v>
      </c>
      <c r="AA19">
        <f t="shared" si="7"/>
        <v>0</v>
      </c>
      <c r="AB19">
        <f t="shared" si="8"/>
        <v>0</v>
      </c>
      <c r="AC19">
        <f t="shared" si="9"/>
        <v>5</v>
      </c>
      <c r="AD19" s="1">
        <f t="shared" si="10"/>
        <v>1.6666666666666667</v>
      </c>
      <c r="AE19">
        <f t="shared" si="11"/>
        <v>5</v>
      </c>
      <c r="AF19">
        <f t="shared" si="12"/>
        <v>10</v>
      </c>
      <c r="AG19">
        <f t="shared" si="13"/>
        <v>0</v>
      </c>
    </row>
    <row r="20" spans="1:33" x14ac:dyDescent="0.25">
      <c r="A20" t="s">
        <v>54</v>
      </c>
      <c r="B20" t="s">
        <v>55</v>
      </c>
      <c r="C20">
        <v>167354</v>
      </c>
      <c r="D20">
        <v>167354</v>
      </c>
      <c r="H20">
        <v>10</v>
      </c>
      <c r="I20">
        <v>40</v>
      </c>
      <c r="J20">
        <v>10</v>
      </c>
      <c r="K20">
        <v>0</v>
      </c>
      <c r="L20">
        <v>0</v>
      </c>
      <c r="M20">
        <v>60</v>
      </c>
      <c r="S20">
        <f t="shared" si="2"/>
        <v>0</v>
      </c>
      <c r="T20">
        <f t="shared" si="3"/>
        <v>5</v>
      </c>
      <c r="U20">
        <f t="shared" si="0"/>
        <v>1</v>
      </c>
      <c r="V20">
        <f t="shared" si="4"/>
        <v>0</v>
      </c>
      <c r="W20">
        <f t="shared" si="5"/>
        <v>1</v>
      </c>
      <c r="X20">
        <f t="shared" si="14"/>
        <v>0</v>
      </c>
      <c r="Y20">
        <f t="shared" si="15"/>
        <v>0</v>
      </c>
      <c r="Z20">
        <f t="shared" si="6"/>
        <v>0</v>
      </c>
      <c r="AA20">
        <f t="shared" si="7"/>
        <v>0</v>
      </c>
      <c r="AB20">
        <f t="shared" si="8"/>
        <v>0</v>
      </c>
      <c r="AC20">
        <f t="shared" si="9"/>
        <v>5</v>
      </c>
      <c r="AD20" s="1">
        <f t="shared" si="10"/>
        <v>6.666666666666667</v>
      </c>
      <c r="AE20">
        <f t="shared" si="11"/>
        <v>5</v>
      </c>
      <c r="AF20">
        <f t="shared" si="12"/>
        <v>0</v>
      </c>
      <c r="AG20">
        <f t="shared" si="13"/>
        <v>0</v>
      </c>
    </row>
    <row r="21" spans="1:33" x14ac:dyDescent="0.25">
      <c r="A21" t="s">
        <v>56</v>
      </c>
      <c r="B21" t="s">
        <v>57</v>
      </c>
      <c r="C21">
        <v>168609</v>
      </c>
      <c r="D21">
        <v>168609</v>
      </c>
      <c r="H21">
        <v>20</v>
      </c>
      <c r="I21">
        <v>30</v>
      </c>
      <c r="J21">
        <v>20</v>
      </c>
      <c r="K21">
        <v>0</v>
      </c>
      <c r="L21">
        <v>10</v>
      </c>
      <c r="M21">
        <v>80</v>
      </c>
      <c r="S21">
        <f t="shared" si="2"/>
        <v>0</v>
      </c>
      <c r="T21">
        <f t="shared" si="3"/>
        <v>6.666666666666667</v>
      </c>
      <c r="U21">
        <f t="shared" si="0"/>
        <v>1</v>
      </c>
      <c r="V21">
        <f t="shared" si="4"/>
        <v>0</v>
      </c>
      <c r="W21">
        <f t="shared" si="5"/>
        <v>1</v>
      </c>
      <c r="X21">
        <f t="shared" si="14"/>
        <v>0</v>
      </c>
      <c r="Y21">
        <f t="shared" si="15"/>
        <v>1</v>
      </c>
      <c r="Z21">
        <f t="shared" si="6"/>
        <v>0</v>
      </c>
      <c r="AA21">
        <f t="shared" si="7"/>
        <v>0</v>
      </c>
      <c r="AB21">
        <f t="shared" si="8"/>
        <v>0</v>
      </c>
      <c r="AC21">
        <f t="shared" si="9"/>
        <v>10</v>
      </c>
      <c r="AD21" s="1">
        <f t="shared" si="10"/>
        <v>5</v>
      </c>
      <c r="AE21">
        <f t="shared" si="11"/>
        <v>10</v>
      </c>
      <c r="AF21">
        <f t="shared" si="12"/>
        <v>0</v>
      </c>
      <c r="AG21">
        <f t="shared" si="13"/>
        <v>10</v>
      </c>
    </row>
    <row r="22" spans="1:33" x14ac:dyDescent="0.25">
      <c r="A22" t="s">
        <v>58</v>
      </c>
      <c r="B22" t="s">
        <v>59</v>
      </c>
      <c r="C22">
        <v>166791</v>
      </c>
      <c r="D22">
        <v>166791</v>
      </c>
      <c r="E22">
        <v>10</v>
      </c>
      <c r="F22">
        <v>10</v>
      </c>
      <c r="G22">
        <v>30</v>
      </c>
      <c r="O22">
        <v>50</v>
      </c>
      <c r="S22">
        <f t="shared" si="2"/>
        <v>3.125</v>
      </c>
      <c r="T22">
        <f t="shared" si="3"/>
        <v>0</v>
      </c>
      <c r="U22">
        <f t="shared" si="0"/>
        <v>1</v>
      </c>
      <c r="V22">
        <f t="shared" si="4"/>
        <v>1</v>
      </c>
      <c r="W22">
        <f t="shared" si="5"/>
        <v>0</v>
      </c>
      <c r="X22">
        <f t="shared" si="14"/>
        <v>0</v>
      </c>
      <c r="Y22">
        <f t="shared" si="15"/>
        <v>0</v>
      </c>
      <c r="Z22">
        <f t="shared" si="6"/>
        <v>2</v>
      </c>
      <c r="AA22">
        <f t="shared" si="7"/>
        <v>2.5</v>
      </c>
      <c r="AB22">
        <f t="shared" si="8"/>
        <v>4.2857142857142856</v>
      </c>
      <c r="AC22">
        <f t="shared" si="9"/>
        <v>0</v>
      </c>
      <c r="AD22" s="1">
        <f t="shared" si="10"/>
        <v>0</v>
      </c>
      <c r="AE22">
        <f t="shared" si="11"/>
        <v>0</v>
      </c>
      <c r="AF22">
        <f t="shared" si="12"/>
        <v>0</v>
      </c>
      <c r="AG22">
        <f t="shared" si="13"/>
        <v>0</v>
      </c>
    </row>
    <row r="23" spans="1:33" x14ac:dyDescent="0.25">
      <c r="A23" t="s">
        <v>60</v>
      </c>
      <c r="B23" t="s">
        <v>61</v>
      </c>
      <c r="C23">
        <v>167553</v>
      </c>
      <c r="D23">
        <v>167553</v>
      </c>
      <c r="H23">
        <v>10</v>
      </c>
      <c r="I23">
        <v>30</v>
      </c>
      <c r="J23">
        <v>10</v>
      </c>
      <c r="K23">
        <v>10</v>
      </c>
      <c r="L23">
        <v>0</v>
      </c>
      <c r="M23">
        <v>60</v>
      </c>
      <c r="S23">
        <f t="shared" si="2"/>
        <v>0</v>
      </c>
      <c r="T23">
        <f t="shared" si="3"/>
        <v>5</v>
      </c>
      <c r="U23">
        <f t="shared" si="0"/>
        <v>1</v>
      </c>
      <c r="V23">
        <f t="shared" si="4"/>
        <v>0</v>
      </c>
      <c r="W23">
        <f t="shared" si="5"/>
        <v>1</v>
      </c>
      <c r="X23">
        <f t="shared" si="14"/>
        <v>0</v>
      </c>
      <c r="Y23">
        <f t="shared" si="15"/>
        <v>0</v>
      </c>
      <c r="Z23">
        <f t="shared" si="6"/>
        <v>0</v>
      </c>
      <c r="AA23">
        <f t="shared" si="7"/>
        <v>0</v>
      </c>
      <c r="AB23">
        <f t="shared" si="8"/>
        <v>0</v>
      </c>
      <c r="AC23">
        <f t="shared" si="9"/>
        <v>5</v>
      </c>
      <c r="AD23" s="1">
        <f t="shared" si="10"/>
        <v>5</v>
      </c>
      <c r="AE23">
        <f t="shared" si="11"/>
        <v>5</v>
      </c>
      <c r="AF23">
        <f t="shared" si="12"/>
        <v>10</v>
      </c>
      <c r="AG23">
        <f t="shared" si="13"/>
        <v>0</v>
      </c>
    </row>
    <row r="24" spans="1:33" x14ac:dyDescent="0.25">
      <c r="A24" t="s">
        <v>62</v>
      </c>
      <c r="B24" t="s">
        <v>63</v>
      </c>
      <c r="C24">
        <v>168589</v>
      </c>
      <c r="D24">
        <v>168589</v>
      </c>
      <c r="H24">
        <v>20</v>
      </c>
      <c r="I24">
        <v>50</v>
      </c>
      <c r="J24">
        <v>10</v>
      </c>
      <c r="K24">
        <v>10</v>
      </c>
      <c r="L24">
        <v>10</v>
      </c>
      <c r="M24">
        <v>100</v>
      </c>
      <c r="S24">
        <f t="shared" si="2"/>
        <v>0</v>
      </c>
      <c r="T24">
        <f t="shared" si="3"/>
        <v>8.3333333333333339</v>
      </c>
      <c r="U24">
        <f t="shared" si="0"/>
        <v>1</v>
      </c>
      <c r="V24">
        <f t="shared" si="4"/>
        <v>0</v>
      </c>
      <c r="W24">
        <f t="shared" si="5"/>
        <v>1</v>
      </c>
      <c r="X24">
        <f t="shared" si="14"/>
        <v>0</v>
      </c>
      <c r="Y24">
        <f t="shared" si="15"/>
        <v>1</v>
      </c>
      <c r="Z24">
        <f t="shared" si="6"/>
        <v>0</v>
      </c>
      <c r="AA24">
        <f t="shared" si="7"/>
        <v>0</v>
      </c>
      <c r="AB24">
        <f t="shared" si="8"/>
        <v>0</v>
      </c>
      <c r="AC24">
        <f t="shared" si="9"/>
        <v>10</v>
      </c>
      <c r="AD24" s="1">
        <f t="shared" si="10"/>
        <v>8.3333333333333339</v>
      </c>
      <c r="AE24">
        <f t="shared" si="11"/>
        <v>5</v>
      </c>
      <c r="AF24">
        <f t="shared" si="12"/>
        <v>10</v>
      </c>
      <c r="AG24">
        <f t="shared" si="13"/>
        <v>10</v>
      </c>
    </row>
    <row r="25" spans="1:33" x14ac:dyDescent="0.25">
      <c r="A25" t="s">
        <v>64</v>
      </c>
      <c r="B25" t="s">
        <v>65</v>
      </c>
      <c r="C25">
        <v>167379</v>
      </c>
      <c r="D25">
        <v>167379</v>
      </c>
      <c r="S25">
        <f t="shared" si="2"/>
        <v>0</v>
      </c>
      <c r="T25">
        <f t="shared" si="3"/>
        <v>0</v>
      </c>
      <c r="U25">
        <f t="shared" si="0"/>
        <v>0</v>
      </c>
      <c r="V25">
        <f t="shared" si="4"/>
        <v>0</v>
      </c>
      <c r="W25">
        <f t="shared" si="5"/>
        <v>0</v>
      </c>
      <c r="X25">
        <f t="shared" si="14"/>
        <v>0</v>
      </c>
      <c r="Y25">
        <f t="shared" si="15"/>
        <v>0</v>
      </c>
      <c r="Z25">
        <f t="shared" si="6"/>
        <v>0</v>
      </c>
      <c r="AA25">
        <f t="shared" si="7"/>
        <v>0</v>
      </c>
      <c r="AB25">
        <f t="shared" si="8"/>
        <v>0</v>
      </c>
      <c r="AC25">
        <f t="shared" si="9"/>
        <v>0</v>
      </c>
      <c r="AD25" s="1">
        <f t="shared" si="10"/>
        <v>0</v>
      </c>
      <c r="AE25">
        <f t="shared" si="11"/>
        <v>0</v>
      </c>
      <c r="AF25">
        <f t="shared" si="12"/>
        <v>0</v>
      </c>
      <c r="AG25">
        <f t="shared" si="13"/>
        <v>0</v>
      </c>
    </row>
    <row r="26" spans="1:33" x14ac:dyDescent="0.25">
      <c r="A26" t="s">
        <v>66</v>
      </c>
      <c r="B26" t="s">
        <v>67</v>
      </c>
      <c r="C26">
        <v>167637</v>
      </c>
      <c r="D26">
        <v>167637</v>
      </c>
      <c r="E26">
        <v>10</v>
      </c>
      <c r="F26">
        <v>20</v>
      </c>
      <c r="G26">
        <v>20</v>
      </c>
      <c r="O26">
        <v>50</v>
      </c>
      <c r="S26">
        <f t="shared" si="2"/>
        <v>3.125</v>
      </c>
      <c r="T26">
        <f t="shared" si="3"/>
        <v>0</v>
      </c>
      <c r="U26">
        <f t="shared" si="0"/>
        <v>1</v>
      </c>
      <c r="V26">
        <f t="shared" si="4"/>
        <v>1</v>
      </c>
      <c r="W26">
        <f t="shared" si="5"/>
        <v>0</v>
      </c>
      <c r="X26">
        <f t="shared" si="14"/>
        <v>0</v>
      </c>
      <c r="Y26">
        <f t="shared" si="15"/>
        <v>0</v>
      </c>
      <c r="Z26">
        <f t="shared" si="6"/>
        <v>2</v>
      </c>
      <c r="AA26">
        <f t="shared" si="7"/>
        <v>5</v>
      </c>
      <c r="AB26">
        <f t="shared" si="8"/>
        <v>2.8571428571428572</v>
      </c>
      <c r="AC26">
        <f t="shared" si="9"/>
        <v>0</v>
      </c>
      <c r="AD26" s="1">
        <f t="shared" si="10"/>
        <v>0</v>
      </c>
      <c r="AE26">
        <f t="shared" si="11"/>
        <v>0</v>
      </c>
      <c r="AF26">
        <f t="shared" si="12"/>
        <v>0</v>
      </c>
      <c r="AG26">
        <f t="shared" si="13"/>
        <v>0</v>
      </c>
    </row>
    <row r="27" spans="1:33" x14ac:dyDescent="0.25">
      <c r="A27" t="s">
        <v>68</v>
      </c>
      <c r="B27" t="s">
        <v>69</v>
      </c>
      <c r="C27">
        <v>165710</v>
      </c>
      <c r="D27">
        <v>165710</v>
      </c>
      <c r="H27">
        <v>10</v>
      </c>
      <c r="I27">
        <v>40</v>
      </c>
      <c r="J27">
        <v>20</v>
      </c>
      <c r="K27">
        <v>0</v>
      </c>
      <c r="L27">
        <v>10</v>
      </c>
      <c r="M27">
        <v>80</v>
      </c>
      <c r="S27">
        <f t="shared" si="2"/>
        <v>0</v>
      </c>
      <c r="T27">
        <f t="shared" si="3"/>
        <v>6.666666666666667</v>
      </c>
      <c r="U27">
        <f t="shared" si="0"/>
        <v>1</v>
      </c>
      <c r="V27">
        <f t="shared" si="4"/>
        <v>0</v>
      </c>
      <c r="W27">
        <f t="shared" si="5"/>
        <v>1</v>
      </c>
      <c r="X27">
        <f t="shared" si="14"/>
        <v>0</v>
      </c>
      <c r="Y27">
        <f t="shared" si="15"/>
        <v>1</v>
      </c>
      <c r="Z27">
        <f t="shared" si="6"/>
        <v>0</v>
      </c>
      <c r="AA27">
        <f t="shared" si="7"/>
        <v>0</v>
      </c>
      <c r="AB27">
        <f t="shared" si="8"/>
        <v>0</v>
      </c>
      <c r="AC27">
        <f t="shared" si="9"/>
        <v>5</v>
      </c>
      <c r="AD27" s="1">
        <f t="shared" si="10"/>
        <v>6.666666666666667</v>
      </c>
      <c r="AE27">
        <f t="shared" si="11"/>
        <v>10</v>
      </c>
      <c r="AF27">
        <f t="shared" si="12"/>
        <v>0</v>
      </c>
      <c r="AG27">
        <f t="shared" si="13"/>
        <v>10</v>
      </c>
    </row>
    <row r="28" spans="1:33" x14ac:dyDescent="0.25">
      <c r="A28" t="s">
        <v>70</v>
      </c>
      <c r="B28" t="s">
        <v>71</v>
      </c>
      <c r="C28">
        <v>166283</v>
      </c>
      <c r="D28">
        <v>166283</v>
      </c>
      <c r="E28">
        <v>10</v>
      </c>
      <c r="F28">
        <v>10</v>
      </c>
      <c r="G28">
        <v>40</v>
      </c>
      <c r="O28">
        <v>60</v>
      </c>
      <c r="S28">
        <f t="shared" si="2"/>
        <v>3.75</v>
      </c>
      <c r="T28">
        <f t="shared" si="3"/>
        <v>0</v>
      </c>
      <c r="U28">
        <f t="shared" si="0"/>
        <v>1</v>
      </c>
      <c r="V28">
        <f t="shared" si="4"/>
        <v>1</v>
      </c>
      <c r="W28">
        <f t="shared" si="5"/>
        <v>0</v>
      </c>
      <c r="X28">
        <f t="shared" si="14"/>
        <v>0</v>
      </c>
      <c r="Y28">
        <f t="shared" si="15"/>
        <v>0</v>
      </c>
      <c r="Z28">
        <f t="shared" si="6"/>
        <v>2</v>
      </c>
      <c r="AA28">
        <f t="shared" si="7"/>
        <v>2.5</v>
      </c>
      <c r="AB28">
        <f t="shared" si="8"/>
        <v>5.7142857142857144</v>
      </c>
      <c r="AC28">
        <f t="shared" si="9"/>
        <v>0</v>
      </c>
      <c r="AD28" s="1">
        <f t="shared" si="10"/>
        <v>0</v>
      </c>
      <c r="AE28">
        <f t="shared" si="11"/>
        <v>0</v>
      </c>
      <c r="AF28">
        <f t="shared" si="12"/>
        <v>0</v>
      </c>
      <c r="AG28">
        <f t="shared" si="13"/>
        <v>0</v>
      </c>
    </row>
    <row r="29" spans="1:33" x14ac:dyDescent="0.25">
      <c r="A29" t="s">
        <v>72</v>
      </c>
      <c r="B29" t="s">
        <v>73</v>
      </c>
      <c r="C29">
        <v>164617</v>
      </c>
      <c r="D29">
        <v>164617</v>
      </c>
      <c r="H29">
        <v>10</v>
      </c>
      <c r="I29">
        <v>60</v>
      </c>
      <c r="J29">
        <v>10</v>
      </c>
      <c r="K29">
        <v>10</v>
      </c>
      <c r="L29">
        <v>0</v>
      </c>
      <c r="M29">
        <v>90</v>
      </c>
      <c r="S29">
        <f t="shared" si="2"/>
        <v>0</v>
      </c>
      <c r="T29">
        <f t="shared" si="3"/>
        <v>7.5</v>
      </c>
      <c r="U29">
        <f t="shared" si="0"/>
        <v>1</v>
      </c>
      <c r="V29">
        <f t="shared" si="4"/>
        <v>0</v>
      </c>
      <c r="W29">
        <f t="shared" si="5"/>
        <v>1</v>
      </c>
      <c r="X29">
        <f t="shared" si="14"/>
        <v>0</v>
      </c>
      <c r="Y29">
        <f t="shared" si="15"/>
        <v>1</v>
      </c>
      <c r="Z29">
        <f t="shared" si="6"/>
        <v>0</v>
      </c>
      <c r="AA29">
        <f t="shared" si="7"/>
        <v>0</v>
      </c>
      <c r="AB29">
        <f t="shared" si="8"/>
        <v>0</v>
      </c>
      <c r="AC29">
        <f t="shared" si="9"/>
        <v>5</v>
      </c>
      <c r="AD29" s="1">
        <f t="shared" si="10"/>
        <v>10</v>
      </c>
      <c r="AE29">
        <f t="shared" si="11"/>
        <v>5</v>
      </c>
      <c r="AF29">
        <f t="shared" si="12"/>
        <v>10</v>
      </c>
      <c r="AG29">
        <f t="shared" si="13"/>
        <v>0</v>
      </c>
    </row>
    <row r="30" spans="1:33" x14ac:dyDescent="0.25">
      <c r="A30" t="s">
        <v>74</v>
      </c>
      <c r="B30" t="s">
        <v>75</v>
      </c>
      <c r="C30">
        <v>167514</v>
      </c>
      <c r="D30">
        <v>167514</v>
      </c>
      <c r="E30">
        <v>20</v>
      </c>
      <c r="F30">
        <v>20</v>
      </c>
      <c r="G30">
        <v>10</v>
      </c>
      <c r="O30">
        <v>50</v>
      </c>
      <c r="S30">
        <f t="shared" si="2"/>
        <v>3.125</v>
      </c>
      <c r="T30">
        <f t="shared" si="3"/>
        <v>0</v>
      </c>
      <c r="U30">
        <f t="shared" si="0"/>
        <v>1</v>
      </c>
      <c r="V30">
        <f t="shared" si="4"/>
        <v>1</v>
      </c>
      <c r="W30">
        <f t="shared" si="5"/>
        <v>0</v>
      </c>
      <c r="X30">
        <f t="shared" si="14"/>
        <v>0</v>
      </c>
      <c r="Y30">
        <f t="shared" si="15"/>
        <v>0</v>
      </c>
      <c r="Z30">
        <f t="shared" si="6"/>
        <v>4</v>
      </c>
      <c r="AA30">
        <f t="shared" si="7"/>
        <v>5</v>
      </c>
      <c r="AB30">
        <f t="shared" si="8"/>
        <v>1.4285714285714286</v>
      </c>
      <c r="AC30">
        <f t="shared" si="9"/>
        <v>0</v>
      </c>
      <c r="AD30" s="1">
        <f t="shared" si="10"/>
        <v>0</v>
      </c>
      <c r="AE30">
        <f t="shared" si="11"/>
        <v>0</v>
      </c>
      <c r="AF30">
        <f t="shared" si="12"/>
        <v>0</v>
      </c>
      <c r="AG30">
        <f t="shared" si="13"/>
        <v>0</v>
      </c>
    </row>
    <row r="31" spans="1:33" x14ac:dyDescent="0.25">
      <c r="A31" t="s">
        <v>76</v>
      </c>
      <c r="B31" t="s">
        <v>77</v>
      </c>
      <c r="C31">
        <v>165900</v>
      </c>
      <c r="D31">
        <v>165900</v>
      </c>
      <c r="E31">
        <v>50</v>
      </c>
      <c r="F31">
        <v>10</v>
      </c>
      <c r="G31">
        <v>40</v>
      </c>
      <c r="O31">
        <v>100</v>
      </c>
      <c r="S31">
        <f t="shared" si="2"/>
        <v>6.25</v>
      </c>
      <c r="T31">
        <f t="shared" si="3"/>
        <v>0</v>
      </c>
      <c r="U31">
        <f t="shared" si="0"/>
        <v>1</v>
      </c>
      <c r="V31">
        <f t="shared" si="4"/>
        <v>1</v>
      </c>
      <c r="W31">
        <f t="shared" si="5"/>
        <v>0</v>
      </c>
      <c r="X31">
        <f t="shared" si="14"/>
        <v>1</v>
      </c>
      <c r="Y31">
        <f t="shared" si="15"/>
        <v>0</v>
      </c>
      <c r="Z31">
        <f t="shared" si="6"/>
        <v>10</v>
      </c>
      <c r="AA31">
        <f t="shared" si="7"/>
        <v>2.5</v>
      </c>
      <c r="AB31">
        <f t="shared" si="8"/>
        <v>5.7142857142857144</v>
      </c>
      <c r="AC31">
        <f t="shared" si="9"/>
        <v>0</v>
      </c>
      <c r="AD31" s="1">
        <f t="shared" si="10"/>
        <v>0</v>
      </c>
      <c r="AE31">
        <f t="shared" si="11"/>
        <v>0</v>
      </c>
      <c r="AF31">
        <f t="shared" si="12"/>
        <v>0</v>
      </c>
      <c r="AG31">
        <f t="shared" si="13"/>
        <v>0</v>
      </c>
    </row>
    <row r="32" spans="1:33" x14ac:dyDescent="0.25">
      <c r="A32" t="s">
        <v>78</v>
      </c>
      <c r="B32" t="s">
        <v>79</v>
      </c>
      <c r="C32">
        <v>168243</v>
      </c>
      <c r="D32">
        <v>168243</v>
      </c>
      <c r="E32">
        <v>20</v>
      </c>
      <c r="F32">
        <v>20</v>
      </c>
      <c r="G32">
        <v>0</v>
      </c>
      <c r="O32">
        <v>40</v>
      </c>
      <c r="S32">
        <f t="shared" si="2"/>
        <v>2.5</v>
      </c>
      <c r="T32">
        <f t="shared" si="3"/>
        <v>0</v>
      </c>
      <c r="U32">
        <f t="shared" si="0"/>
        <v>1</v>
      </c>
      <c r="V32">
        <f t="shared" si="4"/>
        <v>1</v>
      </c>
      <c r="W32">
        <f t="shared" si="5"/>
        <v>0</v>
      </c>
      <c r="X32">
        <f t="shared" si="14"/>
        <v>0</v>
      </c>
      <c r="Y32">
        <f t="shared" si="15"/>
        <v>0</v>
      </c>
      <c r="Z32">
        <f t="shared" si="6"/>
        <v>4</v>
      </c>
      <c r="AA32">
        <f t="shared" si="7"/>
        <v>5</v>
      </c>
      <c r="AB32">
        <f t="shared" si="8"/>
        <v>0</v>
      </c>
      <c r="AC32">
        <f t="shared" si="9"/>
        <v>0</v>
      </c>
      <c r="AD32" s="1">
        <f t="shared" si="10"/>
        <v>0</v>
      </c>
      <c r="AE32">
        <f t="shared" si="11"/>
        <v>0</v>
      </c>
      <c r="AF32">
        <f t="shared" si="12"/>
        <v>0</v>
      </c>
      <c r="AG32">
        <f t="shared" si="13"/>
        <v>0</v>
      </c>
    </row>
    <row r="33" spans="1:33" x14ac:dyDescent="0.25">
      <c r="A33" t="s">
        <v>80</v>
      </c>
      <c r="B33" t="s">
        <v>81</v>
      </c>
      <c r="C33">
        <v>164818</v>
      </c>
      <c r="D33">
        <v>164818</v>
      </c>
      <c r="H33">
        <v>0</v>
      </c>
      <c r="I33">
        <v>20</v>
      </c>
      <c r="J33">
        <v>10</v>
      </c>
      <c r="K33">
        <v>0</v>
      </c>
      <c r="L33">
        <v>0</v>
      </c>
      <c r="M33">
        <v>30</v>
      </c>
      <c r="S33">
        <f t="shared" si="2"/>
        <v>0</v>
      </c>
      <c r="T33">
        <f t="shared" si="3"/>
        <v>2.5</v>
      </c>
      <c r="U33">
        <f t="shared" si="0"/>
        <v>1</v>
      </c>
      <c r="V33">
        <f t="shared" si="4"/>
        <v>0</v>
      </c>
      <c r="W33">
        <f t="shared" si="5"/>
        <v>1</v>
      </c>
      <c r="X33">
        <f t="shared" si="14"/>
        <v>0</v>
      </c>
      <c r="Y33">
        <f t="shared" si="15"/>
        <v>0</v>
      </c>
      <c r="Z33">
        <f t="shared" si="6"/>
        <v>0</v>
      </c>
      <c r="AA33">
        <f t="shared" si="7"/>
        <v>0</v>
      </c>
      <c r="AB33">
        <f t="shared" si="8"/>
        <v>0</v>
      </c>
      <c r="AC33">
        <f t="shared" si="9"/>
        <v>0</v>
      </c>
      <c r="AD33" s="1">
        <f t="shared" si="10"/>
        <v>3.3333333333333335</v>
      </c>
      <c r="AE33">
        <f t="shared" si="11"/>
        <v>5</v>
      </c>
      <c r="AF33">
        <f t="shared" si="12"/>
        <v>0</v>
      </c>
      <c r="AG33">
        <f t="shared" si="13"/>
        <v>0</v>
      </c>
    </row>
    <row r="34" spans="1:33" x14ac:dyDescent="0.25">
      <c r="A34" t="s">
        <v>82</v>
      </c>
      <c r="B34" t="s">
        <v>83</v>
      </c>
      <c r="C34">
        <v>167696</v>
      </c>
      <c r="D34">
        <v>167696</v>
      </c>
      <c r="E34">
        <v>0</v>
      </c>
      <c r="F34">
        <v>20</v>
      </c>
      <c r="G34">
        <v>30</v>
      </c>
      <c r="O34">
        <v>50</v>
      </c>
      <c r="S34">
        <f t="shared" si="2"/>
        <v>3.125</v>
      </c>
      <c r="T34">
        <f t="shared" si="3"/>
        <v>0</v>
      </c>
      <c r="U34">
        <f t="shared" si="0"/>
        <v>1</v>
      </c>
      <c r="V34">
        <f t="shared" si="4"/>
        <v>1</v>
      </c>
      <c r="W34">
        <f t="shared" si="5"/>
        <v>0</v>
      </c>
      <c r="X34">
        <f t="shared" si="14"/>
        <v>0</v>
      </c>
      <c r="Y34">
        <f t="shared" si="15"/>
        <v>0</v>
      </c>
      <c r="Z34">
        <f t="shared" si="6"/>
        <v>0</v>
      </c>
      <c r="AA34">
        <f t="shared" si="7"/>
        <v>5</v>
      </c>
      <c r="AB34">
        <f t="shared" si="8"/>
        <v>4.2857142857142856</v>
      </c>
      <c r="AC34">
        <f t="shared" si="9"/>
        <v>0</v>
      </c>
      <c r="AD34" s="1">
        <f t="shared" si="10"/>
        <v>0</v>
      </c>
      <c r="AE34">
        <f t="shared" si="11"/>
        <v>0</v>
      </c>
      <c r="AF34">
        <f t="shared" si="12"/>
        <v>0</v>
      </c>
      <c r="AG34">
        <f t="shared" si="13"/>
        <v>0</v>
      </c>
    </row>
    <row r="35" spans="1:33" x14ac:dyDescent="0.25">
      <c r="A35" t="s">
        <v>84</v>
      </c>
      <c r="B35" t="s">
        <v>85</v>
      </c>
      <c r="C35">
        <v>167115</v>
      </c>
      <c r="D35">
        <v>167115</v>
      </c>
      <c r="H35">
        <v>20</v>
      </c>
      <c r="I35">
        <v>30</v>
      </c>
      <c r="J35">
        <v>20</v>
      </c>
      <c r="K35">
        <v>0</v>
      </c>
      <c r="L35">
        <v>10</v>
      </c>
      <c r="M35">
        <v>80</v>
      </c>
      <c r="S35">
        <f t="shared" si="2"/>
        <v>0</v>
      </c>
      <c r="T35">
        <f t="shared" si="3"/>
        <v>6.666666666666667</v>
      </c>
      <c r="U35">
        <f t="shared" si="0"/>
        <v>1</v>
      </c>
      <c r="V35">
        <f t="shared" si="4"/>
        <v>0</v>
      </c>
      <c r="W35">
        <f t="shared" si="5"/>
        <v>1</v>
      </c>
      <c r="X35">
        <f t="shared" si="14"/>
        <v>0</v>
      </c>
      <c r="Y35">
        <f t="shared" si="15"/>
        <v>1</v>
      </c>
      <c r="Z35">
        <f t="shared" si="6"/>
        <v>0</v>
      </c>
      <c r="AA35">
        <f t="shared" si="7"/>
        <v>0</v>
      </c>
      <c r="AB35">
        <f t="shared" si="8"/>
        <v>0</v>
      </c>
      <c r="AC35">
        <f t="shared" si="9"/>
        <v>10</v>
      </c>
      <c r="AD35" s="1">
        <f t="shared" si="10"/>
        <v>5</v>
      </c>
      <c r="AE35">
        <f t="shared" si="11"/>
        <v>10</v>
      </c>
      <c r="AF35">
        <f t="shared" si="12"/>
        <v>0</v>
      </c>
      <c r="AG35">
        <f t="shared" si="13"/>
        <v>10</v>
      </c>
    </row>
    <row r="36" spans="1:33" x14ac:dyDescent="0.25">
      <c r="A36" t="s">
        <v>86</v>
      </c>
      <c r="B36" t="s">
        <v>87</v>
      </c>
      <c r="C36">
        <v>166178</v>
      </c>
      <c r="D36">
        <v>166178</v>
      </c>
      <c r="H36">
        <v>10</v>
      </c>
      <c r="I36">
        <v>30</v>
      </c>
      <c r="J36">
        <v>20</v>
      </c>
      <c r="K36">
        <v>10</v>
      </c>
      <c r="L36">
        <v>0</v>
      </c>
      <c r="M36">
        <v>70</v>
      </c>
      <c r="S36">
        <f t="shared" si="2"/>
        <v>0</v>
      </c>
      <c r="T36">
        <f t="shared" si="3"/>
        <v>5.833333333333333</v>
      </c>
      <c r="U36">
        <f t="shared" si="0"/>
        <v>1</v>
      </c>
      <c r="V36">
        <f t="shared" si="4"/>
        <v>0</v>
      </c>
      <c r="W36">
        <f t="shared" si="5"/>
        <v>1</v>
      </c>
      <c r="X36">
        <f t="shared" si="14"/>
        <v>0</v>
      </c>
      <c r="Y36">
        <f t="shared" si="15"/>
        <v>0</v>
      </c>
      <c r="Z36">
        <f t="shared" si="6"/>
        <v>0</v>
      </c>
      <c r="AA36">
        <f t="shared" si="7"/>
        <v>0</v>
      </c>
      <c r="AB36">
        <f t="shared" si="8"/>
        <v>0</v>
      </c>
      <c r="AC36">
        <f t="shared" si="9"/>
        <v>5</v>
      </c>
      <c r="AD36" s="1">
        <f t="shared" si="10"/>
        <v>5</v>
      </c>
      <c r="AE36">
        <f t="shared" si="11"/>
        <v>10</v>
      </c>
      <c r="AF36">
        <f t="shared" si="12"/>
        <v>10</v>
      </c>
      <c r="AG36">
        <f t="shared" si="13"/>
        <v>0</v>
      </c>
    </row>
    <row r="37" spans="1:33" x14ac:dyDescent="0.25">
      <c r="A37" t="s">
        <v>88</v>
      </c>
      <c r="B37" t="s">
        <v>89</v>
      </c>
      <c r="C37">
        <v>168167</v>
      </c>
      <c r="D37">
        <v>168167</v>
      </c>
      <c r="E37">
        <v>30</v>
      </c>
      <c r="F37">
        <v>30</v>
      </c>
      <c r="G37">
        <v>40</v>
      </c>
      <c r="O37">
        <v>100</v>
      </c>
      <c r="S37">
        <f t="shared" si="2"/>
        <v>6.25</v>
      </c>
      <c r="T37">
        <f t="shared" si="3"/>
        <v>0</v>
      </c>
      <c r="U37">
        <f t="shared" si="0"/>
        <v>1</v>
      </c>
      <c r="V37">
        <f t="shared" si="4"/>
        <v>1</v>
      </c>
      <c r="W37">
        <f t="shared" si="5"/>
        <v>0</v>
      </c>
      <c r="X37">
        <f t="shared" si="14"/>
        <v>1</v>
      </c>
      <c r="Y37">
        <f t="shared" si="15"/>
        <v>0</v>
      </c>
      <c r="Z37">
        <f t="shared" si="6"/>
        <v>6</v>
      </c>
      <c r="AA37">
        <f t="shared" si="7"/>
        <v>7.5</v>
      </c>
      <c r="AB37">
        <f t="shared" si="8"/>
        <v>5.7142857142857144</v>
      </c>
      <c r="AC37">
        <f t="shared" si="9"/>
        <v>0</v>
      </c>
      <c r="AD37" s="1">
        <f t="shared" si="10"/>
        <v>0</v>
      </c>
      <c r="AE37">
        <f t="shared" si="11"/>
        <v>0</v>
      </c>
      <c r="AF37">
        <f t="shared" si="12"/>
        <v>0</v>
      </c>
      <c r="AG37">
        <f t="shared" si="13"/>
        <v>0</v>
      </c>
    </row>
    <row r="38" spans="1:33" x14ac:dyDescent="0.25">
      <c r="A38" t="s">
        <v>90</v>
      </c>
      <c r="B38" t="s">
        <v>91</v>
      </c>
      <c r="C38">
        <v>168034</v>
      </c>
      <c r="D38">
        <v>168034</v>
      </c>
      <c r="S38">
        <f t="shared" si="2"/>
        <v>0</v>
      </c>
      <c r="T38">
        <f t="shared" si="3"/>
        <v>0</v>
      </c>
      <c r="U38">
        <f t="shared" si="0"/>
        <v>0</v>
      </c>
      <c r="V38">
        <f t="shared" si="4"/>
        <v>0</v>
      </c>
      <c r="W38">
        <f t="shared" si="5"/>
        <v>0</v>
      </c>
      <c r="X38">
        <f t="shared" si="14"/>
        <v>0</v>
      </c>
      <c r="Y38">
        <f t="shared" si="15"/>
        <v>0</v>
      </c>
      <c r="Z38">
        <f t="shared" si="6"/>
        <v>0</v>
      </c>
      <c r="AA38">
        <f t="shared" si="7"/>
        <v>0</v>
      </c>
      <c r="AB38">
        <f t="shared" si="8"/>
        <v>0</v>
      </c>
      <c r="AC38">
        <f t="shared" si="9"/>
        <v>0</v>
      </c>
      <c r="AD38" s="1">
        <f t="shared" si="10"/>
        <v>0</v>
      </c>
      <c r="AE38">
        <f t="shared" si="11"/>
        <v>0</v>
      </c>
      <c r="AF38">
        <f t="shared" si="12"/>
        <v>0</v>
      </c>
      <c r="AG38">
        <f t="shared" si="13"/>
        <v>0</v>
      </c>
    </row>
    <row r="39" spans="1:33" x14ac:dyDescent="0.25">
      <c r="A39" t="s">
        <v>92</v>
      </c>
      <c r="B39" t="s">
        <v>93</v>
      </c>
      <c r="C39">
        <v>163568</v>
      </c>
      <c r="D39">
        <v>163568</v>
      </c>
      <c r="E39">
        <v>10</v>
      </c>
      <c r="F39">
        <v>20</v>
      </c>
      <c r="G39">
        <v>30</v>
      </c>
      <c r="O39">
        <v>60</v>
      </c>
      <c r="S39">
        <f t="shared" si="2"/>
        <v>3.75</v>
      </c>
      <c r="T39">
        <f t="shared" si="3"/>
        <v>0</v>
      </c>
      <c r="U39">
        <f t="shared" si="0"/>
        <v>1</v>
      </c>
      <c r="V39">
        <f t="shared" si="4"/>
        <v>1</v>
      </c>
      <c r="W39">
        <f t="shared" si="5"/>
        <v>0</v>
      </c>
      <c r="X39">
        <f t="shared" si="14"/>
        <v>0</v>
      </c>
      <c r="Y39">
        <f t="shared" si="15"/>
        <v>0</v>
      </c>
      <c r="Z39">
        <f t="shared" si="6"/>
        <v>2</v>
      </c>
      <c r="AA39">
        <f t="shared" si="7"/>
        <v>5</v>
      </c>
      <c r="AB39">
        <f t="shared" si="8"/>
        <v>4.2857142857142856</v>
      </c>
      <c r="AC39">
        <f t="shared" si="9"/>
        <v>0</v>
      </c>
      <c r="AD39" s="1">
        <f t="shared" si="10"/>
        <v>0</v>
      </c>
      <c r="AE39">
        <f t="shared" si="11"/>
        <v>0</v>
      </c>
      <c r="AF39">
        <f t="shared" si="12"/>
        <v>0</v>
      </c>
      <c r="AG39">
        <f t="shared" si="13"/>
        <v>0</v>
      </c>
    </row>
    <row r="40" spans="1:33" x14ac:dyDescent="0.25">
      <c r="A40" t="s">
        <v>94</v>
      </c>
      <c r="B40" t="s">
        <v>95</v>
      </c>
      <c r="C40">
        <v>168229</v>
      </c>
      <c r="D40">
        <v>168229</v>
      </c>
      <c r="S40">
        <f t="shared" si="2"/>
        <v>0</v>
      </c>
      <c r="T40">
        <f t="shared" si="3"/>
        <v>0</v>
      </c>
      <c r="U40">
        <f t="shared" si="0"/>
        <v>0</v>
      </c>
      <c r="V40">
        <f t="shared" si="4"/>
        <v>0</v>
      </c>
      <c r="W40">
        <f t="shared" si="5"/>
        <v>0</v>
      </c>
      <c r="X40">
        <f t="shared" si="14"/>
        <v>0</v>
      </c>
      <c r="Y40">
        <f t="shared" si="15"/>
        <v>0</v>
      </c>
      <c r="Z40">
        <f t="shared" si="6"/>
        <v>0</v>
      </c>
      <c r="AA40">
        <f t="shared" si="7"/>
        <v>0</v>
      </c>
      <c r="AB40">
        <f t="shared" si="8"/>
        <v>0</v>
      </c>
      <c r="AC40">
        <f t="shared" si="9"/>
        <v>0</v>
      </c>
      <c r="AD40" s="1">
        <f t="shared" si="10"/>
        <v>0</v>
      </c>
      <c r="AE40">
        <f t="shared" si="11"/>
        <v>0</v>
      </c>
      <c r="AF40">
        <f t="shared" si="12"/>
        <v>0</v>
      </c>
      <c r="AG40">
        <f t="shared" si="13"/>
        <v>0</v>
      </c>
    </row>
    <row r="41" spans="1:33" x14ac:dyDescent="0.25">
      <c r="A41" t="s">
        <v>96</v>
      </c>
      <c r="B41" t="s">
        <v>97</v>
      </c>
      <c r="C41">
        <v>168177</v>
      </c>
      <c r="D41">
        <v>168177</v>
      </c>
      <c r="H41">
        <v>0</v>
      </c>
      <c r="I41">
        <v>40</v>
      </c>
      <c r="J41">
        <v>10</v>
      </c>
      <c r="K41">
        <v>10</v>
      </c>
      <c r="L41">
        <v>0</v>
      </c>
      <c r="M41">
        <v>60</v>
      </c>
      <c r="S41">
        <f t="shared" si="2"/>
        <v>0</v>
      </c>
      <c r="T41">
        <f t="shared" si="3"/>
        <v>5</v>
      </c>
      <c r="U41">
        <f t="shared" si="0"/>
        <v>1</v>
      </c>
      <c r="V41">
        <f t="shared" si="4"/>
        <v>0</v>
      </c>
      <c r="W41">
        <f t="shared" si="5"/>
        <v>1</v>
      </c>
      <c r="X41">
        <f t="shared" si="14"/>
        <v>0</v>
      </c>
      <c r="Y41">
        <f t="shared" si="15"/>
        <v>0</v>
      </c>
      <c r="Z41">
        <f t="shared" si="6"/>
        <v>0</v>
      </c>
      <c r="AA41">
        <f t="shared" si="7"/>
        <v>0</v>
      </c>
      <c r="AB41">
        <f t="shared" si="8"/>
        <v>0</v>
      </c>
      <c r="AC41">
        <f t="shared" si="9"/>
        <v>0</v>
      </c>
      <c r="AD41" s="1">
        <f t="shared" si="10"/>
        <v>6.666666666666667</v>
      </c>
      <c r="AE41">
        <f t="shared" si="11"/>
        <v>5</v>
      </c>
      <c r="AF41">
        <f t="shared" si="12"/>
        <v>10</v>
      </c>
      <c r="AG41">
        <f t="shared" si="13"/>
        <v>0</v>
      </c>
    </row>
    <row r="42" spans="1:33" x14ac:dyDescent="0.25">
      <c r="A42" t="s">
        <v>98</v>
      </c>
      <c r="B42" t="s">
        <v>99</v>
      </c>
      <c r="C42">
        <v>168598</v>
      </c>
      <c r="D42">
        <v>168598</v>
      </c>
      <c r="E42">
        <v>10</v>
      </c>
      <c r="F42">
        <v>20</v>
      </c>
      <c r="G42">
        <v>10</v>
      </c>
      <c r="O42">
        <v>40</v>
      </c>
      <c r="S42">
        <f t="shared" si="2"/>
        <v>2.5</v>
      </c>
      <c r="T42">
        <f t="shared" si="3"/>
        <v>0</v>
      </c>
      <c r="U42">
        <f t="shared" si="0"/>
        <v>1</v>
      </c>
      <c r="V42">
        <f t="shared" si="4"/>
        <v>1</v>
      </c>
      <c r="W42">
        <f t="shared" si="5"/>
        <v>0</v>
      </c>
      <c r="X42">
        <f t="shared" si="14"/>
        <v>0</v>
      </c>
      <c r="Y42">
        <f t="shared" si="15"/>
        <v>0</v>
      </c>
      <c r="Z42">
        <f t="shared" si="6"/>
        <v>2</v>
      </c>
      <c r="AA42">
        <f t="shared" si="7"/>
        <v>5</v>
      </c>
      <c r="AB42">
        <f t="shared" si="8"/>
        <v>1.4285714285714286</v>
      </c>
      <c r="AC42">
        <f t="shared" si="9"/>
        <v>0</v>
      </c>
      <c r="AD42" s="1">
        <f t="shared" si="10"/>
        <v>0</v>
      </c>
      <c r="AE42">
        <f t="shared" si="11"/>
        <v>0</v>
      </c>
      <c r="AF42">
        <f t="shared" si="12"/>
        <v>0</v>
      </c>
      <c r="AG42">
        <f t="shared" si="13"/>
        <v>0</v>
      </c>
    </row>
    <row r="43" spans="1:33" x14ac:dyDescent="0.25">
      <c r="A43" t="s">
        <v>100</v>
      </c>
      <c r="B43" t="s">
        <v>101</v>
      </c>
      <c r="C43">
        <v>165839</v>
      </c>
      <c r="D43">
        <v>165839</v>
      </c>
      <c r="E43">
        <v>0</v>
      </c>
      <c r="F43">
        <v>30</v>
      </c>
      <c r="G43">
        <v>20</v>
      </c>
      <c r="O43">
        <v>50</v>
      </c>
      <c r="S43">
        <f t="shared" si="2"/>
        <v>3.125</v>
      </c>
      <c r="T43">
        <f t="shared" si="3"/>
        <v>0</v>
      </c>
      <c r="U43">
        <f t="shared" si="0"/>
        <v>1</v>
      </c>
      <c r="V43">
        <f t="shared" si="4"/>
        <v>1</v>
      </c>
      <c r="W43">
        <f t="shared" si="5"/>
        <v>0</v>
      </c>
      <c r="X43">
        <f t="shared" si="14"/>
        <v>0</v>
      </c>
      <c r="Y43">
        <f t="shared" si="15"/>
        <v>0</v>
      </c>
      <c r="Z43">
        <f t="shared" si="6"/>
        <v>0</v>
      </c>
      <c r="AA43">
        <f t="shared" si="7"/>
        <v>7.5</v>
      </c>
      <c r="AB43">
        <f t="shared" si="8"/>
        <v>2.8571428571428572</v>
      </c>
      <c r="AC43">
        <f t="shared" si="9"/>
        <v>0</v>
      </c>
      <c r="AD43" s="1">
        <f t="shared" si="10"/>
        <v>0</v>
      </c>
      <c r="AE43">
        <f t="shared" si="11"/>
        <v>0</v>
      </c>
      <c r="AF43">
        <f t="shared" si="12"/>
        <v>0</v>
      </c>
      <c r="AG43">
        <f t="shared" si="13"/>
        <v>0</v>
      </c>
    </row>
    <row r="44" spans="1:33" x14ac:dyDescent="0.25">
      <c r="A44" t="s">
        <v>102</v>
      </c>
      <c r="B44" t="s">
        <v>103</v>
      </c>
      <c r="C44">
        <v>168192</v>
      </c>
      <c r="D44">
        <v>168192</v>
      </c>
      <c r="E44">
        <v>50</v>
      </c>
      <c r="F44">
        <v>20</v>
      </c>
      <c r="G44">
        <v>40</v>
      </c>
      <c r="O44">
        <v>110</v>
      </c>
      <c r="S44">
        <f t="shared" si="2"/>
        <v>6.875</v>
      </c>
      <c r="T44">
        <f t="shared" si="3"/>
        <v>0</v>
      </c>
      <c r="U44">
        <f t="shared" si="0"/>
        <v>1</v>
      </c>
      <c r="V44">
        <f t="shared" si="4"/>
        <v>1</v>
      </c>
      <c r="W44">
        <f t="shared" si="5"/>
        <v>0</v>
      </c>
      <c r="X44">
        <f t="shared" si="14"/>
        <v>1</v>
      </c>
      <c r="Y44">
        <f t="shared" si="15"/>
        <v>0</v>
      </c>
      <c r="Z44">
        <f t="shared" si="6"/>
        <v>10</v>
      </c>
      <c r="AA44">
        <f t="shared" si="7"/>
        <v>5</v>
      </c>
      <c r="AB44">
        <f t="shared" si="8"/>
        <v>5.7142857142857144</v>
      </c>
      <c r="AC44">
        <f t="shared" si="9"/>
        <v>0</v>
      </c>
      <c r="AD44" s="1">
        <f t="shared" si="10"/>
        <v>0</v>
      </c>
      <c r="AE44">
        <f t="shared" si="11"/>
        <v>0</v>
      </c>
      <c r="AF44">
        <f t="shared" si="12"/>
        <v>0</v>
      </c>
      <c r="AG44">
        <f t="shared" si="13"/>
        <v>0</v>
      </c>
    </row>
    <row r="45" spans="1:33" x14ac:dyDescent="0.25">
      <c r="A45" t="s">
        <v>104</v>
      </c>
      <c r="B45" t="s">
        <v>105</v>
      </c>
      <c r="C45">
        <v>168374</v>
      </c>
      <c r="D45">
        <v>168374</v>
      </c>
      <c r="H45">
        <v>0</v>
      </c>
      <c r="I45">
        <v>30</v>
      </c>
      <c r="J45">
        <v>10</v>
      </c>
      <c r="M45">
        <v>40</v>
      </c>
      <c r="S45">
        <f t="shared" si="2"/>
        <v>0</v>
      </c>
      <c r="T45">
        <f t="shared" si="3"/>
        <v>3.3333333333333335</v>
      </c>
      <c r="U45">
        <f t="shared" si="0"/>
        <v>1</v>
      </c>
      <c r="V45">
        <f t="shared" si="4"/>
        <v>0</v>
      </c>
      <c r="W45">
        <f t="shared" si="5"/>
        <v>1</v>
      </c>
      <c r="X45">
        <f t="shared" si="14"/>
        <v>0</v>
      </c>
      <c r="Y45">
        <f t="shared" si="15"/>
        <v>0</v>
      </c>
      <c r="Z45">
        <f t="shared" si="6"/>
        <v>0</v>
      </c>
      <c r="AA45">
        <f t="shared" si="7"/>
        <v>0</v>
      </c>
      <c r="AB45">
        <f t="shared" si="8"/>
        <v>0</v>
      </c>
      <c r="AC45">
        <f t="shared" si="9"/>
        <v>0</v>
      </c>
      <c r="AD45" s="1">
        <f t="shared" si="10"/>
        <v>5</v>
      </c>
      <c r="AE45">
        <f t="shared" si="11"/>
        <v>5</v>
      </c>
      <c r="AF45">
        <f t="shared" si="12"/>
        <v>0</v>
      </c>
      <c r="AG45">
        <f t="shared" si="13"/>
        <v>0</v>
      </c>
    </row>
    <row r="46" spans="1:33" x14ac:dyDescent="0.25">
      <c r="A46" t="s">
        <v>106</v>
      </c>
      <c r="B46" t="s">
        <v>107</v>
      </c>
      <c r="C46">
        <v>163193</v>
      </c>
      <c r="D46">
        <v>163193</v>
      </c>
      <c r="S46">
        <f t="shared" si="2"/>
        <v>0</v>
      </c>
      <c r="T46">
        <f t="shared" si="3"/>
        <v>0</v>
      </c>
      <c r="U46">
        <f t="shared" si="0"/>
        <v>0</v>
      </c>
      <c r="V46">
        <f t="shared" si="4"/>
        <v>0</v>
      </c>
      <c r="W46">
        <f t="shared" si="5"/>
        <v>0</v>
      </c>
      <c r="X46">
        <f t="shared" si="14"/>
        <v>0</v>
      </c>
      <c r="Y46">
        <f t="shared" si="15"/>
        <v>0</v>
      </c>
      <c r="Z46">
        <f t="shared" si="6"/>
        <v>0</v>
      </c>
      <c r="AA46">
        <f t="shared" si="7"/>
        <v>0</v>
      </c>
      <c r="AB46">
        <f t="shared" si="8"/>
        <v>0</v>
      </c>
      <c r="AC46">
        <f t="shared" si="9"/>
        <v>0</v>
      </c>
      <c r="AD46" s="1">
        <f t="shared" si="10"/>
        <v>0</v>
      </c>
      <c r="AE46">
        <f t="shared" si="11"/>
        <v>0</v>
      </c>
      <c r="AF46">
        <f t="shared" si="12"/>
        <v>0</v>
      </c>
      <c r="AG46">
        <f t="shared" si="13"/>
        <v>0</v>
      </c>
    </row>
    <row r="47" spans="1:33" x14ac:dyDescent="0.25">
      <c r="A47" t="s">
        <v>108</v>
      </c>
      <c r="B47" t="s">
        <v>109</v>
      </c>
      <c r="C47">
        <v>168367</v>
      </c>
      <c r="D47">
        <v>168367</v>
      </c>
      <c r="E47">
        <v>50</v>
      </c>
      <c r="F47">
        <v>30</v>
      </c>
      <c r="G47">
        <v>40</v>
      </c>
      <c r="O47">
        <v>120</v>
      </c>
      <c r="S47">
        <f t="shared" si="2"/>
        <v>7.5</v>
      </c>
      <c r="T47">
        <f t="shared" si="3"/>
        <v>0</v>
      </c>
      <c r="U47">
        <f t="shared" si="0"/>
        <v>1</v>
      </c>
      <c r="V47">
        <f t="shared" si="4"/>
        <v>1</v>
      </c>
      <c r="W47">
        <f t="shared" si="5"/>
        <v>0</v>
      </c>
      <c r="X47">
        <f t="shared" si="14"/>
        <v>1</v>
      </c>
      <c r="Y47">
        <f t="shared" si="15"/>
        <v>0</v>
      </c>
      <c r="Z47">
        <f t="shared" si="6"/>
        <v>10</v>
      </c>
      <c r="AA47">
        <f t="shared" si="7"/>
        <v>7.5</v>
      </c>
      <c r="AB47">
        <f t="shared" si="8"/>
        <v>5.7142857142857144</v>
      </c>
      <c r="AC47">
        <f t="shared" si="9"/>
        <v>0</v>
      </c>
      <c r="AD47" s="1">
        <f t="shared" si="10"/>
        <v>0</v>
      </c>
      <c r="AE47">
        <f t="shared" si="11"/>
        <v>0</v>
      </c>
      <c r="AF47">
        <f t="shared" si="12"/>
        <v>0</v>
      </c>
      <c r="AG47">
        <f t="shared" si="13"/>
        <v>0</v>
      </c>
    </row>
    <row r="48" spans="1:33" x14ac:dyDescent="0.25">
      <c r="A48" t="s">
        <v>110</v>
      </c>
      <c r="B48" t="s">
        <v>49</v>
      </c>
      <c r="C48">
        <v>165727</v>
      </c>
      <c r="D48">
        <v>165727</v>
      </c>
      <c r="S48">
        <f t="shared" si="2"/>
        <v>0</v>
      </c>
      <c r="T48">
        <f t="shared" si="3"/>
        <v>0</v>
      </c>
      <c r="U48">
        <f t="shared" si="0"/>
        <v>0</v>
      </c>
      <c r="V48">
        <f t="shared" si="4"/>
        <v>0</v>
      </c>
      <c r="W48">
        <f t="shared" si="5"/>
        <v>0</v>
      </c>
      <c r="X48">
        <f t="shared" si="14"/>
        <v>0</v>
      </c>
      <c r="Y48">
        <f t="shared" si="15"/>
        <v>0</v>
      </c>
      <c r="Z48">
        <f t="shared" si="6"/>
        <v>0</v>
      </c>
      <c r="AA48">
        <f t="shared" si="7"/>
        <v>0</v>
      </c>
      <c r="AB48">
        <f t="shared" si="8"/>
        <v>0</v>
      </c>
      <c r="AC48">
        <f t="shared" si="9"/>
        <v>0</v>
      </c>
      <c r="AD48" s="1">
        <f t="shared" si="10"/>
        <v>0</v>
      </c>
      <c r="AE48">
        <f t="shared" si="11"/>
        <v>0</v>
      </c>
      <c r="AF48">
        <f t="shared" si="12"/>
        <v>0</v>
      </c>
      <c r="AG48">
        <f t="shared" si="13"/>
        <v>0</v>
      </c>
    </row>
    <row r="49" spans="1:33" x14ac:dyDescent="0.25">
      <c r="A49" t="s">
        <v>111</v>
      </c>
      <c r="B49" t="s">
        <v>112</v>
      </c>
      <c r="C49">
        <v>166297</v>
      </c>
      <c r="D49">
        <v>166297</v>
      </c>
      <c r="E49">
        <v>20</v>
      </c>
      <c r="F49">
        <v>10</v>
      </c>
      <c r="G49">
        <v>50</v>
      </c>
      <c r="O49">
        <v>80</v>
      </c>
      <c r="S49">
        <f t="shared" si="2"/>
        <v>5</v>
      </c>
      <c r="T49">
        <f t="shared" si="3"/>
        <v>0</v>
      </c>
      <c r="U49">
        <f t="shared" si="0"/>
        <v>1</v>
      </c>
      <c r="V49">
        <f t="shared" si="4"/>
        <v>1</v>
      </c>
      <c r="W49">
        <f t="shared" si="5"/>
        <v>0</v>
      </c>
      <c r="X49">
        <f t="shared" si="14"/>
        <v>0</v>
      </c>
      <c r="Y49">
        <f t="shared" si="15"/>
        <v>0</v>
      </c>
      <c r="Z49">
        <f t="shared" si="6"/>
        <v>4</v>
      </c>
      <c r="AA49">
        <f t="shared" si="7"/>
        <v>2.5</v>
      </c>
      <c r="AB49">
        <f t="shared" si="8"/>
        <v>7.1428571428571432</v>
      </c>
      <c r="AC49">
        <f t="shared" si="9"/>
        <v>0</v>
      </c>
      <c r="AD49" s="1">
        <f t="shared" si="10"/>
        <v>0</v>
      </c>
      <c r="AE49">
        <f t="shared" si="11"/>
        <v>0</v>
      </c>
      <c r="AF49">
        <f t="shared" si="12"/>
        <v>0</v>
      </c>
      <c r="AG49">
        <f t="shared" si="13"/>
        <v>0</v>
      </c>
    </row>
    <row r="50" spans="1:33" x14ac:dyDescent="0.25">
      <c r="A50" t="s">
        <v>113</v>
      </c>
      <c r="B50" t="s">
        <v>114</v>
      </c>
      <c r="C50">
        <v>168240</v>
      </c>
      <c r="D50">
        <v>168240</v>
      </c>
      <c r="H50">
        <v>10</v>
      </c>
      <c r="I50">
        <v>40</v>
      </c>
      <c r="J50">
        <v>10</v>
      </c>
      <c r="K50">
        <v>10</v>
      </c>
      <c r="L50">
        <v>0</v>
      </c>
      <c r="M50">
        <v>70</v>
      </c>
      <c r="S50">
        <f t="shared" si="2"/>
        <v>0</v>
      </c>
      <c r="T50">
        <f t="shared" si="3"/>
        <v>5.833333333333333</v>
      </c>
      <c r="U50">
        <f t="shared" si="0"/>
        <v>1</v>
      </c>
      <c r="V50">
        <f t="shared" si="4"/>
        <v>0</v>
      </c>
      <c r="W50">
        <f t="shared" si="5"/>
        <v>1</v>
      </c>
      <c r="X50">
        <f t="shared" si="14"/>
        <v>0</v>
      </c>
      <c r="Y50">
        <f t="shared" si="15"/>
        <v>0</v>
      </c>
      <c r="Z50">
        <f t="shared" si="6"/>
        <v>0</v>
      </c>
      <c r="AA50">
        <f t="shared" si="7"/>
        <v>0</v>
      </c>
      <c r="AB50">
        <f t="shared" si="8"/>
        <v>0</v>
      </c>
      <c r="AC50">
        <f t="shared" si="9"/>
        <v>5</v>
      </c>
      <c r="AD50" s="1">
        <f t="shared" si="10"/>
        <v>6.666666666666667</v>
      </c>
      <c r="AE50">
        <f t="shared" si="11"/>
        <v>5</v>
      </c>
      <c r="AF50">
        <f t="shared" si="12"/>
        <v>10</v>
      </c>
      <c r="AG50">
        <f t="shared" si="13"/>
        <v>0</v>
      </c>
    </row>
    <row r="51" spans="1:33" x14ac:dyDescent="0.25">
      <c r="A51" t="s">
        <v>115</v>
      </c>
      <c r="B51" t="s">
        <v>75</v>
      </c>
      <c r="C51">
        <v>167205</v>
      </c>
      <c r="D51">
        <v>167205</v>
      </c>
      <c r="E51">
        <v>10</v>
      </c>
      <c r="F51">
        <v>30</v>
      </c>
      <c r="G51">
        <v>50</v>
      </c>
      <c r="O51">
        <v>90</v>
      </c>
      <c r="S51">
        <f t="shared" si="2"/>
        <v>5.625</v>
      </c>
      <c r="T51">
        <f t="shared" si="3"/>
        <v>0</v>
      </c>
      <c r="U51">
        <f t="shared" si="0"/>
        <v>1</v>
      </c>
      <c r="V51">
        <f t="shared" si="4"/>
        <v>1</v>
      </c>
      <c r="W51">
        <f t="shared" si="5"/>
        <v>0</v>
      </c>
      <c r="X51">
        <f t="shared" si="14"/>
        <v>0</v>
      </c>
      <c r="Y51">
        <f t="shared" si="15"/>
        <v>0</v>
      </c>
      <c r="Z51">
        <f t="shared" si="6"/>
        <v>2</v>
      </c>
      <c r="AA51">
        <f t="shared" si="7"/>
        <v>7.5</v>
      </c>
      <c r="AB51">
        <f t="shared" si="8"/>
        <v>7.1428571428571432</v>
      </c>
      <c r="AC51">
        <f t="shared" si="9"/>
        <v>0</v>
      </c>
      <c r="AD51" s="1">
        <f t="shared" si="10"/>
        <v>0</v>
      </c>
      <c r="AE51">
        <f t="shared" si="11"/>
        <v>0</v>
      </c>
      <c r="AF51">
        <f t="shared" si="12"/>
        <v>0</v>
      </c>
      <c r="AG51">
        <f t="shared" si="13"/>
        <v>0</v>
      </c>
    </row>
    <row r="52" spans="1:33" x14ac:dyDescent="0.25">
      <c r="A52" t="s">
        <v>116</v>
      </c>
      <c r="B52" t="s">
        <v>117</v>
      </c>
      <c r="C52">
        <v>167413</v>
      </c>
      <c r="D52">
        <v>167413</v>
      </c>
      <c r="E52">
        <v>30</v>
      </c>
      <c r="F52">
        <v>20</v>
      </c>
      <c r="G52">
        <v>30</v>
      </c>
      <c r="O52">
        <v>80</v>
      </c>
      <c r="S52">
        <f t="shared" si="2"/>
        <v>5</v>
      </c>
      <c r="T52">
        <f t="shared" si="3"/>
        <v>0</v>
      </c>
      <c r="U52">
        <f t="shared" si="0"/>
        <v>1</v>
      </c>
      <c r="V52">
        <f t="shared" si="4"/>
        <v>1</v>
      </c>
      <c r="W52">
        <f t="shared" si="5"/>
        <v>0</v>
      </c>
      <c r="X52">
        <f t="shared" si="14"/>
        <v>0</v>
      </c>
      <c r="Y52">
        <f t="shared" si="15"/>
        <v>0</v>
      </c>
      <c r="Z52">
        <f t="shared" si="6"/>
        <v>6</v>
      </c>
      <c r="AA52">
        <f t="shared" si="7"/>
        <v>5</v>
      </c>
      <c r="AB52">
        <f t="shared" si="8"/>
        <v>4.2857142857142856</v>
      </c>
      <c r="AC52">
        <f t="shared" si="9"/>
        <v>0</v>
      </c>
      <c r="AD52" s="1">
        <f t="shared" si="10"/>
        <v>0</v>
      </c>
      <c r="AE52">
        <f t="shared" si="11"/>
        <v>0</v>
      </c>
      <c r="AF52">
        <f t="shared" si="12"/>
        <v>0</v>
      </c>
      <c r="AG52">
        <f t="shared" si="13"/>
        <v>0</v>
      </c>
    </row>
    <row r="53" spans="1:33" x14ac:dyDescent="0.25">
      <c r="A53" t="s">
        <v>118</v>
      </c>
      <c r="B53" t="s">
        <v>119</v>
      </c>
      <c r="C53">
        <v>163943</v>
      </c>
      <c r="D53">
        <v>163943</v>
      </c>
      <c r="E53">
        <v>30</v>
      </c>
      <c r="F53">
        <v>30</v>
      </c>
      <c r="G53">
        <v>50</v>
      </c>
      <c r="O53">
        <v>110</v>
      </c>
      <c r="R53" t="s">
        <v>20</v>
      </c>
      <c r="S53">
        <f t="shared" si="2"/>
        <v>6.875</v>
      </c>
      <c r="T53">
        <f t="shared" si="3"/>
        <v>0</v>
      </c>
      <c r="U53">
        <f t="shared" si="0"/>
        <v>1</v>
      </c>
      <c r="V53">
        <f t="shared" si="4"/>
        <v>1</v>
      </c>
      <c r="W53">
        <f t="shared" si="5"/>
        <v>0</v>
      </c>
      <c r="X53">
        <f t="shared" si="14"/>
        <v>1</v>
      </c>
      <c r="Y53">
        <f t="shared" si="15"/>
        <v>0</v>
      </c>
      <c r="Z53">
        <f t="shared" si="6"/>
        <v>6</v>
      </c>
      <c r="AA53">
        <f t="shared" si="7"/>
        <v>7.5</v>
      </c>
      <c r="AB53">
        <f t="shared" si="8"/>
        <v>7.1428571428571432</v>
      </c>
      <c r="AC53">
        <f t="shared" si="9"/>
        <v>0</v>
      </c>
      <c r="AD53" s="1">
        <f t="shared" si="10"/>
        <v>0</v>
      </c>
      <c r="AE53">
        <f t="shared" si="11"/>
        <v>0</v>
      </c>
      <c r="AF53">
        <f t="shared" si="12"/>
        <v>0</v>
      </c>
      <c r="AG53">
        <f t="shared" si="13"/>
        <v>0</v>
      </c>
    </row>
    <row r="54" spans="1:33" x14ac:dyDescent="0.25">
      <c r="A54" t="s">
        <v>120</v>
      </c>
      <c r="B54" t="s">
        <v>121</v>
      </c>
      <c r="C54">
        <v>168381</v>
      </c>
      <c r="D54">
        <v>168381</v>
      </c>
      <c r="H54">
        <v>20</v>
      </c>
      <c r="I54">
        <v>30</v>
      </c>
      <c r="J54">
        <v>20</v>
      </c>
      <c r="K54">
        <v>10</v>
      </c>
      <c r="L54">
        <v>0</v>
      </c>
      <c r="M54">
        <v>80</v>
      </c>
      <c r="S54">
        <f t="shared" si="2"/>
        <v>0</v>
      </c>
      <c r="T54">
        <f t="shared" si="3"/>
        <v>6.666666666666667</v>
      </c>
      <c r="U54">
        <f t="shared" si="0"/>
        <v>1</v>
      </c>
      <c r="V54">
        <f t="shared" si="4"/>
        <v>0</v>
      </c>
      <c r="W54">
        <f t="shared" si="5"/>
        <v>1</v>
      </c>
      <c r="X54">
        <f t="shared" si="14"/>
        <v>0</v>
      </c>
      <c r="Y54">
        <f t="shared" si="15"/>
        <v>1</v>
      </c>
      <c r="Z54">
        <f t="shared" si="6"/>
        <v>0</v>
      </c>
      <c r="AA54">
        <f t="shared" si="7"/>
        <v>0</v>
      </c>
      <c r="AB54">
        <f t="shared" si="8"/>
        <v>0</v>
      </c>
      <c r="AC54">
        <f t="shared" si="9"/>
        <v>10</v>
      </c>
      <c r="AD54" s="1">
        <f t="shared" si="10"/>
        <v>5</v>
      </c>
      <c r="AE54">
        <f t="shared" si="11"/>
        <v>10</v>
      </c>
      <c r="AF54">
        <f t="shared" si="12"/>
        <v>10</v>
      </c>
      <c r="AG54">
        <f t="shared" si="13"/>
        <v>0</v>
      </c>
    </row>
    <row r="55" spans="1:33" x14ac:dyDescent="0.25">
      <c r="A55" t="s">
        <v>120</v>
      </c>
      <c r="B55" t="s">
        <v>122</v>
      </c>
      <c r="C55">
        <v>168473</v>
      </c>
      <c r="D55">
        <v>168473</v>
      </c>
      <c r="E55">
        <v>10</v>
      </c>
      <c r="F55">
        <v>30</v>
      </c>
      <c r="G55">
        <v>30</v>
      </c>
      <c r="O55">
        <v>70</v>
      </c>
      <c r="S55">
        <f t="shared" si="2"/>
        <v>4.375</v>
      </c>
      <c r="T55">
        <f t="shared" si="3"/>
        <v>0</v>
      </c>
      <c r="U55">
        <f t="shared" si="0"/>
        <v>1</v>
      </c>
      <c r="V55">
        <f t="shared" si="4"/>
        <v>1</v>
      </c>
      <c r="W55">
        <f t="shared" si="5"/>
        <v>0</v>
      </c>
      <c r="X55">
        <f t="shared" si="14"/>
        <v>0</v>
      </c>
      <c r="Y55">
        <f t="shared" si="15"/>
        <v>0</v>
      </c>
      <c r="Z55">
        <f t="shared" si="6"/>
        <v>2</v>
      </c>
      <c r="AA55">
        <f t="shared" si="7"/>
        <v>7.5</v>
      </c>
      <c r="AB55">
        <f t="shared" si="8"/>
        <v>4.2857142857142856</v>
      </c>
      <c r="AC55">
        <f t="shared" si="9"/>
        <v>0</v>
      </c>
      <c r="AD55" s="1">
        <f t="shared" si="10"/>
        <v>0</v>
      </c>
      <c r="AE55">
        <f t="shared" si="11"/>
        <v>0</v>
      </c>
      <c r="AF55">
        <f t="shared" si="12"/>
        <v>0</v>
      </c>
      <c r="AG55">
        <f t="shared" si="13"/>
        <v>0</v>
      </c>
    </row>
    <row r="56" spans="1:33" x14ac:dyDescent="0.25">
      <c r="A56" t="s">
        <v>123</v>
      </c>
      <c r="B56" t="s">
        <v>124</v>
      </c>
      <c r="C56">
        <v>166021</v>
      </c>
      <c r="D56">
        <v>166021</v>
      </c>
      <c r="S56">
        <f t="shared" si="2"/>
        <v>0</v>
      </c>
      <c r="T56">
        <f t="shared" si="3"/>
        <v>0</v>
      </c>
      <c r="U56">
        <f t="shared" si="0"/>
        <v>0</v>
      </c>
      <c r="V56">
        <f t="shared" si="4"/>
        <v>0</v>
      </c>
      <c r="W56">
        <f t="shared" si="5"/>
        <v>0</v>
      </c>
      <c r="X56">
        <f t="shared" si="14"/>
        <v>0</v>
      </c>
      <c r="Y56">
        <f t="shared" si="15"/>
        <v>0</v>
      </c>
      <c r="Z56">
        <f t="shared" si="6"/>
        <v>0</v>
      </c>
      <c r="AA56">
        <f t="shared" si="7"/>
        <v>0</v>
      </c>
      <c r="AB56">
        <f t="shared" si="8"/>
        <v>0</v>
      </c>
      <c r="AC56">
        <f t="shared" si="9"/>
        <v>0</v>
      </c>
      <c r="AD56" s="1">
        <f t="shared" si="10"/>
        <v>0</v>
      </c>
      <c r="AE56">
        <f t="shared" si="11"/>
        <v>0</v>
      </c>
      <c r="AF56">
        <f t="shared" si="12"/>
        <v>0</v>
      </c>
      <c r="AG56">
        <f t="shared" si="13"/>
        <v>0</v>
      </c>
    </row>
    <row r="57" spans="1:33" x14ac:dyDescent="0.25">
      <c r="A57" t="s">
        <v>125</v>
      </c>
      <c r="B57" t="s">
        <v>126</v>
      </c>
      <c r="C57">
        <v>166582</v>
      </c>
      <c r="D57">
        <v>166582</v>
      </c>
      <c r="S57">
        <f t="shared" si="2"/>
        <v>0</v>
      </c>
      <c r="T57">
        <f t="shared" si="3"/>
        <v>0</v>
      </c>
      <c r="U57">
        <f t="shared" si="0"/>
        <v>0</v>
      </c>
      <c r="V57">
        <f t="shared" si="4"/>
        <v>0</v>
      </c>
      <c r="W57">
        <f t="shared" si="5"/>
        <v>0</v>
      </c>
      <c r="X57">
        <f t="shared" si="14"/>
        <v>0</v>
      </c>
      <c r="Y57">
        <f t="shared" si="15"/>
        <v>0</v>
      </c>
      <c r="Z57">
        <f t="shared" si="6"/>
        <v>0</v>
      </c>
      <c r="AA57">
        <f t="shared" si="7"/>
        <v>0</v>
      </c>
      <c r="AB57">
        <f t="shared" si="8"/>
        <v>0</v>
      </c>
      <c r="AC57">
        <f t="shared" si="9"/>
        <v>0</v>
      </c>
      <c r="AD57" s="1">
        <f t="shared" si="10"/>
        <v>0</v>
      </c>
      <c r="AE57">
        <f t="shared" si="11"/>
        <v>0</v>
      </c>
      <c r="AF57">
        <f t="shared" si="12"/>
        <v>0</v>
      </c>
      <c r="AG57">
        <f t="shared" si="13"/>
        <v>0</v>
      </c>
    </row>
    <row r="58" spans="1:33" x14ac:dyDescent="0.25">
      <c r="A58" t="s">
        <v>127</v>
      </c>
      <c r="B58" t="s">
        <v>128</v>
      </c>
      <c r="C58">
        <v>167639</v>
      </c>
      <c r="D58">
        <v>167639</v>
      </c>
      <c r="E58">
        <v>10</v>
      </c>
      <c r="F58">
        <v>10</v>
      </c>
      <c r="G58">
        <v>20</v>
      </c>
      <c r="O58">
        <v>40</v>
      </c>
      <c r="S58">
        <f t="shared" si="2"/>
        <v>2.5</v>
      </c>
      <c r="T58">
        <f t="shared" si="3"/>
        <v>0</v>
      </c>
      <c r="U58">
        <f t="shared" si="0"/>
        <v>1</v>
      </c>
      <c r="V58">
        <f t="shared" si="4"/>
        <v>1</v>
      </c>
      <c r="W58">
        <f t="shared" si="5"/>
        <v>0</v>
      </c>
      <c r="X58">
        <f t="shared" si="14"/>
        <v>0</v>
      </c>
      <c r="Y58">
        <f t="shared" si="15"/>
        <v>0</v>
      </c>
      <c r="Z58">
        <f t="shared" si="6"/>
        <v>2</v>
      </c>
      <c r="AA58">
        <f t="shared" si="7"/>
        <v>2.5</v>
      </c>
      <c r="AB58">
        <f t="shared" si="8"/>
        <v>2.8571428571428572</v>
      </c>
      <c r="AC58">
        <f t="shared" si="9"/>
        <v>0</v>
      </c>
      <c r="AD58" s="1">
        <f t="shared" si="10"/>
        <v>0</v>
      </c>
      <c r="AE58">
        <f t="shared" si="11"/>
        <v>0</v>
      </c>
      <c r="AF58">
        <f t="shared" si="12"/>
        <v>0</v>
      </c>
      <c r="AG58">
        <f t="shared" si="13"/>
        <v>0</v>
      </c>
    </row>
    <row r="59" spans="1:33" x14ac:dyDescent="0.25">
      <c r="A59" t="s">
        <v>129</v>
      </c>
      <c r="B59" t="s">
        <v>130</v>
      </c>
      <c r="C59">
        <v>165944</v>
      </c>
      <c r="D59">
        <v>165944</v>
      </c>
      <c r="S59">
        <f t="shared" si="2"/>
        <v>0</v>
      </c>
      <c r="T59">
        <f t="shared" si="3"/>
        <v>0</v>
      </c>
      <c r="U59">
        <f t="shared" si="0"/>
        <v>0</v>
      </c>
      <c r="V59">
        <f t="shared" si="4"/>
        <v>0</v>
      </c>
      <c r="W59">
        <f t="shared" si="5"/>
        <v>0</v>
      </c>
      <c r="X59">
        <f t="shared" si="14"/>
        <v>0</v>
      </c>
      <c r="Y59">
        <f t="shared" si="15"/>
        <v>0</v>
      </c>
      <c r="Z59">
        <f t="shared" si="6"/>
        <v>0</v>
      </c>
      <c r="AA59">
        <f t="shared" si="7"/>
        <v>0</v>
      </c>
      <c r="AB59">
        <f t="shared" si="8"/>
        <v>0</v>
      </c>
      <c r="AC59">
        <f t="shared" si="9"/>
        <v>0</v>
      </c>
      <c r="AD59" s="1">
        <f t="shared" si="10"/>
        <v>0</v>
      </c>
      <c r="AE59">
        <f t="shared" si="11"/>
        <v>0</v>
      </c>
      <c r="AF59">
        <f t="shared" si="12"/>
        <v>0</v>
      </c>
      <c r="AG59">
        <f t="shared" si="13"/>
        <v>0</v>
      </c>
    </row>
    <row r="60" spans="1:33" x14ac:dyDescent="0.25">
      <c r="A60" t="s">
        <v>131</v>
      </c>
      <c r="B60" t="s">
        <v>49</v>
      </c>
      <c r="C60">
        <v>165247</v>
      </c>
      <c r="D60">
        <v>165247</v>
      </c>
      <c r="H60">
        <v>20</v>
      </c>
      <c r="I60">
        <v>60</v>
      </c>
      <c r="J60">
        <v>20</v>
      </c>
      <c r="K60">
        <v>10</v>
      </c>
      <c r="L60">
        <v>0</v>
      </c>
      <c r="M60">
        <v>110</v>
      </c>
      <c r="S60">
        <f t="shared" si="2"/>
        <v>0</v>
      </c>
      <c r="T60">
        <f t="shared" si="3"/>
        <v>9.1666666666666661</v>
      </c>
      <c r="U60">
        <f t="shared" si="0"/>
        <v>1</v>
      </c>
      <c r="V60">
        <f t="shared" si="4"/>
        <v>0</v>
      </c>
      <c r="W60">
        <f t="shared" si="5"/>
        <v>1</v>
      </c>
      <c r="X60">
        <f t="shared" si="14"/>
        <v>0</v>
      </c>
      <c r="Y60">
        <f t="shared" si="15"/>
        <v>1</v>
      </c>
      <c r="Z60">
        <f t="shared" si="6"/>
        <v>0</v>
      </c>
      <c r="AA60">
        <f t="shared" si="7"/>
        <v>0</v>
      </c>
      <c r="AB60">
        <f t="shared" si="8"/>
        <v>0</v>
      </c>
      <c r="AC60">
        <f t="shared" si="9"/>
        <v>10</v>
      </c>
      <c r="AD60" s="1">
        <f t="shared" si="10"/>
        <v>10</v>
      </c>
      <c r="AE60">
        <f t="shared" si="11"/>
        <v>10</v>
      </c>
      <c r="AF60">
        <f t="shared" si="12"/>
        <v>10</v>
      </c>
      <c r="AG60">
        <f t="shared" si="13"/>
        <v>0</v>
      </c>
    </row>
    <row r="61" spans="1:33" x14ac:dyDescent="0.25">
      <c r="A61" t="s">
        <v>132</v>
      </c>
      <c r="B61" t="s">
        <v>133</v>
      </c>
      <c r="C61">
        <v>167566</v>
      </c>
      <c r="D61">
        <v>167566</v>
      </c>
      <c r="H61">
        <v>10</v>
      </c>
      <c r="I61">
        <v>30</v>
      </c>
      <c r="J61">
        <v>10</v>
      </c>
      <c r="K61">
        <v>10</v>
      </c>
      <c r="L61">
        <v>0</v>
      </c>
      <c r="M61">
        <v>60</v>
      </c>
      <c r="S61">
        <f t="shared" si="2"/>
        <v>0</v>
      </c>
      <c r="T61">
        <f t="shared" si="3"/>
        <v>5</v>
      </c>
      <c r="U61">
        <f t="shared" si="0"/>
        <v>1</v>
      </c>
      <c r="V61">
        <f t="shared" si="4"/>
        <v>0</v>
      </c>
      <c r="W61">
        <f t="shared" si="5"/>
        <v>1</v>
      </c>
      <c r="X61">
        <f t="shared" si="14"/>
        <v>0</v>
      </c>
      <c r="Y61">
        <f t="shared" si="15"/>
        <v>0</v>
      </c>
      <c r="Z61">
        <f t="shared" si="6"/>
        <v>0</v>
      </c>
      <c r="AA61">
        <f t="shared" si="7"/>
        <v>0</v>
      </c>
      <c r="AB61">
        <f t="shared" si="8"/>
        <v>0</v>
      </c>
      <c r="AC61">
        <f t="shared" si="9"/>
        <v>5</v>
      </c>
      <c r="AD61" s="1">
        <f t="shared" si="10"/>
        <v>5</v>
      </c>
      <c r="AE61">
        <f t="shared" si="11"/>
        <v>5</v>
      </c>
      <c r="AF61">
        <f t="shared" si="12"/>
        <v>10</v>
      </c>
      <c r="AG61">
        <f t="shared" si="13"/>
        <v>0</v>
      </c>
    </row>
    <row r="62" spans="1:33" x14ac:dyDescent="0.25">
      <c r="A62" t="s">
        <v>134</v>
      </c>
      <c r="B62" t="s">
        <v>126</v>
      </c>
      <c r="C62">
        <v>166850</v>
      </c>
      <c r="D62">
        <v>166850</v>
      </c>
      <c r="H62">
        <v>20</v>
      </c>
      <c r="I62">
        <v>30</v>
      </c>
      <c r="J62">
        <v>20</v>
      </c>
      <c r="K62">
        <v>10</v>
      </c>
      <c r="L62">
        <v>0</v>
      </c>
      <c r="M62">
        <v>80</v>
      </c>
      <c r="S62">
        <f t="shared" si="2"/>
        <v>0</v>
      </c>
      <c r="T62">
        <f t="shared" si="3"/>
        <v>6.666666666666667</v>
      </c>
      <c r="U62">
        <f t="shared" si="0"/>
        <v>1</v>
      </c>
      <c r="V62">
        <f t="shared" si="4"/>
        <v>0</v>
      </c>
      <c r="W62">
        <f t="shared" si="5"/>
        <v>1</v>
      </c>
      <c r="X62">
        <f t="shared" si="14"/>
        <v>0</v>
      </c>
      <c r="Y62">
        <f t="shared" si="15"/>
        <v>1</v>
      </c>
      <c r="Z62">
        <f t="shared" si="6"/>
        <v>0</v>
      </c>
      <c r="AA62">
        <f t="shared" si="7"/>
        <v>0</v>
      </c>
      <c r="AB62">
        <f t="shared" si="8"/>
        <v>0</v>
      </c>
      <c r="AC62">
        <f t="shared" si="9"/>
        <v>10</v>
      </c>
      <c r="AD62" s="1">
        <f t="shared" si="10"/>
        <v>5</v>
      </c>
      <c r="AE62">
        <f t="shared" si="11"/>
        <v>10</v>
      </c>
      <c r="AF62">
        <f t="shared" si="12"/>
        <v>10</v>
      </c>
      <c r="AG62">
        <f t="shared" si="13"/>
        <v>0</v>
      </c>
    </row>
    <row r="63" spans="1:33" x14ac:dyDescent="0.25">
      <c r="A63" t="s">
        <v>135</v>
      </c>
      <c r="B63" t="s">
        <v>136</v>
      </c>
      <c r="C63">
        <v>166361</v>
      </c>
      <c r="D63">
        <v>166361</v>
      </c>
      <c r="E63">
        <v>20</v>
      </c>
      <c r="F63">
        <v>30</v>
      </c>
      <c r="G63">
        <v>20</v>
      </c>
      <c r="O63">
        <v>70</v>
      </c>
      <c r="S63">
        <f t="shared" si="2"/>
        <v>4.375</v>
      </c>
      <c r="T63">
        <f t="shared" si="3"/>
        <v>0</v>
      </c>
      <c r="U63">
        <f t="shared" si="0"/>
        <v>1</v>
      </c>
      <c r="V63">
        <f t="shared" si="4"/>
        <v>1</v>
      </c>
      <c r="W63">
        <f t="shared" si="5"/>
        <v>0</v>
      </c>
      <c r="X63">
        <f t="shared" si="14"/>
        <v>0</v>
      </c>
      <c r="Y63">
        <f t="shared" si="15"/>
        <v>0</v>
      </c>
      <c r="Z63">
        <f t="shared" si="6"/>
        <v>4</v>
      </c>
      <c r="AA63">
        <f t="shared" si="7"/>
        <v>7.5</v>
      </c>
      <c r="AB63">
        <f t="shared" si="8"/>
        <v>2.8571428571428572</v>
      </c>
      <c r="AC63">
        <f t="shared" si="9"/>
        <v>0</v>
      </c>
      <c r="AD63" s="1">
        <f t="shared" si="10"/>
        <v>0</v>
      </c>
      <c r="AE63">
        <f t="shared" si="11"/>
        <v>0</v>
      </c>
      <c r="AF63">
        <f t="shared" si="12"/>
        <v>0</v>
      </c>
      <c r="AG63">
        <f t="shared" si="13"/>
        <v>0</v>
      </c>
    </row>
    <row r="64" spans="1:33" x14ac:dyDescent="0.25">
      <c r="A64" t="s">
        <v>137</v>
      </c>
      <c r="B64" t="s">
        <v>138</v>
      </c>
      <c r="C64">
        <v>167095</v>
      </c>
      <c r="D64">
        <v>167095</v>
      </c>
      <c r="E64">
        <v>50</v>
      </c>
      <c r="F64">
        <v>30</v>
      </c>
      <c r="G64">
        <v>50</v>
      </c>
      <c r="O64">
        <v>130</v>
      </c>
      <c r="S64">
        <f t="shared" si="2"/>
        <v>8.125</v>
      </c>
      <c r="T64">
        <f t="shared" si="3"/>
        <v>0</v>
      </c>
      <c r="U64">
        <f t="shared" si="0"/>
        <v>1</v>
      </c>
      <c r="V64">
        <f t="shared" si="4"/>
        <v>1</v>
      </c>
      <c r="W64">
        <f t="shared" si="5"/>
        <v>0</v>
      </c>
      <c r="X64">
        <f t="shared" si="14"/>
        <v>1</v>
      </c>
      <c r="Y64">
        <f t="shared" si="15"/>
        <v>0</v>
      </c>
      <c r="Z64">
        <f t="shared" si="6"/>
        <v>10</v>
      </c>
      <c r="AA64">
        <f t="shared" si="7"/>
        <v>7.5</v>
      </c>
      <c r="AB64">
        <f t="shared" si="8"/>
        <v>7.1428571428571432</v>
      </c>
      <c r="AC64">
        <f t="shared" si="9"/>
        <v>0</v>
      </c>
      <c r="AD64" s="1">
        <f t="shared" si="10"/>
        <v>0</v>
      </c>
      <c r="AE64">
        <f t="shared" si="11"/>
        <v>0</v>
      </c>
      <c r="AF64">
        <f t="shared" si="12"/>
        <v>0</v>
      </c>
      <c r="AG64">
        <f t="shared" si="13"/>
        <v>0</v>
      </c>
    </row>
    <row r="65" spans="1:33" x14ac:dyDescent="0.25">
      <c r="A65" t="s">
        <v>139</v>
      </c>
      <c r="B65" t="s">
        <v>140</v>
      </c>
      <c r="C65">
        <v>166217</v>
      </c>
      <c r="D65">
        <v>166217</v>
      </c>
      <c r="H65">
        <v>0</v>
      </c>
      <c r="I65">
        <v>60</v>
      </c>
      <c r="J65">
        <v>20</v>
      </c>
      <c r="K65">
        <v>10</v>
      </c>
      <c r="L65">
        <v>10</v>
      </c>
      <c r="M65">
        <v>100</v>
      </c>
      <c r="S65">
        <f t="shared" si="2"/>
        <v>0</v>
      </c>
      <c r="T65">
        <f t="shared" si="3"/>
        <v>8.3333333333333339</v>
      </c>
      <c r="U65">
        <f t="shared" si="0"/>
        <v>1</v>
      </c>
      <c r="V65">
        <f t="shared" si="4"/>
        <v>0</v>
      </c>
      <c r="W65">
        <f t="shared" si="5"/>
        <v>1</v>
      </c>
      <c r="X65">
        <f t="shared" si="14"/>
        <v>0</v>
      </c>
      <c r="Y65">
        <f t="shared" si="15"/>
        <v>1</v>
      </c>
      <c r="Z65">
        <f t="shared" si="6"/>
        <v>0</v>
      </c>
      <c r="AA65">
        <f t="shared" si="7"/>
        <v>0</v>
      </c>
      <c r="AB65">
        <f t="shared" si="8"/>
        <v>0</v>
      </c>
      <c r="AC65">
        <f t="shared" si="9"/>
        <v>0</v>
      </c>
      <c r="AD65" s="1">
        <f t="shared" si="10"/>
        <v>10</v>
      </c>
      <c r="AE65">
        <f t="shared" si="11"/>
        <v>10</v>
      </c>
      <c r="AF65">
        <f t="shared" si="12"/>
        <v>10</v>
      </c>
      <c r="AG65">
        <f t="shared" si="13"/>
        <v>10</v>
      </c>
    </row>
    <row r="66" spans="1:33" x14ac:dyDescent="0.25">
      <c r="A66" t="s">
        <v>141</v>
      </c>
      <c r="B66" t="s">
        <v>142</v>
      </c>
      <c r="C66">
        <v>163424</v>
      </c>
      <c r="D66">
        <v>163424</v>
      </c>
      <c r="H66">
        <v>10</v>
      </c>
      <c r="I66">
        <v>30</v>
      </c>
      <c r="J66">
        <v>10</v>
      </c>
      <c r="K66">
        <v>0</v>
      </c>
      <c r="L66">
        <v>0</v>
      </c>
      <c r="M66">
        <v>50</v>
      </c>
      <c r="S66">
        <f t="shared" si="2"/>
        <v>0</v>
      </c>
      <c r="T66">
        <f t="shared" si="3"/>
        <v>4.166666666666667</v>
      </c>
      <c r="U66">
        <f t="shared" ref="U66:U129" si="16">IF(AND(E66="",F66="",G66="",H66="",I66="",J66="",K66="",L66="",M66=""),0,1)</f>
        <v>1</v>
      </c>
      <c r="V66">
        <f t="shared" si="4"/>
        <v>0</v>
      </c>
      <c r="W66">
        <f t="shared" si="5"/>
        <v>1</v>
      </c>
      <c r="X66">
        <f t="shared" si="14"/>
        <v>0</v>
      </c>
      <c r="Y66">
        <f t="shared" si="15"/>
        <v>0</v>
      </c>
      <c r="Z66">
        <f t="shared" si="6"/>
        <v>0</v>
      </c>
      <c r="AA66">
        <f t="shared" si="7"/>
        <v>0</v>
      </c>
      <c r="AB66">
        <f t="shared" si="8"/>
        <v>0</v>
      </c>
      <c r="AC66">
        <f t="shared" si="9"/>
        <v>5</v>
      </c>
      <c r="AD66" s="1">
        <f t="shared" si="10"/>
        <v>5</v>
      </c>
      <c r="AE66">
        <f t="shared" si="11"/>
        <v>5</v>
      </c>
      <c r="AF66">
        <f t="shared" si="12"/>
        <v>0</v>
      </c>
      <c r="AG66">
        <f t="shared" si="13"/>
        <v>0</v>
      </c>
    </row>
    <row r="67" spans="1:33" x14ac:dyDescent="0.25">
      <c r="A67" t="s">
        <v>143</v>
      </c>
      <c r="B67" t="s">
        <v>144</v>
      </c>
      <c r="C67">
        <v>166825</v>
      </c>
      <c r="D67">
        <v>166825</v>
      </c>
      <c r="H67">
        <v>10</v>
      </c>
      <c r="I67">
        <v>50</v>
      </c>
      <c r="J67">
        <v>10</v>
      </c>
      <c r="K67">
        <v>10</v>
      </c>
      <c r="L67">
        <v>10</v>
      </c>
      <c r="M67">
        <v>90</v>
      </c>
      <c r="S67">
        <f t="shared" ref="S67:S130" si="17">O67/16</f>
        <v>0</v>
      </c>
      <c r="T67">
        <f t="shared" ref="T67:T130" si="18">M67/12</f>
        <v>7.5</v>
      </c>
      <c r="U67">
        <f t="shared" si="16"/>
        <v>1</v>
      </c>
      <c r="V67">
        <f t="shared" ref="V67:V130" si="19">IF(O67="",0,1)</f>
        <v>0</v>
      </c>
      <c r="W67">
        <f t="shared" ref="W67:W130" si="20">IF(M67="",0,1)</f>
        <v>1</v>
      </c>
      <c r="X67">
        <f t="shared" si="14"/>
        <v>0</v>
      </c>
      <c r="Y67">
        <f t="shared" si="15"/>
        <v>1</v>
      </c>
      <c r="Z67">
        <f t="shared" ref="Z67:Z130" si="21">E67/5</f>
        <v>0</v>
      </c>
      <c r="AA67">
        <f t="shared" ref="AA67:AA130" si="22">F67/4</f>
        <v>0</v>
      </c>
      <c r="AB67">
        <f t="shared" ref="AB67:AB130" si="23">G67/7</f>
        <v>0</v>
      </c>
      <c r="AC67">
        <f t="shared" ref="AC67:AC130" si="24">H67/2</f>
        <v>5</v>
      </c>
      <c r="AD67" s="1">
        <f t="shared" ref="AD67:AD130" si="25">I67/6</f>
        <v>8.3333333333333339</v>
      </c>
      <c r="AE67">
        <f t="shared" ref="AE67:AE130" si="26">J67/2</f>
        <v>5</v>
      </c>
      <c r="AF67">
        <f t="shared" ref="AF67:AF130" si="27">K67</f>
        <v>10</v>
      </c>
      <c r="AG67">
        <f t="shared" ref="AG67:AG130" si="28">L67</f>
        <v>10</v>
      </c>
    </row>
    <row r="68" spans="1:33" x14ac:dyDescent="0.25">
      <c r="A68" t="s">
        <v>145</v>
      </c>
      <c r="B68" t="s">
        <v>146</v>
      </c>
      <c r="C68">
        <v>168438</v>
      </c>
      <c r="D68">
        <v>168438</v>
      </c>
      <c r="H68">
        <v>20</v>
      </c>
      <c r="I68">
        <v>60</v>
      </c>
      <c r="J68">
        <v>20</v>
      </c>
      <c r="K68">
        <v>10</v>
      </c>
      <c r="L68">
        <v>0</v>
      </c>
      <c r="M68">
        <v>110</v>
      </c>
      <c r="S68">
        <f t="shared" si="17"/>
        <v>0</v>
      </c>
      <c r="T68">
        <f t="shared" si="18"/>
        <v>9.1666666666666661</v>
      </c>
      <c r="U68">
        <f t="shared" si="16"/>
        <v>1</v>
      </c>
      <c r="V68">
        <f t="shared" si="19"/>
        <v>0</v>
      </c>
      <c r="W68">
        <f t="shared" si="20"/>
        <v>1</v>
      </c>
      <c r="X68">
        <f t="shared" si="14"/>
        <v>0</v>
      </c>
      <c r="Y68">
        <f t="shared" si="15"/>
        <v>1</v>
      </c>
      <c r="Z68">
        <f t="shared" si="21"/>
        <v>0</v>
      </c>
      <c r="AA68">
        <f t="shared" si="22"/>
        <v>0</v>
      </c>
      <c r="AB68">
        <f t="shared" si="23"/>
        <v>0</v>
      </c>
      <c r="AC68">
        <f t="shared" si="24"/>
        <v>10</v>
      </c>
      <c r="AD68" s="1">
        <f t="shared" si="25"/>
        <v>10</v>
      </c>
      <c r="AE68">
        <f t="shared" si="26"/>
        <v>10</v>
      </c>
      <c r="AF68">
        <f t="shared" si="27"/>
        <v>10</v>
      </c>
      <c r="AG68">
        <f t="shared" si="28"/>
        <v>0</v>
      </c>
    </row>
    <row r="69" spans="1:33" x14ac:dyDescent="0.25">
      <c r="A69" t="s">
        <v>147</v>
      </c>
      <c r="B69" t="s">
        <v>148</v>
      </c>
      <c r="C69">
        <v>166356</v>
      </c>
      <c r="D69">
        <v>166356</v>
      </c>
      <c r="H69">
        <v>0</v>
      </c>
      <c r="I69">
        <v>20</v>
      </c>
      <c r="J69">
        <v>10</v>
      </c>
      <c r="K69">
        <v>10</v>
      </c>
      <c r="L69">
        <v>10</v>
      </c>
      <c r="M69">
        <v>50</v>
      </c>
      <c r="S69">
        <f t="shared" si="17"/>
        <v>0</v>
      </c>
      <c r="T69">
        <f t="shared" si="18"/>
        <v>4.166666666666667</v>
      </c>
      <c r="U69">
        <f t="shared" si="16"/>
        <v>1</v>
      </c>
      <c r="V69">
        <f t="shared" si="19"/>
        <v>0</v>
      </c>
      <c r="W69">
        <f t="shared" si="20"/>
        <v>1</v>
      </c>
      <c r="X69">
        <f t="shared" ref="X69:X132" si="29">IF(AND(V69=1,S69&gt;6),1,0)</f>
        <v>0</v>
      </c>
      <c r="Y69">
        <f t="shared" ref="Y69:Y132" si="30">IF(AND(W69=1,T69&gt;6),1,0)</f>
        <v>0</v>
      </c>
      <c r="Z69">
        <f t="shared" si="21"/>
        <v>0</v>
      </c>
      <c r="AA69">
        <f t="shared" si="22"/>
        <v>0</v>
      </c>
      <c r="AB69">
        <f t="shared" si="23"/>
        <v>0</v>
      </c>
      <c r="AC69">
        <f t="shared" si="24"/>
        <v>0</v>
      </c>
      <c r="AD69" s="1">
        <f t="shared" si="25"/>
        <v>3.3333333333333335</v>
      </c>
      <c r="AE69">
        <f t="shared" si="26"/>
        <v>5</v>
      </c>
      <c r="AF69">
        <f t="shared" si="27"/>
        <v>10</v>
      </c>
      <c r="AG69">
        <f t="shared" si="28"/>
        <v>10</v>
      </c>
    </row>
    <row r="70" spans="1:33" x14ac:dyDescent="0.25">
      <c r="A70" t="s">
        <v>149</v>
      </c>
      <c r="B70" t="s">
        <v>150</v>
      </c>
      <c r="C70">
        <v>168435</v>
      </c>
      <c r="D70">
        <v>168435</v>
      </c>
      <c r="E70">
        <v>40</v>
      </c>
      <c r="F70">
        <v>40</v>
      </c>
      <c r="G70">
        <v>20</v>
      </c>
      <c r="O70">
        <v>100</v>
      </c>
      <c r="S70">
        <f t="shared" si="17"/>
        <v>6.25</v>
      </c>
      <c r="T70">
        <f t="shared" si="18"/>
        <v>0</v>
      </c>
      <c r="U70">
        <f t="shared" si="16"/>
        <v>1</v>
      </c>
      <c r="V70">
        <f t="shared" si="19"/>
        <v>1</v>
      </c>
      <c r="W70">
        <f t="shared" si="20"/>
        <v>0</v>
      </c>
      <c r="X70">
        <f t="shared" si="29"/>
        <v>1</v>
      </c>
      <c r="Y70">
        <f t="shared" si="30"/>
        <v>0</v>
      </c>
      <c r="Z70">
        <f t="shared" si="21"/>
        <v>8</v>
      </c>
      <c r="AA70">
        <f t="shared" si="22"/>
        <v>10</v>
      </c>
      <c r="AB70">
        <f t="shared" si="23"/>
        <v>2.8571428571428572</v>
      </c>
      <c r="AC70">
        <f t="shared" si="24"/>
        <v>0</v>
      </c>
      <c r="AD70" s="1">
        <f t="shared" si="25"/>
        <v>0</v>
      </c>
      <c r="AE70">
        <f t="shared" si="26"/>
        <v>0</v>
      </c>
      <c r="AF70">
        <f t="shared" si="27"/>
        <v>0</v>
      </c>
      <c r="AG70">
        <f t="shared" si="28"/>
        <v>0</v>
      </c>
    </row>
    <row r="71" spans="1:33" x14ac:dyDescent="0.25">
      <c r="A71" t="s">
        <v>151</v>
      </c>
      <c r="B71" t="s">
        <v>152</v>
      </c>
      <c r="C71">
        <v>168499</v>
      </c>
      <c r="D71">
        <v>168499</v>
      </c>
      <c r="S71">
        <f t="shared" si="17"/>
        <v>0</v>
      </c>
      <c r="T71">
        <f t="shared" si="18"/>
        <v>0</v>
      </c>
      <c r="U71">
        <f t="shared" si="16"/>
        <v>0</v>
      </c>
      <c r="V71">
        <f t="shared" si="19"/>
        <v>0</v>
      </c>
      <c r="W71">
        <f t="shared" si="20"/>
        <v>0</v>
      </c>
      <c r="X71">
        <f t="shared" si="29"/>
        <v>0</v>
      </c>
      <c r="Y71">
        <f t="shared" si="30"/>
        <v>0</v>
      </c>
      <c r="Z71">
        <f t="shared" si="21"/>
        <v>0</v>
      </c>
      <c r="AA71">
        <f t="shared" si="22"/>
        <v>0</v>
      </c>
      <c r="AB71">
        <f t="shared" si="23"/>
        <v>0</v>
      </c>
      <c r="AC71">
        <f t="shared" si="24"/>
        <v>0</v>
      </c>
      <c r="AD71" s="1">
        <f t="shared" si="25"/>
        <v>0</v>
      </c>
      <c r="AE71">
        <f t="shared" si="26"/>
        <v>0</v>
      </c>
      <c r="AF71">
        <f t="shared" si="27"/>
        <v>0</v>
      </c>
      <c r="AG71">
        <f t="shared" si="28"/>
        <v>0</v>
      </c>
    </row>
    <row r="72" spans="1:33" x14ac:dyDescent="0.25">
      <c r="A72" t="s">
        <v>153</v>
      </c>
      <c r="B72" t="s">
        <v>154</v>
      </c>
      <c r="C72">
        <v>167900</v>
      </c>
      <c r="D72">
        <v>167900</v>
      </c>
      <c r="S72">
        <f t="shared" si="17"/>
        <v>0</v>
      </c>
      <c r="T72">
        <f t="shared" si="18"/>
        <v>0</v>
      </c>
      <c r="U72">
        <f t="shared" si="16"/>
        <v>0</v>
      </c>
      <c r="V72">
        <f t="shared" si="19"/>
        <v>0</v>
      </c>
      <c r="W72">
        <f t="shared" si="20"/>
        <v>0</v>
      </c>
      <c r="X72">
        <f t="shared" si="29"/>
        <v>0</v>
      </c>
      <c r="Y72">
        <f t="shared" si="30"/>
        <v>0</v>
      </c>
      <c r="Z72">
        <f t="shared" si="21"/>
        <v>0</v>
      </c>
      <c r="AA72">
        <f t="shared" si="22"/>
        <v>0</v>
      </c>
      <c r="AB72">
        <f t="shared" si="23"/>
        <v>0</v>
      </c>
      <c r="AC72">
        <f t="shared" si="24"/>
        <v>0</v>
      </c>
      <c r="AD72" s="1">
        <f t="shared" si="25"/>
        <v>0</v>
      </c>
      <c r="AE72">
        <f t="shared" si="26"/>
        <v>0</v>
      </c>
      <c r="AF72">
        <f t="shared" si="27"/>
        <v>0</v>
      </c>
      <c r="AG72">
        <f t="shared" si="28"/>
        <v>0</v>
      </c>
    </row>
    <row r="73" spans="1:33" x14ac:dyDescent="0.25">
      <c r="A73" t="s">
        <v>155</v>
      </c>
      <c r="B73" t="s">
        <v>156</v>
      </c>
      <c r="C73">
        <v>165878</v>
      </c>
      <c r="D73">
        <v>165878</v>
      </c>
      <c r="H73">
        <v>20</v>
      </c>
      <c r="I73">
        <v>40</v>
      </c>
      <c r="J73">
        <v>20</v>
      </c>
      <c r="K73">
        <v>10</v>
      </c>
      <c r="L73">
        <v>0</v>
      </c>
      <c r="M73">
        <v>90</v>
      </c>
      <c r="S73">
        <f t="shared" si="17"/>
        <v>0</v>
      </c>
      <c r="T73">
        <f t="shared" si="18"/>
        <v>7.5</v>
      </c>
      <c r="U73">
        <f t="shared" si="16"/>
        <v>1</v>
      </c>
      <c r="V73">
        <f t="shared" si="19"/>
        <v>0</v>
      </c>
      <c r="W73">
        <f t="shared" si="20"/>
        <v>1</v>
      </c>
      <c r="X73">
        <f t="shared" si="29"/>
        <v>0</v>
      </c>
      <c r="Y73">
        <f t="shared" si="30"/>
        <v>1</v>
      </c>
      <c r="Z73">
        <f t="shared" si="21"/>
        <v>0</v>
      </c>
      <c r="AA73">
        <f t="shared" si="22"/>
        <v>0</v>
      </c>
      <c r="AB73">
        <f t="shared" si="23"/>
        <v>0</v>
      </c>
      <c r="AC73">
        <f t="shared" si="24"/>
        <v>10</v>
      </c>
      <c r="AD73" s="1">
        <f t="shared" si="25"/>
        <v>6.666666666666667</v>
      </c>
      <c r="AE73">
        <f t="shared" si="26"/>
        <v>10</v>
      </c>
      <c r="AF73">
        <f t="shared" si="27"/>
        <v>10</v>
      </c>
      <c r="AG73">
        <f t="shared" si="28"/>
        <v>0</v>
      </c>
    </row>
    <row r="74" spans="1:33" x14ac:dyDescent="0.25">
      <c r="A74" t="s">
        <v>157</v>
      </c>
      <c r="B74" t="s">
        <v>158</v>
      </c>
      <c r="C74">
        <v>166117</v>
      </c>
      <c r="D74">
        <v>166117</v>
      </c>
      <c r="E74">
        <v>30</v>
      </c>
      <c r="F74">
        <v>10</v>
      </c>
      <c r="G74">
        <v>40</v>
      </c>
      <c r="O74">
        <v>80</v>
      </c>
      <c r="S74">
        <f t="shared" si="17"/>
        <v>5</v>
      </c>
      <c r="T74">
        <f t="shared" si="18"/>
        <v>0</v>
      </c>
      <c r="U74">
        <f t="shared" si="16"/>
        <v>1</v>
      </c>
      <c r="V74">
        <f t="shared" si="19"/>
        <v>1</v>
      </c>
      <c r="W74">
        <f t="shared" si="20"/>
        <v>0</v>
      </c>
      <c r="X74">
        <f t="shared" si="29"/>
        <v>0</v>
      </c>
      <c r="Y74">
        <f t="shared" si="30"/>
        <v>0</v>
      </c>
      <c r="Z74">
        <f t="shared" si="21"/>
        <v>6</v>
      </c>
      <c r="AA74">
        <f t="shared" si="22"/>
        <v>2.5</v>
      </c>
      <c r="AB74">
        <f t="shared" si="23"/>
        <v>5.7142857142857144</v>
      </c>
      <c r="AC74">
        <f t="shared" si="24"/>
        <v>0</v>
      </c>
      <c r="AD74" s="1">
        <f t="shared" si="25"/>
        <v>0</v>
      </c>
      <c r="AE74">
        <f t="shared" si="26"/>
        <v>0</v>
      </c>
      <c r="AF74">
        <f t="shared" si="27"/>
        <v>0</v>
      </c>
      <c r="AG74">
        <f t="shared" si="28"/>
        <v>0</v>
      </c>
    </row>
    <row r="75" spans="1:33" x14ac:dyDescent="0.25">
      <c r="A75" t="s">
        <v>159</v>
      </c>
      <c r="B75" t="s">
        <v>160</v>
      </c>
      <c r="C75">
        <v>167645</v>
      </c>
      <c r="D75">
        <v>167645</v>
      </c>
      <c r="H75">
        <v>0</v>
      </c>
      <c r="I75">
        <v>20</v>
      </c>
      <c r="J75">
        <v>10</v>
      </c>
      <c r="K75">
        <v>0</v>
      </c>
      <c r="L75">
        <v>0</v>
      </c>
      <c r="M75">
        <v>30</v>
      </c>
      <c r="S75">
        <f t="shared" si="17"/>
        <v>0</v>
      </c>
      <c r="T75">
        <f t="shared" si="18"/>
        <v>2.5</v>
      </c>
      <c r="U75">
        <f t="shared" si="16"/>
        <v>1</v>
      </c>
      <c r="V75">
        <f t="shared" si="19"/>
        <v>0</v>
      </c>
      <c r="W75">
        <f t="shared" si="20"/>
        <v>1</v>
      </c>
      <c r="X75">
        <f t="shared" si="29"/>
        <v>0</v>
      </c>
      <c r="Y75">
        <f t="shared" si="30"/>
        <v>0</v>
      </c>
      <c r="Z75">
        <f t="shared" si="21"/>
        <v>0</v>
      </c>
      <c r="AA75">
        <f t="shared" si="22"/>
        <v>0</v>
      </c>
      <c r="AB75">
        <f t="shared" si="23"/>
        <v>0</v>
      </c>
      <c r="AC75">
        <f t="shared" si="24"/>
        <v>0</v>
      </c>
      <c r="AD75" s="1">
        <f t="shared" si="25"/>
        <v>3.3333333333333335</v>
      </c>
      <c r="AE75">
        <f t="shared" si="26"/>
        <v>5</v>
      </c>
      <c r="AF75">
        <f t="shared" si="27"/>
        <v>0</v>
      </c>
      <c r="AG75">
        <f t="shared" si="28"/>
        <v>0</v>
      </c>
    </row>
    <row r="76" spans="1:33" x14ac:dyDescent="0.25">
      <c r="A76" t="s">
        <v>161</v>
      </c>
      <c r="B76" t="s">
        <v>162</v>
      </c>
      <c r="C76">
        <v>167815</v>
      </c>
      <c r="D76">
        <v>167815</v>
      </c>
      <c r="H76">
        <v>10</v>
      </c>
      <c r="I76">
        <v>30</v>
      </c>
      <c r="J76">
        <v>10</v>
      </c>
      <c r="K76">
        <v>0</v>
      </c>
      <c r="L76">
        <v>0</v>
      </c>
      <c r="M76">
        <v>50</v>
      </c>
      <c r="S76">
        <f t="shared" si="17"/>
        <v>0</v>
      </c>
      <c r="T76">
        <f t="shared" si="18"/>
        <v>4.166666666666667</v>
      </c>
      <c r="U76">
        <f t="shared" si="16"/>
        <v>1</v>
      </c>
      <c r="V76">
        <f t="shared" si="19"/>
        <v>0</v>
      </c>
      <c r="W76">
        <f t="shared" si="20"/>
        <v>1</v>
      </c>
      <c r="X76">
        <f t="shared" si="29"/>
        <v>0</v>
      </c>
      <c r="Y76">
        <f t="shared" si="30"/>
        <v>0</v>
      </c>
      <c r="Z76">
        <f t="shared" si="21"/>
        <v>0</v>
      </c>
      <c r="AA76">
        <f t="shared" si="22"/>
        <v>0</v>
      </c>
      <c r="AB76">
        <f t="shared" si="23"/>
        <v>0</v>
      </c>
      <c r="AC76">
        <f t="shared" si="24"/>
        <v>5</v>
      </c>
      <c r="AD76" s="1">
        <f t="shared" si="25"/>
        <v>5</v>
      </c>
      <c r="AE76">
        <f t="shared" si="26"/>
        <v>5</v>
      </c>
      <c r="AF76">
        <f t="shared" si="27"/>
        <v>0</v>
      </c>
      <c r="AG76">
        <f t="shared" si="28"/>
        <v>0</v>
      </c>
    </row>
    <row r="77" spans="1:33" x14ac:dyDescent="0.25">
      <c r="A77" t="s">
        <v>163</v>
      </c>
      <c r="B77" t="s">
        <v>164</v>
      </c>
      <c r="C77">
        <v>168292</v>
      </c>
      <c r="D77">
        <v>168292</v>
      </c>
      <c r="S77">
        <f t="shared" si="17"/>
        <v>0</v>
      </c>
      <c r="T77">
        <f t="shared" si="18"/>
        <v>0</v>
      </c>
      <c r="U77">
        <f t="shared" si="16"/>
        <v>0</v>
      </c>
      <c r="V77">
        <f t="shared" si="19"/>
        <v>0</v>
      </c>
      <c r="W77">
        <f t="shared" si="20"/>
        <v>0</v>
      </c>
      <c r="X77">
        <f t="shared" si="29"/>
        <v>0</v>
      </c>
      <c r="Y77">
        <f t="shared" si="30"/>
        <v>0</v>
      </c>
      <c r="Z77">
        <f t="shared" si="21"/>
        <v>0</v>
      </c>
      <c r="AA77">
        <f t="shared" si="22"/>
        <v>0</v>
      </c>
      <c r="AB77">
        <f t="shared" si="23"/>
        <v>0</v>
      </c>
      <c r="AC77">
        <f t="shared" si="24"/>
        <v>0</v>
      </c>
      <c r="AD77" s="1">
        <f t="shared" si="25"/>
        <v>0</v>
      </c>
      <c r="AE77">
        <f t="shared" si="26"/>
        <v>0</v>
      </c>
      <c r="AF77">
        <f t="shared" si="27"/>
        <v>0</v>
      </c>
      <c r="AG77">
        <f t="shared" si="28"/>
        <v>0</v>
      </c>
    </row>
    <row r="78" spans="1:33" x14ac:dyDescent="0.25">
      <c r="A78" t="s">
        <v>165</v>
      </c>
      <c r="B78" t="s">
        <v>166</v>
      </c>
      <c r="C78">
        <v>165952</v>
      </c>
      <c r="D78">
        <v>165952</v>
      </c>
      <c r="E78">
        <v>20</v>
      </c>
      <c r="F78">
        <v>30</v>
      </c>
      <c r="G78">
        <v>20</v>
      </c>
      <c r="O78">
        <v>70</v>
      </c>
      <c r="S78">
        <f t="shared" si="17"/>
        <v>4.375</v>
      </c>
      <c r="T78">
        <f t="shared" si="18"/>
        <v>0</v>
      </c>
      <c r="U78">
        <f t="shared" si="16"/>
        <v>1</v>
      </c>
      <c r="V78">
        <f t="shared" si="19"/>
        <v>1</v>
      </c>
      <c r="W78">
        <f t="shared" si="20"/>
        <v>0</v>
      </c>
      <c r="X78">
        <f t="shared" si="29"/>
        <v>0</v>
      </c>
      <c r="Y78">
        <f t="shared" si="30"/>
        <v>0</v>
      </c>
      <c r="Z78">
        <f t="shared" si="21"/>
        <v>4</v>
      </c>
      <c r="AA78">
        <f t="shared" si="22"/>
        <v>7.5</v>
      </c>
      <c r="AB78">
        <f t="shared" si="23"/>
        <v>2.8571428571428572</v>
      </c>
      <c r="AC78">
        <f t="shared" si="24"/>
        <v>0</v>
      </c>
      <c r="AD78" s="1">
        <f t="shared" si="25"/>
        <v>0</v>
      </c>
      <c r="AE78">
        <f t="shared" si="26"/>
        <v>0</v>
      </c>
      <c r="AF78">
        <f t="shared" si="27"/>
        <v>0</v>
      </c>
      <c r="AG78">
        <f t="shared" si="28"/>
        <v>0</v>
      </c>
    </row>
    <row r="79" spans="1:33" x14ac:dyDescent="0.25">
      <c r="A79" t="s">
        <v>167</v>
      </c>
      <c r="B79" t="s">
        <v>168</v>
      </c>
      <c r="C79">
        <v>167117</v>
      </c>
      <c r="D79">
        <v>167117</v>
      </c>
      <c r="H79">
        <v>10</v>
      </c>
      <c r="I79">
        <v>30</v>
      </c>
      <c r="J79">
        <v>10</v>
      </c>
      <c r="K79">
        <v>10</v>
      </c>
      <c r="L79">
        <v>0</v>
      </c>
      <c r="M79">
        <v>60</v>
      </c>
      <c r="S79">
        <f t="shared" si="17"/>
        <v>0</v>
      </c>
      <c r="T79">
        <f t="shared" si="18"/>
        <v>5</v>
      </c>
      <c r="U79">
        <f t="shared" si="16"/>
        <v>1</v>
      </c>
      <c r="V79">
        <f t="shared" si="19"/>
        <v>0</v>
      </c>
      <c r="W79">
        <f t="shared" si="20"/>
        <v>1</v>
      </c>
      <c r="X79">
        <f t="shared" si="29"/>
        <v>0</v>
      </c>
      <c r="Y79">
        <f t="shared" si="30"/>
        <v>0</v>
      </c>
      <c r="Z79">
        <f t="shared" si="21"/>
        <v>0</v>
      </c>
      <c r="AA79">
        <f t="shared" si="22"/>
        <v>0</v>
      </c>
      <c r="AB79">
        <f t="shared" si="23"/>
        <v>0</v>
      </c>
      <c r="AC79">
        <f t="shared" si="24"/>
        <v>5</v>
      </c>
      <c r="AD79" s="1">
        <f t="shared" si="25"/>
        <v>5</v>
      </c>
      <c r="AE79">
        <f t="shared" si="26"/>
        <v>5</v>
      </c>
      <c r="AF79">
        <f t="shared" si="27"/>
        <v>10</v>
      </c>
      <c r="AG79">
        <f t="shared" si="28"/>
        <v>0</v>
      </c>
    </row>
    <row r="80" spans="1:33" x14ac:dyDescent="0.25">
      <c r="A80" t="s">
        <v>169</v>
      </c>
      <c r="B80" t="s">
        <v>170</v>
      </c>
      <c r="C80">
        <v>166532</v>
      </c>
      <c r="D80">
        <v>166532</v>
      </c>
      <c r="H80">
        <v>20</v>
      </c>
      <c r="I80">
        <v>30</v>
      </c>
      <c r="J80">
        <v>10</v>
      </c>
      <c r="K80">
        <v>10</v>
      </c>
      <c r="L80">
        <v>0</v>
      </c>
      <c r="M80">
        <v>70</v>
      </c>
      <c r="S80">
        <f t="shared" si="17"/>
        <v>0</v>
      </c>
      <c r="T80">
        <f t="shared" si="18"/>
        <v>5.833333333333333</v>
      </c>
      <c r="U80">
        <f t="shared" si="16"/>
        <v>1</v>
      </c>
      <c r="V80">
        <f t="shared" si="19"/>
        <v>0</v>
      </c>
      <c r="W80">
        <f t="shared" si="20"/>
        <v>1</v>
      </c>
      <c r="X80">
        <f t="shared" si="29"/>
        <v>0</v>
      </c>
      <c r="Y80">
        <f t="shared" si="30"/>
        <v>0</v>
      </c>
      <c r="Z80">
        <f t="shared" si="21"/>
        <v>0</v>
      </c>
      <c r="AA80">
        <f t="shared" si="22"/>
        <v>0</v>
      </c>
      <c r="AB80">
        <f t="shared" si="23"/>
        <v>0</v>
      </c>
      <c r="AC80">
        <f t="shared" si="24"/>
        <v>10</v>
      </c>
      <c r="AD80" s="1">
        <f t="shared" si="25"/>
        <v>5</v>
      </c>
      <c r="AE80">
        <f t="shared" si="26"/>
        <v>5</v>
      </c>
      <c r="AF80">
        <f t="shared" si="27"/>
        <v>10</v>
      </c>
      <c r="AG80">
        <f t="shared" si="28"/>
        <v>0</v>
      </c>
    </row>
    <row r="81" spans="1:33" x14ac:dyDescent="0.25">
      <c r="A81" t="s">
        <v>171</v>
      </c>
      <c r="B81" t="s">
        <v>172</v>
      </c>
      <c r="C81">
        <v>167198</v>
      </c>
      <c r="D81">
        <v>167198</v>
      </c>
      <c r="E81">
        <v>20</v>
      </c>
      <c r="F81">
        <v>40</v>
      </c>
      <c r="G81">
        <v>40</v>
      </c>
      <c r="O81">
        <v>100</v>
      </c>
      <c r="S81">
        <f t="shared" si="17"/>
        <v>6.25</v>
      </c>
      <c r="T81">
        <f t="shared" si="18"/>
        <v>0</v>
      </c>
      <c r="U81">
        <f t="shared" si="16"/>
        <v>1</v>
      </c>
      <c r="V81">
        <f t="shared" si="19"/>
        <v>1</v>
      </c>
      <c r="W81">
        <f t="shared" si="20"/>
        <v>0</v>
      </c>
      <c r="X81">
        <f t="shared" si="29"/>
        <v>1</v>
      </c>
      <c r="Y81">
        <f t="shared" si="30"/>
        <v>0</v>
      </c>
      <c r="Z81">
        <f t="shared" si="21"/>
        <v>4</v>
      </c>
      <c r="AA81">
        <f t="shared" si="22"/>
        <v>10</v>
      </c>
      <c r="AB81">
        <f t="shared" si="23"/>
        <v>5.7142857142857144</v>
      </c>
      <c r="AC81">
        <f t="shared" si="24"/>
        <v>0</v>
      </c>
      <c r="AD81" s="1">
        <f t="shared" si="25"/>
        <v>0</v>
      </c>
      <c r="AE81">
        <f t="shared" si="26"/>
        <v>0</v>
      </c>
      <c r="AF81">
        <f t="shared" si="27"/>
        <v>0</v>
      </c>
      <c r="AG81">
        <f t="shared" si="28"/>
        <v>0</v>
      </c>
    </row>
    <row r="82" spans="1:33" x14ac:dyDescent="0.25">
      <c r="A82" t="s">
        <v>173</v>
      </c>
      <c r="B82" t="s">
        <v>174</v>
      </c>
      <c r="C82">
        <v>168576</v>
      </c>
      <c r="D82">
        <v>168576</v>
      </c>
      <c r="H82">
        <v>10</v>
      </c>
      <c r="I82">
        <v>20</v>
      </c>
      <c r="J82">
        <v>10</v>
      </c>
      <c r="K82">
        <v>10</v>
      </c>
      <c r="L82">
        <v>0</v>
      </c>
      <c r="M82">
        <v>50</v>
      </c>
      <c r="S82">
        <f t="shared" si="17"/>
        <v>0</v>
      </c>
      <c r="T82">
        <f t="shared" si="18"/>
        <v>4.166666666666667</v>
      </c>
      <c r="U82">
        <f t="shared" si="16"/>
        <v>1</v>
      </c>
      <c r="V82">
        <f t="shared" si="19"/>
        <v>0</v>
      </c>
      <c r="W82">
        <f t="shared" si="20"/>
        <v>1</v>
      </c>
      <c r="X82">
        <f t="shared" si="29"/>
        <v>0</v>
      </c>
      <c r="Y82">
        <f t="shared" si="30"/>
        <v>0</v>
      </c>
      <c r="Z82">
        <f t="shared" si="21"/>
        <v>0</v>
      </c>
      <c r="AA82">
        <f t="shared" si="22"/>
        <v>0</v>
      </c>
      <c r="AB82">
        <f t="shared" si="23"/>
        <v>0</v>
      </c>
      <c r="AC82">
        <f t="shared" si="24"/>
        <v>5</v>
      </c>
      <c r="AD82" s="1">
        <f t="shared" si="25"/>
        <v>3.3333333333333335</v>
      </c>
      <c r="AE82">
        <f t="shared" si="26"/>
        <v>5</v>
      </c>
      <c r="AF82">
        <f t="shared" si="27"/>
        <v>10</v>
      </c>
      <c r="AG82">
        <f t="shared" si="28"/>
        <v>0</v>
      </c>
    </row>
    <row r="83" spans="1:33" x14ac:dyDescent="0.25">
      <c r="A83" t="s">
        <v>175</v>
      </c>
      <c r="B83" t="s">
        <v>176</v>
      </c>
      <c r="C83">
        <v>166316</v>
      </c>
      <c r="D83">
        <v>166316</v>
      </c>
      <c r="H83">
        <v>20</v>
      </c>
      <c r="I83">
        <v>30</v>
      </c>
      <c r="J83">
        <v>10</v>
      </c>
      <c r="K83">
        <v>10</v>
      </c>
      <c r="L83">
        <v>10</v>
      </c>
      <c r="M83">
        <v>80</v>
      </c>
      <c r="S83">
        <f t="shared" si="17"/>
        <v>0</v>
      </c>
      <c r="T83">
        <f t="shared" si="18"/>
        <v>6.666666666666667</v>
      </c>
      <c r="U83">
        <f t="shared" si="16"/>
        <v>1</v>
      </c>
      <c r="V83">
        <f t="shared" si="19"/>
        <v>0</v>
      </c>
      <c r="W83">
        <f t="shared" si="20"/>
        <v>1</v>
      </c>
      <c r="X83">
        <f t="shared" si="29"/>
        <v>0</v>
      </c>
      <c r="Y83">
        <f t="shared" si="30"/>
        <v>1</v>
      </c>
      <c r="Z83">
        <f t="shared" si="21"/>
        <v>0</v>
      </c>
      <c r="AA83">
        <f t="shared" si="22"/>
        <v>0</v>
      </c>
      <c r="AB83">
        <f t="shared" si="23"/>
        <v>0</v>
      </c>
      <c r="AC83">
        <f t="shared" si="24"/>
        <v>10</v>
      </c>
      <c r="AD83" s="1">
        <f t="shared" si="25"/>
        <v>5</v>
      </c>
      <c r="AE83">
        <f t="shared" si="26"/>
        <v>5</v>
      </c>
      <c r="AF83">
        <f t="shared" si="27"/>
        <v>10</v>
      </c>
      <c r="AG83">
        <f t="shared" si="28"/>
        <v>10</v>
      </c>
    </row>
    <row r="84" spans="1:33" x14ac:dyDescent="0.25">
      <c r="A84" t="s">
        <v>177</v>
      </c>
      <c r="B84" t="s">
        <v>178</v>
      </c>
      <c r="C84">
        <v>168639</v>
      </c>
      <c r="D84">
        <v>168639</v>
      </c>
      <c r="E84">
        <v>20</v>
      </c>
      <c r="F84">
        <v>20</v>
      </c>
      <c r="G84">
        <v>20</v>
      </c>
      <c r="O84">
        <v>60</v>
      </c>
      <c r="S84">
        <f t="shared" si="17"/>
        <v>3.75</v>
      </c>
      <c r="T84">
        <f t="shared" si="18"/>
        <v>0</v>
      </c>
      <c r="U84">
        <f t="shared" si="16"/>
        <v>1</v>
      </c>
      <c r="V84">
        <f t="shared" si="19"/>
        <v>1</v>
      </c>
      <c r="W84">
        <f t="shared" si="20"/>
        <v>0</v>
      </c>
      <c r="X84">
        <f t="shared" si="29"/>
        <v>0</v>
      </c>
      <c r="Y84">
        <f t="shared" si="30"/>
        <v>0</v>
      </c>
      <c r="Z84">
        <f t="shared" si="21"/>
        <v>4</v>
      </c>
      <c r="AA84">
        <f t="shared" si="22"/>
        <v>5</v>
      </c>
      <c r="AB84">
        <f t="shared" si="23"/>
        <v>2.8571428571428572</v>
      </c>
      <c r="AC84">
        <f t="shared" si="24"/>
        <v>0</v>
      </c>
      <c r="AD84" s="1">
        <f t="shared" si="25"/>
        <v>0</v>
      </c>
      <c r="AE84">
        <f t="shared" si="26"/>
        <v>0</v>
      </c>
      <c r="AF84">
        <f t="shared" si="27"/>
        <v>0</v>
      </c>
      <c r="AG84">
        <f t="shared" si="28"/>
        <v>0</v>
      </c>
    </row>
    <row r="85" spans="1:33" x14ac:dyDescent="0.25">
      <c r="A85" t="s">
        <v>179</v>
      </c>
      <c r="B85" t="s">
        <v>180</v>
      </c>
      <c r="C85">
        <v>166123</v>
      </c>
      <c r="D85">
        <v>166123</v>
      </c>
      <c r="E85">
        <v>30</v>
      </c>
      <c r="F85">
        <v>10</v>
      </c>
      <c r="G85">
        <v>40</v>
      </c>
      <c r="O85">
        <v>80</v>
      </c>
      <c r="S85">
        <f t="shared" si="17"/>
        <v>5</v>
      </c>
      <c r="T85">
        <f t="shared" si="18"/>
        <v>0</v>
      </c>
      <c r="U85">
        <f t="shared" si="16"/>
        <v>1</v>
      </c>
      <c r="V85">
        <f t="shared" si="19"/>
        <v>1</v>
      </c>
      <c r="W85">
        <f t="shared" si="20"/>
        <v>0</v>
      </c>
      <c r="X85">
        <f t="shared" si="29"/>
        <v>0</v>
      </c>
      <c r="Y85">
        <f t="shared" si="30"/>
        <v>0</v>
      </c>
      <c r="Z85">
        <f t="shared" si="21"/>
        <v>6</v>
      </c>
      <c r="AA85">
        <f t="shared" si="22"/>
        <v>2.5</v>
      </c>
      <c r="AB85">
        <f t="shared" si="23"/>
        <v>5.7142857142857144</v>
      </c>
      <c r="AC85">
        <f t="shared" si="24"/>
        <v>0</v>
      </c>
      <c r="AD85" s="1">
        <f t="shared" si="25"/>
        <v>0</v>
      </c>
      <c r="AE85">
        <f t="shared" si="26"/>
        <v>0</v>
      </c>
      <c r="AF85">
        <f t="shared" si="27"/>
        <v>0</v>
      </c>
      <c r="AG85">
        <f t="shared" si="28"/>
        <v>0</v>
      </c>
    </row>
    <row r="86" spans="1:33" x14ac:dyDescent="0.25">
      <c r="A86" t="s">
        <v>181</v>
      </c>
      <c r="B86" t="s">
        <v>182</v>
      </c>
      <c r="C86">
        <v>162327</v>
      </c>
      <c r="D86">
        <v>162327</v>
      </c>
      <c r="E86">
        <v>20</v>
      </c>
      <c r="F86">
        <v>10</v>
      </c>
      <c r="G86">
        <v>40</v>
      </c>
      <c r="O86">
        <v>70</v>
      </c>
      <c r="S86">
        <f t="shared" si="17"/>
        <v>4.375</v>
      </c>
      <c r="T86">
        <f t="shared" si="18"/>
        <v>0</v>
      </c>
      <c r="U86">
        <f t="shared" si="16"/>
        <v>1</v>
      </c>
      <c r="V86">
        <f t="shared" si="19"/>
        <v>1</v>
      </c>
      <c r="W86">
        <f t="shared" si="20"/>
        <v>0</v>
      </c>
      <c r="X86">
        <f t="shared" si="29"/>
        <v>0</v>
      </c>
      <c r="Y86">
        <f t="shared" si="30"/>
        <v>0</v>
      </c>
      <c r="Z86">
        <f t="shared" si="21"/>
        <v>4</v>
      </c>
      <c r="AA86">
        <f t="shared" si="22"/>
        <v>2.5</v>
      </c>
      <c r="AB86">
        <f t="shared" si="23"/>
        <v>5.7142857142857144</v>
      </c>
      <c r="AC86">
        <f t="shared" si="24"/>
        <v>0</v>
      </c>
      <c r="AD86" s="1">
        <f t="shared" si="25"/>
        <v>0</v>
      </c>
      <c r="AE86">
        <f t="shared" si="26"/>
        <v>0</v>
      </c>
      <c r="AF86">
        <f t="shared" si="27"/>
        <v>0</v>
      </c>
      <c r="AG86">
        <f t="shared" si="28"/>
        <v>0</v>
      </c>
    </row>
    <row r="87" spans="1:33" x14ac:dyDescent="0.25">
      <c r="A87" t="s">
        <v>183</v>
      </c>
      <c r="B87" t="s">
        <v>184</v>
      </c>
      <c r="C87">
        <v>166234</v>
      </c>
      <c r="D87">
        <v>166234</v>
      </c>
      <c r="E87">
        <v>30</v>
      </c>
      <c r="F87">
        <v>40</v>
      </c>
      <c r="G87">
        <v>30</v>
      </c>
      <c r="O87">
        <v>100</v>
      </c>
      <c r="S87">
        <f t="shared" si="17"/>
        <v>6.25</v>
      </c>
      <c r="T87">
        <f t="shared" si="18"/>
        <v>0</v>
      </c>
      <c r="U87">
        <f t="shared" si="16"/>
        <v>1</v>
      </c>
      <c r="V87">
        <f t="shared" si="19"/>
        <v>1</v>
      </c>
      <c r="W87">
        <f t="shared" si="20"/>
        <v>0</v>
      </c>
      <c r="X87">
        <f t="shared" si="29"/>
        <v>1</v>
      </c>
      <c r="Y87">
        <f t="shared" si="30"/>
        <v>0</v>
      </c>
      <c r="Z87">
        <f t="shared" si="21"/>
        <v>6</v>
      </c>
      <c r="AA87">
        <f t="shared" si="22"/>
        <v>10</v>
      </c>
      <c r="AB87">
        <f t="shared" si="23"/>
        <v>4.2857142857142856</v>
      </c>
      <c r="AC87">
        <f t="shared" si="24"/>
        <v>0</v>
      </c>
      <c r="AD87" s="1">
        <f t="shared" si="25"/>
        <v>0</v>
      </c>
      <c r="AE87">
        <f t="shared" si="26"/>
        <v>0</v>
      </c>
      <c r="AF87">
        <f t="shared" si="27"/>
        <v>0</v>
      </c>
      <c r="AG87">
        <f t="shared" si="28"/>
        <v>0</v>
      </c>
    </row>
    <row r="88" spans="1:33" x14ac:dyDescent="0.25">
      <c r="A88" t="s">
        <v>185</v>
      </c>
      <c r="B88" t="s">
        <v>186</v>
      </c>
      <c r="C88">
        <v>168477</v>
      </c>
      <c r="D88">
        <v>168477</v>
      </c>
      <c r="H88">
        <v>20</v>
      </c>
      <c r="I88">
        <v>40</v>
      </c>
      <c r="J88">
        <v>20</v>
      </c>
      <c r="K88">
        <v>10</v>
      </c>
      <c r="L88">
        <v>0</v>
      </c>
      <c r="M88">
        <v>90</v>
      </c>
      <c r="S88">
        <f t="shared" si="17"/>
        <v>0</v>
      </c>
      <c r="T88">
        <f t="shared" si="18"/>
        <v>7.5</v>
      </c>
      <c r="U88">
        <f t="shared" si="16"/>
        <v>1</v>
      </c>
      <c r="V88">
        <f t="shared" si="19"/>
        <v>0</v>
      </c>
      <c r="W88">
        <f t="shared" si="20"/>
        <v>1</v>
      </c>
      <c r="X88">
        <f t="shared" si="29"/>
        <v>0</v>
      </c>
      <c r="Y88">
        <f t="shared" si="30"/>
        <v>1</v>
      </c>
      <c r="Z88">
        <f t="shared" si="21"/>
        <v>0</v>
      </c>
      <c r="AA88">
        <f t="shared" si="22"/>
        <v>0</v>
      </c>
      <c r="AB88">
        <f t="shared" si="23"/>
        <v>0</v>
      </c>
      <c r="AC88">
        <f t="shared" si="24"/>
        <v>10</v>
      </c>
      <c r="AD88" s="1">
        <f t="shared" si="25"/>
        <v>6.666666666666667</v>
      </c>
      <c r="AE88">
        <f t="shared" si="26"/>
        <v>10</v>
      </c>
      <c r="AF88">
        <f t="shared" si="27"/>
        <v>10</v>
      </c>
      <c r="AG88">
        <f t="shared" si="28"/>
        <v>0</v>
      </c>
    </row>
    <row r="89" spans="1:33" x14ac:dyDescent="0.25">
      <c r="A89" t="s">
        <v>187</v>
      </c>
      <c r="B89" t="s">
        <v>188</v>
      </c>
      <c r="C89">
        <v>165107</v>
      </c>
      <c r="D89">
        <v>165107</v>
      </c>
      <c r="E89">
        <v>10</v>
      </c>
      <c r="F89">
        <v>20</v>
      </c>
      <c r="G89">
        <v>30</v>
      </c>
      <c r="O89">
        <v>60</v>
      </c>
      <c r="S89">
        <f t="shared" si="17"/>
        <v>3.75</v>
      </c>
      <c r="T89">
        <f t="shared" si="18"/>
        <v>0</v>
      </c>
      <c r="U89">
        <f t="shared" si="16"/>
        <v>1</v>
      </c>
      <c r="V89">
        <f t="shared" si="19"/>
        <v>1</v>
      </c>
      <c r="W89">
        <f t="shared" si="20"/>
        <v>0</v>
      </c>
      <c r="X89">
        <f t="shared" si="29"/>
        <v>0</v>
      </c>
      <c r="Y89">
        <f t="shared" si="30"/>
        <v>0</v>
      </c>
      <c r="Z89">
        <f t="shared" si="21"/>
        <v>2</v>
      </c>
      <c r="AA89">
        <f t="shared" si="22"/>
        <v>5</v>
      </c>
      <c r="AB89">
        <f t="shared" si="23"/>
        <v>4.2857142857142856</v>
      </c>
      <c r="AC89">
        <f t="shared" si="24"/>
        <v>0</v>
      </c>
      <c r="AD89" s="1">
        <f t="shared" si="25"/>
        <v>0</v>
      </c>
      <c r="AE89">
        <f t="shared" si="26"/>
        <v>0</v>
      </c>
      <c r="AF89">
        <f t="shared" si="27"/>
        <v>0</v>
      </c>
      <c r="AG89">
        <f t="shared" si="28"/>
        <v>0</v>
      </c>
    </row>
    <row r="90" spans="1:33" x14ac:dyDescent="0.25">
      <c r="A90" t="s">
        <v>189</v>
      </c>
      <c r="B90" t="s">
        <v>190</v>
      </c>
      <c r="C90">
        <v>167565</v>
      </c>
      <c r="D90">
        <v>167565</v>
      </c>
      <c r="H90">
        <v>20</v>
      </c>
      <c r="I90">
        <v>50</v>
      </c>
      <c r="J90">
        <v>10</v>
      </c>
      <c r="K90">
        <v>10</v>
      </c>
      <c r="L90">
        <v>10</v>
      </c>
      <c r="M90">
        <v>100</v>
      </c>
      <c r="S90">
        <f t="shared" si="17"/>
        <v>0</v>
      </c>
      <c r="T90">
        <f t="shared" si="18"/>
        <v>8.3333333333333339</v>
      </c>
      <c r="U90">
        <f t="shared" si="16"/>
        <v>1</v>
      </c>
      <c r="V90">
        <f t="shared" si="19"/>
        <v>0</v>
      </c>
      <c r="W90">
        <f t="shared" si="20"/>
        <v>1</v>
      </c>
      <c r="X90">
        <f t="shared" si="29"/>
        <v>0</v>
      </c>
      <c r="Y90">
        <f t="shared" si="30"/>
        <v>1</v>
      </c>
      <c r="Z90">
        <f t="shared" si="21"/>
        <v>0</v>
      </c>
      <c r="AA90">
        <f t="shared" si="22"/>
        <v>0</v>
      </c>
      <c r="AB90">
        <f t="shared" si="23"/>
        <v>0</v>
      </c>
      <c r="AC90">
        <f t="shared" si="24"/>
        <v>10</v>
      </c>
      <c r="AD90" s="1">
        <f t="shared" si="25"/>
        <v>8.3333333333333339</v>
      </c>
      <c r="AE90">
        <f t="shared" si="26"/>
        <v>5</v>
      </c>
      <c r="AF90">
        <f t="shared" si="27"/>
        <v>10</v>
      </c>
      <c r="AG90">
        <f t="shared" si="28"/>
        <v>10</v>
      </c>
    </row>
    <row r="91" spans="1:33" x14ac:dyDescent="0.25">
      <c r="A91" t="s">
        <v>191</v>
      </c>
      <c r="B91" t="s">
        <v>126</v>
      </c>
      <c r="C91">
        <v>167068</v>
      </c>
      <c r="D91">
        <v>167068</v>
      </c>
      <c r="E91">
        <v>10</v>
      </c>
      <c r="F91">
        <v>0</v>
      </c>
      <c r="G91">
        <v>30</v>
      </c>
      <c r="O91">
        <v>40</v>
      </c>
      <c r="S91">
        <f t="shared" si="17"/>
        <v>2.5</v>
      </c>
      <c r="T91">
        <f t="shared" si="18"/>
        <v>0</v>
      </c>
      <c r="U91">
        <f t="shared" si="16"/>
        <v>1</v>
      </c>
      <c r="V91">
        <f t="shared" si="19"/>
        <v>1</v>
      </c>
      <c r="W91">
        <f t="shared" si="20"/>
        <v>0</v>
      </c>
      <c r="X91">
        <f t="shared" si="29"/>
        <v>0</v>
      </c>
      <c r="Y91">
        <f t="shared" si="30"/>
        <v>0</v>
      </c>
      <c r="Z91">
        <f t="shared" si="21"/>
        <v>2</v>
      </c>
      <c r="AA91">
        <f t="shared" si="22"/>
        <v>0</v>
      </c>
      <c r="AB91">
        <f t="shared" si="23"/>
        <v>4.2857142857142856</v>
      </c>
      <c r="AC91">
        <f t="shared" si="24"/>
        <v>0</v>
      </c>
      <c r="AD91" s="1">
        <f t="shared" si="25"/>
        <v>0</v>
      </c>
      <c r="AE91">
        <f t="shared" si="26"/>
        <v>0</v>
      </c>
      <c r="AF91">
        <f t="shared" si="27"/>
        <v>0</v>
      </c>
      <c r="AG91">
        <f t="shared" si="28"/>
        <v>0</v>
      </c>
    </row>
    <row r="92" spans="1:33" x14ac:dyDescent="0.25">
      <c r="A92" t="s">
        <v>192</v>
      </c>
      <c r="B92" t="s">
        <v>193</v>
      </c>
      <c r="C92">
        <v>165775</v>
      </c>
      <c r="D92">
        <v>165775</v>
      </c>
      <c r="E92">
        <v>50</v>
      </c>
      <c r="F92">
        <v>30</v>
      </c>
      <c r="G92">
        <v>20</v>
      </c>
      <c r="O92">
        <v>100</v>
      </c>
      <c r="S92">
        <f t="shared" si="17"/>
        <v>6.25</v>
      </c>
      <c r="T92">
        <f t="shared" si="18"/>
        <v>0</v>
      </c>
      <c r="U92">
        <f t="shared" si="16"/>
        <v>1</v>
      </c>
      <c r="V92">
        <f t="shared" si="19"/>
        <v>1</v>
      </c>
      <c r="W92">
        <f t="shared" si="20"/>
        <v>0</v>
      </c>
      <c r="X92">
        <f t="shared" si="29"/>
        <v>1</v>
      </c>
      <c r="Y92">
        <f t="shared" si="30"/>
        <v>0</v>
      </c>
      <c r="Z92">
        <f t="shared" si="21"/>
        <v>10</v>
      </c>
      <c r="AA92">
        <f t="shared" si="22"/>
        <v>7.5</v>
      </c>
      <c r="AB92">
        <f t="shared" si="23"/>
        <v>2.8571428571428572</v>
      </c>
      <c r="AC92">
        <f t="shared" si="24"/>
        <v>0</v>
      </c>
      <c r="AD92" s="1">
        <f t="shared" si="25"/>
        <v>0</v>
      </c>
      <c r="AE92">
        <f t="shared" si="26"/>
        <v>0</v>
      </c>
      <c r="AF92">
        <f t="shared" si="27"/>
        <v>0</v>
      </c>
      <c r="AG92">
        <f t="shared" si="28"/>
        <v>0</v>
      </c>
    </row>
    <row r="93" spans="1:33" x14ac:dyDescent="0.25">
      <c r="A93" t="s">
        <v>194</v>
      </c>
      <c r="B93" t="s">
        <v>195</v>
      </c>
      <c r="C93">
        <v>161016</v>
      </c>
      <c r="D93">
        <v>161016</v>
      </c>
      <c r="S93">
        <f t="shared" si="17"/>
        <v>0</v>
      </c>
      <c r="T93">
        <f t="shared" si="18"/>
        <v>0</v>
      </c>
      <c r="U93">
        <f t="shared" si="16"/>
        <v>0</v>
      </c>
      <c r="V93">
        <f t="shared" si="19"/>
        <v>0</v>
      </c>
      <c r="W93">
        <f t="shared" si="20"/>
        <v>0</v>
      </c>
      <c r="X93">
        <f t="shared" si="29"/>
        <v>0</v>
      </c>
      <c r="Y93">
        <f t="shared" si="30"/>
        <v>0</v>
      </c>
      <c r="Z93">
        <f t="shared" si="21"/>
        <v>0</v>
      </c>
      <c r="AA93">
        <f t="shared" si="22"/>
        <v>0</v>
      </c>
      <c r="AB93">
        <f t="shared" si="23"/>
        <v>0</v>
      </c>
      <c r="AC93">
        <f t="shared" si="24"/>
        <v>0</v>
      </c>
      <c r="AD93" s="1">
        <f t="shared" si="25"/>
        <v>0</v>
      </c>
      <c r="AE93">
        <f t="shared" si="26"/>
        <v>0</v>
      </c>
      <c r="AF93">
        <f t="shared" si="27"/>
        <v>0</v>
      </c>
      <c r="AG93">
        <f t="shared" si="28"/>
        <v>0</v>
      </c>
    </row>
    <row r="94" spans="1:33" x14ac:dyDescent="0.25">
      <c r="A94" t="s">
        <v>196</v>
      </c>
      <c r="B94" t="s">
        <v>197</v>
      </c>
      <c r="C94">
        <v>165022</v>
      </c>
      <c r="D94">
        <v>165022</v>
      </c>
      <c r="H94">
        <v>20</v>
      </c>
      <c r="I94">
        <v>40</v>
      </c>
      <c r="J94">
        <v>10</v>
      </c>
      <c r="K94">
        <v>10</v>
      </c>
      <c r="L94">
        <v>10</v>
      </c>
      <c r="M94">
        <v>90</v>
      </c>
      <c r="S94">
        <f t="shared" si="17"/>
        <v>0</v>
      </c>
      <c r="T94">
        <f t="shared" si="18"/>
        <v>7.5</v>
      </c>
      <c r="U94">
        <f t="shared" si="16"/>
        <v>1</v>
      </c>
      <c r="V94">
        <f t="shared" si="19"/>
        <v>0</v>
      </c>
      <c r="W94">
        <f t="shared" si="20"/>
        <v>1</v>
      </c>
      <c r="X94">
        <f t="shared" si="29"/>
        <v>0</v>
      </c>
      <c r="Y94">
        <f t="shared" si="30"/>
        <v>1</v>
      </c>
      <c r="Z94">
        <f t="shared" si="21"/>
        <v>0</v>
      </c>
      <c r="AA94">
        <f t="shared" si="22"/>
        <v>0</v>
      </c>
      <c r="AB94">
        <f t="shared" si="23"/>
        <v>0</v>
      </c>
      <c r="AC94">
        <f t="shared" si="24"/>
        <v>10</v>
      </c>
      <c r="AD94" s="1">
        <f t="shared" si="25"/>
        <v>6.666666666666667</v>
      </c>
      <c r="AE94">
        <f t="shared" si="26"/>
        <v>5</v>
      </c>
      <c r="AF94">
        <f t="shared" si="27"/>
        <v>10</v>
      </c>
      <c r="AG94">
        <f t="shared" si="28"/>
        <v>10</v>
      </c>
    </row>
    <row r="95" spans="1:33" x14ac:dyDescent="0.25">
      <c r="A95" t="s">
        <v>198</v>
      </c>
      <c r="B95" t="s">
        <v>199</v>
      </c>
      <c r="C95">
        <v>168236</v>
      </c>
      <c r="D95">
        <v>168236</v>
      </c>
      <c r="S95">
        <f t="shared" si="17"/>
        <v>0</v>
      </c>
      <c r="T95">
        <f t="shared" si="18"/>
        <v>0</v>
      </c>
      <c r="U95">
        <f t="shared" si="16"/>
        <v>0</v>
      </c>
      <c r="V95">
        <f t="shared" si="19"/>
        <v>0</v>
      </c>
      <c r="W95">
        <f t="shared" si="20"/>
        <v>0</v>
      </c>
      <c r="X95">
        <f t="shared" si="29"/>
        <v>0</v>
      </c>
      <c r="Y95">
        <f t="shared" si="30"/>
        <v>0</v>
      </c>
      <c r="Z95">
        <f t="shared" si="21"/>
        <v>0</v>
      </c>
      <c r="AA95">
        <f t="shared" si="22"/>
        <v>0</v>
      </c>
      <c r="AB95">
        <f t="shared" si="23"/>
        <v>0</v>
      </c>
      <c r="AC95">
        <f t="shared" si="24"/>
        <v>0</v>
      </c>
      <c r="AD95" s="1">
        <f t="shared" si="25"/>
        <v>0</v>
      </c>
      <c r="AE95">
        <f t="shared" si="26"/>
        <v>0</v>
      </c>
      <c r="AF95">
        <f t="shared" si="27"/>
        <v>0</v>
      </c>
      <c r="AG95">
        <f t="shared" si="28"/>
        <v>0</v>
      </c>
    </row>
    <row r="96" spans="1:33" x14ac:dyDescent="0.25">
      <c r="A96" t="s">
        <v>200</v>
      </c>
      <c r="B96" t="s">
        <v>201</v>
      </c>
      <c r="C96">
        <v>168724</v>
      </c>
      <c r="D96">
        <v>168724</v>
      </c>
      <c r="H96">
        <v>10</v>
      </c>
      <c r="I96">
        <v>40</v>
      </c>
      <c r="J96">
        <v>10</v>
      </c>
      <c r="K96">
        <v>10</v>
      </c>
      <c r="L96">
        <v>0</v>
      </c>
      <c r="M96">
        <v>70</v>
      </c>
      <c r="S96">
        <f t="shared" si="17"/>
        <v>0</v>
      </c>
      <c r="T96">
        <f t="shared" si="18"/>
        <v>5.833333333333333</v>
      </c>
      <c r="U96">
        <f t="shared" si="16"/>
        <v>1</v>
      </c>
      <c r="V96">
        <f t="shared" si="19"/>
        <v>0</v>
      </c>
      <c r="W96">
        <f t="shared" si="20"/>
        <v>1</v>
      </c>
      <c r="X96">
        <f t="shared" si="29"/>
        <v>0</v>
      </c>
      <c r="Y96">
        <f t="shared" si="30"/>
        <v>0</v>
      </c>
      <c r="Z96">
        <f t="shared" si="21"/>
        <v>0</v>
      </c>
      <c r="AA96">
        <f t="shared" si="22"/>
        <v>0</v>
      </c>
      <c r="AB96">
        <f t="shared" si="23"/>
        <v>0</v>
      </c>
      <c r="AC96">
        <f t="shared" si="24"/>
        <v>5</v>
      </c>
      <c r="AD96" s="1">
        <f t="shared" si="25"/>
        <v>6.666666666666667</v>
      </c>
      <c r="AE96">
        <f t="shared" si="26"/>
        <v>5</v>
      </c>
      <c r="AF96">
        <f t="shared" si="27"/>
        <v>10</v>
      </c>
      <c r="AG96">
        <f t="shared" si="28"/>
        <v>0</v>
      </c>
    </row>
    <row r="97" spans="1:33" x14ac:dyDescent="0.25">
      <c r="A97" t="s">
        <v>202</v>
      </c>
      <c r="B97" t="s">
        <v>203</v>
      </c>
      <c r="C97">
        <v>166210</v>
      </c>
      <c r="D97">
        <v>166210</v>
      </c>
      <c r="H97">
        <v>20</v>
      </c>
      <c r="I97">
        <v>50</v>
      </c>
      <c r="J97">
        <v>20</v>
      </c>
      <c r="K97">
        <v>10</v>
      </c>
      <c r="L97">
        <v>0</v>
      </c>
      <c r="M97">
        <v>100</v>
      </c>
      <c r="S97">
        <f t="shared" si="17"/>
        <v>0</v>
      </c>
      <c r="T97">
        <f t="shared" si="18"/>
        <v>8.3333333333333339</v>
      </c>
      <c r="U97">
        <f t="shared" si="16"/>
        <v>1</v>
      </c>
      <c r="V97">
        <f t="shared" si="19"/>
        <v>0</v>
      </c>
      <c r="W97">
        <f t="shared" si="20"/>
        <v>1</v>
      </c>
      <c r="X97">
        <f t="shared" si="29"/>
        <v>0</v>
      </c>
      <c r="Y97">
        <f t="shared" si="30"/>
        <v>1</v>
      </c>
      <c r="Z97">
        <f t="shared" si="21"/>
        <v>0</v>
      </c>
      <c r="AA97">
        <f t="shared" si="22"/>
        <v>0</v>
      </c>
      <c r="AB97">
        <f t="shared" si="23"/>
        <v>0</v>
      </c>
      <c r="AC97">
        <f t="shared" si="24"/>
        <v>10</v>
      </c>
      <c r="AD97" s="1">
        <f t="shared" si="25"/>
        <v>8.3333333333333339</v>
      </c>
      <c r="AE97">
        <f t="shared" si="26"/>
        <v>10</v>
      </c>
      <c r="AF97">
        <f t="shared" si="27"/>
        <v>10</v>
      </c>
      <c r="AG97">
        <f t="shared" si="28"/>
        <v>0</v>
      </c>
    </row>
    <row r="98" spans="1:33" x14ac:dyDescent="0.25">
      <c r="A98" t="s">
        <v>204</v>
      </c>
      <c r="B98" t="s">
        <v>25</v>
      </c>
      <c r="C98">
        <v>164520</v>
      </c>
      <c r="D98">
        <v>164520</v>
      </c>
      <c r="E98">
        <v>20</v>
      </c>
      <c r="F98">
        <v>20</v>
      </c>
      <c r="G98">
        <v>20</v>
      </c>
      <c r="O98">
        <v>60</v>
      </c>
      <c r="S98">
        <f t="shared" si="17"/>
        <v>3.75</v>
      </c>
      <c r="T98">
        <f t="shared" si="18"/>
        <v>0</v>
      </c>
      <c r="U98">
        <f t="shared" si="16"/>
        <v>1</v>
      </c>
      <c r="V98">
        <f t="shared" si="19"/>
        <v>1</v>
      </c>
      <c r="W98">
        <f t="shared" si="20"/>
        <v>0</v>
      </c>
      <c r="X98">
        <f t="shared" si="29"/>
        <v>0</v>
      </c>
      <c r="Y98">
        <f t="shared" si="30"/>
        <v>0</v>
      </c>
      <c r="Z98">
        <f t="shared" si="21"/>
        <v>4</v>
      </c>
      <c r="AA98">
        <f t="shared" si="22"/>
        <v>5</v>
      </c>
      <c r="AB98">
        <f t="shared" si="23"/>
        <v>2.8571428571428572</v>
      </c>
      <c r="AC98">
        <f t="shared" si="24"/>
        <v>0</v>
      </c>
      <c r="AD98" s="1">
        <f t="shared" si="25"/>
        <v>0</v>
      </c>
      <c r="AE98">
        <f t="shared" si="26"/>
        <v>0</v>
      </c>
      <c r="AF98">
        <f t="shared" si="27"/>
        <v>0</v>
      </c>
      <c r="AG98">
        <f t="shared" si="28"/>
        <v>0</v>
      </c>
    </row>
    <row r="99" spans="1:33" x14ac:dyDescent="0.25">
      <c r="A99" t="s">
        <v>205</v>
      </c>
      <c r="B99" t="s">
        <v>138</v>
      </c>
      <c r="C99">
        <v>167560</v>
      </c>
      <c r="D99">
        <v>167560</v>
      </c>
      <c r="H99">
        <v>0</v>
      </c>
      <c r="I99">
        <v>10</v>
      </c>
      <c r="J99">
        <v>10</v>
      </c>
      <c r="K99">
        <v>10</v>
      </c>
      <c r="L99">
        <v>10</v>
      </c>
      <c r="M99">
        <v>40</v>
      </c>
      <c r="S99">
        <f t="shared" si="17"/>
        <v>0</v>
      </c>
      <c r="T99">
        <f t="shared" si="18"/>
        <v>3.3333333333333335</v>
      </c>
      <c r="U99">
        <f t="shared" si="16"/>
        <v>1</v>
      </c>
      <c r="V99">
        <f t="shared" si="19"/>
        <v>0</v>
      </c>
      <c r="W99">
        <f t="shared" si="20"/>
        <v>1</v>
      </c>
      <c r="X99">
        <f t="shared" si="29"/>
        <v>0</v>
      </c>
      <c r="Y99">
        <f t="shared" si="30"/>
        <v>0</v>
      </c>
      <c r="Z99">
        <f t="shared" si="21"/>
        <v>0</v>
      </c>
      <c r="AA99">
        <f t="shared" si="22"/>
        <v>0</v>
      </c>
      <c r="AB99">
        <f t="shared" si="23"/>
        <v>0</v>
      </c>
      <c r="AC99">
        <f t="shared" si="24"/>
        <v>0</v>
      </c>
      <c r="AD99" s="1">
        <f t="shared" si="25"/>
        <v>1.6666666666666667</v>
      </c>
      <c r="AE99">
        <f t="shared" si="26"/>
        <v>5</v>
      </c>
      <c r="AF99">
        <f t="shared" si="27"/>
        <v>10</v>
      </c>
      <c r="AG99">
        <f t="shared" si="28"/>
        <v>10</v>
      </c>
    </row>
    <row r="100" spans="1:33" x14ac:dyDescent="0.25">
      <c r="A100" t="s">
        <v>206</v>
      </c>
      <c r="B100" t="s">
        <v>207</v>
      </c>
      <c r="C100">
        <v>167075</v>
      </c>
      <c r="D100">
        <v>167075</v>
      </c>
      <c r="E100">
        <v>30</v>
      </c>
      <c r="F100">
        <v>30</v>
      </c>
      <c r="G100">
        <v>30</v>
      </c>
      <c r="O100">
        <v>90</v>
      </c>
      <c r="S100">
        <f t="shared" si="17"/>
        <v>5.625</v>
      </c>
      <c r="T100">
        <f t="shared" si="18"/>
        <v>0</v>
      </c>
      <c r="U100">
        <f t="shared" si="16"/>
        <v>1</v>
      </c>
      <c r="V100">
        <f t="shared" si="19"/>
        <v>1</v>
      </c>
      <c r="W100">
        <f t="shared" si="20"/>
        <v>0</v>
      </c>
      <c r="X100">
        <f t="shared" si="29"/>
        <v>0</v>
      </c>
      <c r="Y100">
        <f t="shared" si="30"/>
        <v>0</v>
      </c>
      <c r="Z100">
        <f t="shared" si="21"/>
        <v>6</v>
      </c>
      <c r="AA100">
        <f t="shared" si="22"/>
        <v>7.5</v>
      </c>
      <c r="AB100">
        <f t="shared" si="23"/>
        <v>4.2857142857142856</v>
      </c>
      <c r="AC100">
        <f t="shared" si="24"/>
        <v>0</v>
      </c>
      <c r="AD100" s="1">
        <f t="shared" si="25"/>
        <v>0</v>
      </c>
      <c r="AE100">
        <f t="shared" si="26"/>
        <v>0</v>
      </c>
      <c r="AF100">
        <f t="shared" si="27"/>
        <v>0</v>
      </c>
      <c r="AG100">
        <f t="shared" si="28"/>
        <v>0</v>
      </c>
    </row>
    <row r="101" spans="1:33" x14ac:dyDescent="0.25">
      <c r="A101" t="s">
        <v>208</v>
      </c>
      <c r="B101" t="s">
        <v>209</v>
      </c>
      <c r="C101">
        <v>168885</v>
      </c>
      <c r="D101">
        <v>168885</v>
      </c>
      <c r="H101">
        <v>0</v>
      </c>
      <c r="I101">
        <v>20</v>
      </c>
      <c r="J101">
        <v>20</v>
      </c>
      <c r="K101">
        <v>0</v>
      </c>
      <c r="L101">
        <v>0</v>
      </c>
      <c r="M101">
        <v>40</v>
      </c>
      <c r="S101">
        <f t="shared" si="17"/>
        <v>0</v>
      </c>
      <c r="T101">
        <f t="shared" si="18"/>
        <v>3.3333333333333335</v>
      </c>
      <c r="U101">
        <f t="shared" si="16"/>
        <v>1</v>
      </c>
      <c r="V101">
        <f t="shared" si="19"/>
        <v>0</v>
      </c>
      <c r="W101">
        <f t="shared" si="20"/>
        <v>1</v>
      </c>
      <c r="X101">
        <f t="shared" si="29"/>
        <v>0</v>
      </c>
      <c r="Y101">
        <f t="shared" si="30"/>
        <v>0</v>
      </c>
      <c r="Z101">
        <f t="shared" si="21"/>
        <v>0</v>
      </c>
      <c r="AA101">
        <f t="shared" si="22"/>
        <v>0</v>
      </c>
      <c r="AB101">
        <f t="shared" si="23"/>
        <v>0</v>
      </c>
      <c r="AC101">
        <f t="shared" si="24"/>
        <v>0</v>
      </c>
      <c r="AD101" s="1">
        <f t="shared" si="25"/>
        <v>3.3333333333333335</v>
      </c>
      <c r="AE101">
        <f t="shared" si="26"/>
        <v>10</v>
      </c>
      <c r="AF101">
        <f t="shared" si="27"/>
        <v>0</v>
      </c>
      <c r="AG101">
        <f t="shared" si="28"/>
        <v>0</v>
      </c>
    </row>
    <row r="102" spans="1:33" x14ac:dyDescent="0.25">
      <c r="A102" t="s">
        <v>210</v>
      </c>
      <c r="B102" t="s">
        <v>211</v>
      </c>
      <c r="C102">
        <v>168246</v>
      </c>
      <c r="D102">
        <v>168246</v>
      </c>
      <c r="E102">
        <v>10</v>
      </c>
      <c r="F102">
        <v>10</v>
      </c>
      <c r="G102">
        <v>20</v>
      </c>
      <c r="O102">
        <v>40</v>
      </c>
      <c r="S102">
        <f t="shared" si="17"/>
        <v>2.5</v>
      </c>
      <c r="T102">
        <f t="shared" si="18"/>
        <v>0</v>
      </c>
      <c r="U102">
        <f t="shared" si="16"/>
        <v>1</v>
      </c>
      <c r="V102">
        <f t="shared" si="19"/>
        <v>1</v>
      </c>
      <c r="W102">
        <f t="shared" si="20"/>
        <v>0</v>
      </c>
      <c r="X102">
        <f t="shared" si="29"/>
        <v>0</v>
      </c>
      <c r="Y102">
        <f t="shared" si="30"/>
        <v>0</v>
      </c>
      <c r="Z102">
        <f t="shared" si="21"/>
        <v>2</v>
      </c>
      <c r="AA102">
        <f t="shared" si="22"/>
        <v>2.5</v>
      </c>
      <c r="AB102">
        <f t="shared" si="23"/>
        <v>2.8571428571428572</v>
      </c>
      <c r="AC102">
        <f t="shared" si="24"/>
        <v>0</v>
      </c>
      <c r="AD102" s="1">
        <f t="shared" si="25"/>
        <v>0</v>
      </c>
      <c r="AE102">
        <f t="shared" si="26"/>
        <v>0</v>
      </c>
      <c r="AF102">
        <f t="shared" si="27"/>
        <v>0</v>
      </c>
      <c r="AG102">
        <f t="shared" si="28"/>
        <v>0</v>
      </c>
    </row>
    <row r="103" spans="1:33" x14ac:dyDescent="0.25">
      <c r="A103" t="s">
        <v>212</v>
      </c>
      <c r="B103" t="s">
        <v>213</v>
      </c>
      <c r="C103">
        <v>165898</v>
      </c>
      <c r="D103">
        <v>165898</v>
      </c>
      <c r="S103">
        <f t="shared" si="17"/>
        <v>0</v>
      </c>
      <c r="T103">
        <f t="shared" si="18"/>
        <v>0</v>
      </c>
      <c r="U103">
        <f t="shared" si="16"/>
        <v>0</v>
      </c>
      <c r="V103">
        <f t="shared" si="19"/>
        <v>0</v>
      </c>
      <c r="W103">
        <f t="shared" si="20"/>
        <v>0</v>
      </c>
      <c r="X103">
        <f t="shared" si="29"/>
        <v>0</v>
      </c>
      <c r="Y103">
        <f t="shared" si="30"/>
        <v>0</v>
      </c>
      <c r="Z103">
        <f t="shared" si="21"/>
        <v>0</v>
      </c>
      <c r="AA103">
        <f t="shared" si="22"/>
        <v>0</v>
      </c>
      <c r="AB103">
        <f t="shared" si="23"/>
        <v>0</v>
      </c>
      <c r="AC103">
        <f t="shared" si="24"/>
        <v>0</v>
      </c>
      <c r="AD103" s="1">
        <f t="shared" si="25"/>
        <v>0</v>
      </c>
      <c r="AE103">
        <f t="shared" si="26"/>
        <v>0</v>
      </c>
      <c r="AF103">
        <f t="shared" si="27"/>
        <v>0</v>
      </c>
      <c r="AG103">
        <f t="shared" si="28"/>
        <v>0</v>
      </c>
    </row>
    <row r="104" spans="1:33" x14ac:dyDescent="0.25">
      <c r="A104" t="s">
        <v>212</v>
      </c>
      <c r="B104" t="s">
        <v>214</v>
      </c>
      <c r="C104">
        <v>165899</v>
      </c>
      <c r="D104">
        <v>165899</v>
      </c>
      <c r="S104">
        <f t="shared" si="17"/>
        <v>0</v>
      </c>
      <c r="T104">
        <f t="shared" si="18"/>
        <v>0</v>
      </c>
      <c r="U104">
        <f t="shared" si="16"/>
        <v>0</v>
      </c>
      <c r="V104">
        <f t="shared" si="19"/>
        <v>0</v>
      </c>
      <c r="W104">
        <f t="shared" si="20"/>
        <v>0</v>
      </c>
      <c r="X104">
        <f t="shared" si="29"/>
        <v>0</v>
      </c>
      <c r="Y104">
        <f t="shared" si="30"/>
        <v>0</v>
      </c>
      <c r="Z104">
        <f t="shared" si="21"/>
        <v>0</v>
      </c>
      <c r="AA104">
        <f t="shared" si="22"/>
        <v>0</v>
      </c>
      <c r="AB104">
        <f t="shared" si="23"/>
        <v>0</v>
      </c>
      <c r="AC104">
        <f t="shared" si="24"/>
        <v>0</v>
      </c>
      <c r="AD104" s="1">
        <f t="shared" si="25"/>
        <v>0</v>
      </c>
      <c r="AE104">
        <f t="shared" si="26"/>
        <v>0</v>
      </c>
      <c r="AF104">
        <f t="shared" si="27"/>
        <v>0</v>
      </c>
      <c r="AG104">
        <f t="shared" si="28"/>
        <v>0</v>
      </c>
    </row>
    <row r="105" spans="1:33" x14ac:dyDescent="0.25">
      <c r="A105" t="s">
        <v>215</v>
      </c>
      <c r="B105" t="s">
        <v>216</v>
      </c>
      <c r="C105">
        <v>168594</v>
      </c>
      <c r="D105">
        <v>168594</v>
      </c>
      <c r="E105">
        <v>30</v>
      </c>
      <c r="F105">
        <v>20</v>
      </c>
      <c r="G105">
        <v>20</v>
      </c>
      <c r="O105">
        <v>70</v>
      </c>
      <c r="S105">
        <f t="shared" si="17"/>
        <v>4.375</v>
      </c>
      <c r="T105">
        <f t="shared" si="18"/>
        <v>0</v>
      </c>
      <c r="U105">
        <f t="shared" si="16"/>
        <v>1</v>
      </c>
      <c r="V105">
        <f t="shared" si="19"/>
        <v>1</v>
      </c>
      <c r="W105">
        <f t="shared" si="20"/>
        <v>0</v>
      </c>
      <c r="X105">
        <f t="shared" si="29"/>
        <v>0</v>
      </c>
      <c r="Y105">
        <f t="shared" si="30"/>
        <v>0</v>
      </c>
      <c r="Z105">
        <f t="shared" si="21"/>
        <v>6</v>
      </c>
      <c r="AA105">
        <f t="shared" si="22"/>
        <v>5</v>
      </c>
      <c r="AB105">
        <f t="shared" si="23"/>
        <v>2.8571428571428572</v>
      </c>
      <c r="AC105">
        <f t="shared" si="24"/>
        <v>0</v>
      </c>
      <c r="AD105" s="1">
        <f t="shared" si="25"/>
        <v>0</v>
      </c>
      <c r="AE105">
        <f t="shared" si="26"/>
        <v>0</v>
      </c>
      <c r="AF105">
        <f t="shared" si="27"/>
        <v>0</v>
      </c>
      <c r="AG105">
        <f t="shared" si="28"/>
        <v>0</v>
      </c>
    </row>
    <row r="106" spans="1:33" x14ac:dyDescent="0.25">
      <c r="A106" t="s">
        <v>217</v>
      </c>
      <c r="B106" t="s">
        <v>218</v>
      </c>
      <c r="C106">
        <v>167549</v>
      </c>
      <c r="D106">
        <v>167549</v>
      </c>
      <c r="H106">
        <v>0</v>
      </c>
      <c r="I106">
        <v>30</v>
      </c>
      <c r="J106">
        <v>10</v>
      </c>
      <c r="K106">
        <v>10</v>
      </c>
      <c r="L106">
        <v>10</v>
      </c>
      <c r="M106">
        <v>60</v>
      </c>
      <c r="S106">
        <f t="shared" si="17"/>
        <v>0</v>
      </c>
      <c r="T106">
        <f t="shared" si="18"/>
        <v>5</v>
      </c>
      <c r="U106">
        <f t="shared" si="16"/>
        <v>1</v>
      </c>
      <c r="V106">
        <f t="shared" si="19"/>
        <v>0</v>
      </c>
      <c r="W106">
        <f t="shared" si="20"/>
        <v>1</v>
      </c>
      <c r="X106">
        <f t="shared" si="29"/>
        <v>0</v>
      </c>
      <c r="Y106">
        <f t="shared" si="30"/>
        <v>0</v>
      </c>
      <c r="Z106">
        <f t="shared" si="21"/>
        <v>0</v>
      </c>
      <c r="AA106">
        <f t="shared" si="22"/>
        <v>0</v>
      </c>
      <c r="AB106">
        <f t="shared" si="23"/>
        <v>0</v>
      </c>
      <c r="AC106">
        <f t="shared" si="24"/>
        <v>0</v>
      </c>
      <c r="AD106" s="1">
        <f t="shared" si="25"/>
        <v>5</v>
      </c>
      <c r="AE106">
        <f t="shared" si="26"/>
        <v>5</v>
      </c>
      <c r="AF106">
        <f t="shared" si="27"/>
        <v>10</v>
      </c>
      <c r="AG106">
        <f t="shared" si="28"/>
        <v>10</v>
      </c>
    </row>
    <row r="107" spans="1:33" x14ac:dyDescent="0.25">
      <c r="A107" t="s">
        <v>219</v>
      </c>
      <c r="B107" t="s">
        <v>220</v>
      </c>
      <c r="C107">
        <v>167424</v>
      </c>
      <c r="D107">
        <v>167424</v>
      </c>
      <c r="H107">
        <v>0</v>
      </c>
      <c r="I107">
        <v>40</v>
      </c>
      <c r="J107">
        <v>10</v>
      </c>
      <c r="K107">
        <v>10</v>
      </c>
      <c r="L107">
        <v>0</v>
      </c>
      <c r="M107">
        <v>60</v>
      </c>
      <c r="S107">
        <f t="shared" si="17"/>
        <v>0</v>
      </c>
      <c r="T107">
        <f t="shared" si="18"/>
        <v>5</v>
      </c>
      <c r="U107">
        <f t="shared" si="16"/>
        <v>1</v>
      </c>
      <c r="V107">
        <f t="shared" si="19"/>
        <v>0</v>
      </c>
      <c r="W107">
        <f t="shared" si="20"/>
        <v>1</v>
      </c>
      <c r="X107">
        <f t="shared" si="29"/>
        <v>0</v>
      </c>
      <c r="Y107">
        <f t="shared" si="30"/>
        <v>0</v>
      </c>
      <c r="Z107">
        <f t="shared" si="21"/>
        <v>0</v>
      </c>
      <c r="AA107">
        <f t="shared" si="22"/>
        <v>0</v>
      </c>
      <c r="AB107">
        <f t="shared" si="23"/>
        <v>0</v>
      </c>
      <c r="AC107">
        <f t="shared" si="24"/>
        <v>0</v>
      </c>
      <c r="AD107" s="1">
        <f t="shared" si="25"/>
        <v>6.666666666666667</v>
      </c>
      <c r="AE107">
        <f t="shared" si="26"/>
        <v>5</v>
      </c>
      <c r="AF107">
        <f t="shared" si="27"/>
        <v>10</v>
      </c>
      <c r="AG107">
        <f t="shared" si="28"/>
        <v>0</v>
      </c>
    </row>
    <row r="108" spans="1:33" x14ac:dyDescent="0.25">
      <c r="A108" t="s">
        <v>221</v>
      </c>
      <c r="B108" t="s">
        <v>222</v>
      </c>
      <c r="C108">
        <v>167123</v>
      </c>
      <c r="D108">
        <v>167123</v>
      </c>
      <c r="H108">
        <v>10</v>
      </c>
      <c r="I108">
        <v>40</v>
      </c>
      <c r="J108">
        <v>10</v>
      </c>
      <c r="K108">
        <v>10</v>
      </c>
      <c r="L108">
        <v>10</v>
      </c>
      <c r="M108">
        <v>80</v>
      </c>
      <c r="S108">
        <f t="shared" si="17"/>
        <v>0</v>
      </c>
      <c r="T108">
        <f t="shared" si="18"/>
        <v>6.666666666666667</v>
      </c>
      <c r="U108">
        <f t="shared" si="16"/>
        <v>1</v>
      </c>
      <c r="V108">
        <f t="shared" si="19"/>
        <v>0</v>
      </c>
      <c r="W108">
        <f t="shared" si="20"/>
        <v>1</v>
      </c>
      <c r="X108">
        <f t="shared" si="29"/>
        <v>0</v>
      </c>
      <c r="Y108">
        <f t="shared" si="30"/>
        <v>1</v>
      </c>
      <c r="Z108">
        <f t="shared" si="21"/>
        <v>0</v>
      </c>
      <c r="AA108">
        <f t="shared" si="22"/>
        <v>0</v>
      </c>
      <c r="AB108">
        <f t="shared" si="23"/>
        <v>0</v>
      </c>
      <c r="AC108">
        <f t="shared" si="24"/>
        <v>5</v>
      </c>
      <c r="AD108" s="1">
        <f t="shared" si="25"/>
        <v>6.666666666666667</v>
      </c>
      <c r="AE108">
        <f t="shared" si="26"/>
        <v>5</v>
      </c>
      <c r="AF108">
        <f t="shared" si="27"/>
        <v>10</v>
      </c>
      <c r="AG108">
        <f t="shared" si="28"/>
        <v>10</v>
      </c>
    </row>
    <row r="109" spans="1:33" x14ac:dyDescent="0.25">
      <c r="A109" t="s">
        <v>223</v>
      </c>
      <c r="B109" t="s">
        <v>224</v>
      </c>
      <c r="C109">
        <v>165883</v>
      </c>
      <c r="D109">
        <v>165883</v>
      </c>
      <c r="E109">
        <v>50</v>
      </c>
      <c r="F109">
        <v>0</v>
      </c>
      <c r="G109">
        <v>40</v>
      </c>
      <c r="O109">
        <v>90</v>
      </c>
      <c r="S109">
        <f t="shared" si="17"/>
        <v>5.625</v>
      </c>
      <c r="T109">
        <f t="shared" si="18"/>
        <v>0</v>
      </c>
      <c r="U109">
        <f t="shared" si="16"/>
        <v>1</v>
      </c>
      <c r="V109">
        <f t="shared" si="19"/>
        <v>1</v>
      </c>
      <c r="W109">
        <f t="shared" si="20"/>
        <v>0</v>
      </c>
      <c r="X109">
        <f t="shared" si="29"/>
        <v>0</v>
      </c>
      <c r="Y109">
        <f t="shared" si="30"/>
        <v>0</v>
      </c>
      <c r="Z109">
        <f t="shared" si="21"/>
        <v>10</v>
      </c>
      <c r="AA109">
        <f t="shared" si="22"/>
        <v>0</v>
      </c>
      <c r="AB109">
        <f t="shared" si="23"/>
        <v>5.7142857142857144</v>
      </c>
      <c r="AC109">
        <f t="shared" si="24"/>
        <v>0</v>
      </c>
      <c r="AD109" s="1">
        <f t="shared" si="25"/>
        <v>0</v>
      </c>
      <c r="AE109">
        <f t="shared" si="26"/>
        <v>0</v>
      </c>
      <c r="AF109">
        <f t="shared" si="27"/>
        <v>0</v>
      </c>
      <c r="AG109">
        <f t="shared" si="28"/>
        <v>0</v>
      </c>
    </row>
    <row r="110" spans="1:33" x14ac:dyDescent="0.25">
      <c r="A110" t="s">
        <v>225</v>
      </c>
      <c r="B110" t="s">
        <v>226</v>
      </c>
      <c r="C110">
        <v>166548</v>
      </c>
      <c r="D110">
        <v>166548</v>
      </c>
      <c r="H110">
        <v>0</v>
      </c>
      <c r="I110">
        <v>10</v>
      </c>
      <c r="J110">
        <v>0</v>
      </c>
      <c r="K110">
        <v>0</v>
      </c>
      <c r="M110">
        <v>10</v>
      </c>
      <c r="S110">
        <f t="shared" si="17"/>
        <v>0</v>
      </c>
      <c r="T110">
        <f t="shared" si="18"/>
        <v>0.83333333333333337</v>
      </c>
      <c r="U110">
        <f t="shared" si="16"/>
        <v>1</v>
      </c>
      <c r="V110">
        <f t="shared" si="19"/>
        <v>0</v>
      </c>
      <c r="W110">
        <f t="shared" si="20"/>
        <v>1</v>
      </c>
      <c r="X110">
        <f t="shared" si="29"/>
        <v>0</v>
      </c>
      <c r="Y110">
        <f t="shared" si="30"/>
        <v>0</v>
      </c>
      <c r="Z110">
        <f t="shared" si="21"/>
        <v>0</v>
      </c>
      <c r="AA110">
        <f t="shared" si="22"/>
        <v>0</v>
      </c>
      <c r="AB110">
        <f t="shared" si="23"/>
        <v>0</v>
      </c>
      <c r="AC110">
        <f t="shared" si="24"/>
        <v>0</v>
      </c>
      <c r="AD110" s="1">
        <f t="shared" si="25"/>
        <v>1.6666666666666667</v>
      </c>
      <c r="AE110">
        <f t="shared" si="26"/>
        <v>0</v>
      </c>
      <c r="AF110">
        <f t="shared" si="27"/>
        <v>0</v>
      </c>
      <c r="AG110">
        <f t="shared" si="28"/>
        <v>0</v>
      </c>
    </row>
    <row r="111" spans="1:33" x14ac:dyDescent="0.25">
      <c r="A111" t="s">
        <v>227</v>
      </c>
      <c r="B111" t="s">
        <v>228</v>
      </c>
      <c r="C111">
        <v>166915</v>
      </c>
      <c r="D111">
        <v>166915</v>
      </c>
      <c r="H111">
        <v>10</v>
      </c>
      <c r="I111">
        <v>40</v>
      </c>
      <c r="J111">
        <v>20</v>
      </c>
      <c r="K111">
        <v>10</v>
      </c>
      <c r="L111">
        <v>0</v>
      </c>
      <c r="M111">
        <v>80</v>
      </c>
      <c r="S111">
        <f t="shared" si="17"/>
        <v>0</v>
      </c>
      <c r="T111">
        <f t="shared" si="18"/>
        <v>6.666666666666667</v>
      </c>
      <c r="U111">
        <f t="shared" si="16"/>
        <v>1</v>
      </c>
      <c r="V111">
        <f t="shared" si="19"/>
        <v>0</v>
      </c>
      <c r="W111">
        <f t="shared" si="20"/>
        <v>1</v>
      </c>
      <c r="X111">
        <f t="shared" si="29"/>
        <v>0</v>
      </c>
      <c r="Y111">
        <f t="shared" si="30"/>
        <v>1</v>
      </c>
      <c r="Z111">
        <f t="shared" si="21"/>
        <v>0</v>
      </c>
      <c r="AA111">
        <f t="shared" si="22"/>
        <v>0</v>
      </c>
      <c r="AB111">
        <f t="shared" si="23"/>
        <v>0</v>
      </c>
      <c r="AC111">
        <f t="shared" si="24"/>
        <v>5</v>
      </c>
      <c r="AD111" s="1">
        <f t="shared" si="25"/>
        <v>6.666666666666667</v>
      </c>
      <c r="AE111">
        <f t="shared" si="26"/>
        <v>10</v>
      </c>
      <c r="AF111">
        <f t="shared" si="27"/>
        <v>10</v>
      </c>
      <c r="AG111">
        <f t="shared" si="28"/>
        <v>0</v>
      </c>
    </row>
    <row r="112" spans="1:33" x14ac:dyDescent="0.25">
      <c r="A112" t="s">
        <v>229</v>
      </c>
      <c r="B112" t="s">
        <v>230</v>
      </c>
      <c r="C112">
        <v>168146</v>
      </c>
      <c r="D112">
        <v>168146</v>
      </c>
      <c r="H112">
        <v>20</v>
      </c>
      <c r="I112">
        <v>30</v>
      </c>
      <c r="J112">
        <v>10</v>
      </c>
      <c r="K112">
        <v>10</v>
      </c>
      <c r="L112">
        <v>10</v>
      </c>
      <c r="M112">
        <v>80</v>
      </c>
      <c r="S112">
        <f t="shared" si="17"/>
        <v>0</v>
      </c>
      <c r="T112">
        <f t="shared" si="18"/>
        <v>6.666666666666667</v>
      </c>
      <c r="U112">
        <f t="shared" si="16"/>
        <v>1</v>
      </c>
      <c r="V112">
        <f t="shared" si="19"/>
        <v>0</v>
      </c>
      <c r="W112">
        <f t="shared" si="20"/>
        <v>1</v>
      </c>
      <c r="X112">
        <f t="shared" si="29"/>
        <v>0</v>
      </c>
      <c r="Y112">
        <f t="shared" si="30"/>
        <v>1</v>
      </c>
      <c r="Z112">
        <f t="shared" si="21"/>
        <v>0</v>
      </c>
      <c r="AA112">
        <f t="shared" si="22"/>
        <v>0</v>
      </c>
      <c r="AB112">
        <f t="shared" si="23"/>
        <v>0</v>
      </c>
      <c r="AC112">
        <f t="shared" si="24"/>
        <v>10</v>
      </c>
      <c r="AD112" s="1">
        <f t="shared" si="25"/>
        <v>5</v>
      </c>
      <c r="AE112">
        <f t="shared" si="26"/>
        <v>5</v>
      </c>
      <c r="AF112">
        <f t="shared" si="27"/>
        <v>10</v>
      </c>
      <c r="AG112">
        <f t="shared" si="28"/>
        <v>10</v>
      </c>
    </row>
    <row r="113" spans="1:33" x14ac:dyDescent="0.25">
      <c r="A113" t="s">
        <v>231</v>
      </c>
      <c r="B113" t="s">
        <v>232</v>
      </c>
      <c r="C113">
        <v>165978</v>
      </c>
      <c r="D113">
        <v>165978</v>
      </c>
      <c r="H113">
        <v>10</v>
      </c>
      <c r="I113">
        <v>60</v>
      </c>
      <c r="J113">
        <v>20</v>
      </c>
      <c r="K113">
        <v>10</v>
      </c>
      <c r="L113">
        <v>0</v>
      </c>
      <c r="M113">
        <v>100</v>
      </c>
      <c r="S113">
        <f t="shared" si="17"/>
        <v>0</v>
      </c>
      <c r="T113">
        <f t="shared" si="18"/>
        <v>8.3333333333333339</v>
      </c>
      <c r="U113">
        <f t="shared" si="16"/>
        <v>1</v>
      </c>
      <c r="V113">
        <f t="shared" si="19"/>
        <v>0</v>
      </c>
      <c r="W113">
        <f t="shared" si="20"/>
        <v>1</v>
      </c>
      <c r="X113">
        <f t="shared" si="29"/>
        <v>0</v>
      </c>
      <c r="Y113">
        <f t="shared" si="30"/>
        <v>1</v>
      </c>
      <c r="Z113">
        <f t="shared" si="21"/>
        <v>0</v>
      </c>
      <c r="AA113">
        <f t="shared" si="22"/>
        <v>0</v>
      </c>
      <c r="AB113">
        <f t="shared" si="23"/>
        <v>0</v>
      </c>
      <c r="AC113">
        <f t="shared" si="24"/>
        <v>5</v>
      </c>
      <c r="AD113" s="1">
        <f t="shared" si="25"/>
        <v>10</v>
      </c>
      <c r="AE113">
        <f t="shared" si="26"/>
        <v>10</v>
      </c>
      <c r="AF113">
        <f t="shared" si="27"/>
        <v>10</v>
      </c>
      <c r="AG113">
        <f t="shared" si="28"/>
        <v>0</v>
      </c>
    </row>
    <row r="114" spans="1:33" x14ac:dyDescent="0.25">
      <c r="A114" t="s">
        <v>233</v>
      </c>
      <c r="B114" t="s">
        <v>234</v>
      </c>
      <c r="C114">
        <v>167449</v>
      </c>
      <c r="D114">
        <v>167449</v>
      </c>
      <c r="H114">
        <v>0</v>
      </c>
      <c r="I114">
        <v>30</v>
      </c>
      <c r="J114">
        <v>0</v>
      </c>
      <c r="K114">
        <v>0</v>
      </c>
      <c r="L114">
        <v>0</v>
      </c>
      <c r="M114">
        <v>30</v>
      </c>
      <c r="S114">
        <f t="shared" si="17"/>
        <v>0</v>
      </c>
      <c r="T114">
        <f t="shared" si="18"/>
        <v>2.5</v>
      </c>
      <c r="U114">
        <f t="shared" si="16"/>
        <v>1</v>
      </c>
      <c r="V114">
        <f t="shared" si="19"/>
        <v>0</v>
      </c>
      <c r="W114">
        <f t="shared" si="20"/>
        <v>1</v>
      </c>
      <c r="X114">
        <f t="shared" si="29"/>
        <v>0</v>
      </c>
      <c r="Y114">
        <f t="shared" si="30"/>
        <v>0</v>
      </c>
      <c r="Z114">
        <f t="shared" si="21"/>
        <v>0</v>
      </c>
      <c r="AA114">
        <f t="shared" si="22"/>
        <v>0</v>
      </c>
      <c r="AB114">
        <f t="shared" si="23"/>
        <v>0</v>
      </c>
      <c r="AC114">
        <f t="shared" si="24"/>
        <v>0</v>
      </c>
      <c r="AD114" s="1">
        <f t="shared" si="25"/>
        <v>5</v>
      </c>
      <c r="AE114">
        <f t="shared" si="26"/>
        <v>0</v>
      </c>
      <c r="AF114">
        <f t="shared" si="27"/>
        <v>0</v>
      </c>
      <c r="AG114">
        <f t="shared" si="28"/>
        <v>0</v>
      </c>
    </row>
    <row r="115" spans="1:33" x14ac:dyDescent="0.25">
      <c r="A115" t="s">
        <v>235</v>
      </c>
      <c r="B115" t="s">
        <v>236</v>
      </c>
      <c r="C115">
        <v>167677</v>
      </c>
      <c r="D115">
        <v>167677</v>
      </c>
      <c r="E115">
        <v>10</v>
      </c>
      <c r="F115">
        <v>10</v>
      </c>
      <c r="G115">
        <v>30</v>
      </c>
      <c r="O115">
        <v>50</v>
      </c>
      <c r="S115">
        <f t="shared" si="17"/>
        <v>3.125</v>
      </c>
      <c r="T115">
        <f t="shared" si="18"/>
        <v>0</v>
      </c>
      <c r="U115">
        <f t="shared" si="16"/>
        <v>1</v>
      </c>
      <c r="V115">
        <f t="shared" si="19"/>
        <v>1</v>
      </c>
      <c r="W115">
        <f t="shared" si="20"/>
        <v>0</v>
      </c>
      <c r="X115">
        <f t="shared" si="29"/>
        <v>0</v>
      </c>
      <c r="Y115">
        <f t="shared" si="30"/>
        <v>0</v>
      </c>
      <c r="Z115">
        <f t="shared" si="21"/>
        <v>2</v>
      </c>
      <c r="AA115">
        <f t="shared" si="22"/>
        <v>2.5</v>
      </c>
      <c r="AB115">
        <f t="shared" si="23"/>
        <v>4.2857142857142856</v>
      </c>
      <c r="AC115">
        <f t="shared" si="24"/>
        <v>0</v>
      </c>
      <c r="AD115" s="1">
        <f t="shared" si="25"/>
        <v>0</v>
      </c>
      <c r="AE115">
        <f t="shared" si="26"/>
        <v>0</v>
      </c>
      <c r="AF115">
        <f t="shared" si="27"/>
        <v>0</v>
      </c>
      <c r="AG115">
        <f t="shared" si="28"/>
        <v>0</v>
      </c>
    </row>
    <row r="116" spans="1:33" x14ac:dyDescent="0.25">
      <c r="A116" t="s">
        <v>237</v>
      </c>
      <c r="B116" t="s">
        <v>238</v>
      </c>
      <c r="C116">
        <v>168142</v>
      </c>
      <c r="D116">
        <v>168142</v>
      </c>
      <c r="E116">
        <v>20</v>
      </c>
      <c r="F116">
        <v>20</v>
      </c>
      <c r="G116">
        <v>10</v>
      </c>
      <c r="O116">
        <v>50</v>
      </c>
      <c r="S116">
        <f t="shared" si="17"/>
        <v>3.125</v>
      </c>
      <c r="T116">
        <f t="shared" si="18"/>
        <v>0</v>
      </c>
      <c r="U116">
        <f t="shared" si="16"/>
        <v>1</v>
      </c>
      <c r="V116">
        <f t="shared" si="19"/>
        <v>1</v>
      </c>
      <c r="W116">
        <f t="shared" si="20"/>
        <v>0</v>
      </c>
      <c r="X116">
        <f t="shared" si="29"/>
        <v>0</v>
      </c>
      <c r="Y116">
        <f t="shared" si="30"/>
        <v>0</v>
      </c>
      <c r="Z116">
        <f t="shared" si="21"/>
        <v>4</v>
      </c>
      <c r="AA116">
        <f t="shared" si="22"/>
        <v>5</v>
      </c>
      <c r="AB116">
        <f t="shared" si="23"/>
        <v>1.4285714285714286</v>
      </c>
      <c r="AC116">
        <f t="shared" si="24"/>
        <v>0</v>
      </c>
      <c r="AD116" s="1">
        <f t="shared" si="25"/>
        <v>0</v>
      </c>
      <c r="AE116">
        <f t="shared" si="26"/>
        <v>0</v>
      </c>
      <c r="AF116">
        <f t="shared" si="27"/>
        <v>0</v>
      </c>
      <c r="AG116">
        <f t="shared" si="28"/>
        <v>0</v>
      </c>
    </row>
    <row r="117" spans="1:33" x14ac:dyDescent="0.25">
      <c r="A117" t="s">
        <v>239</v>
      </c>
      <c r="B117" t="s">
        <v>240</v>
      </c>
      <c r="C117">
        <v>168512</v>
      </c>
      <c r="D117">
        <v>168512</v>
      </c>
      <c r="H117">
        <v>20</v>
      </c>
      <c r="I117">
        <v>30</v>
      </c>
      <c r="J117">
        <v>10</v>
      </c>
      <c r="K117">
        <v>10</v>
      </c>
      <c r="L117">
        <v>0</v>
      </c>
      <c r="M117">
        <v>70</v>
      </c>
      <c r="S117">
        <f t="shared" si="17"/>
        <v>0</v>
      </c>
      <c r="T117">
        <f t="shared" si="18"/>
        <v>5.833333333333333</v>
      </c>
      <c r="U117">
        <f t="shared" si="16"/>
        <v>1</v>
      </c>
      <c r="V117">
        <f t="shared" si="19"/>
        <v>0</v>
      </c>
      <c r="W117">
        <f t="shared" si="20"/>
        <v>1</v>
      </c>
      <c r="X117">
        <f t="shared" si="29"/>
        <v>0</v>
      </c>
      <c r="Y117">
        <f t="shared" si="30"/>
        <v>0</v>
      </c>
      <c r="Z117">
        <f t="shared" si="21"/>
        <v>0</v>
      </c>
      <c r="AA117">
        <f t="shared" si="22"/>
        <v>0</v>
      </c>
      <c r="AB117">
        <f t="shared" si="23"/>
        <v>0</v>
      </c>
      <c r="AC117">
        <f t="shared" si="24"/>
        <v>10</v>
      </c>
      <c r="AD117" s="1">
        <f t="shared" si="25"/>
        <v>5</v>
      </c>
      <c r="AE117">
        <f t="shared" si="26"/>
        <v>5</v>
      </c>
      <c r="AF117">
        <f t="shared" si="27"/>
        <v>10</v>
      </c>
      <c r="AG117">
        <f t="shared" si="28"/>
        <v>0</v>
      </c>
    </row>
    <row r="118" spans="1:33" x14ac:dyDescent="0.25">
      <c r="A118" t="s">
        <v>241</v>
      </c>
      <c r="B118" t="s">
        <v>242</v>
      </c>
      <c r="C118">
        <v>168577</v>
      </c>
      <c r="D118">
        <v>168577</v>
      </c>
      <c r="E118">
        <v>40</v>
      </c>
      <c r="F118">
        <v>0</v>
      </c>
      <c r="G118">
        <v>20</v>
      </c>
      <c r="O118">
        <v>60</v>
      </c>
      <c r="S118">
        <f t="shared" si="17"/>
        <v>3.75</v>
      </c>
      <c r="T118">
        <f t="shared" si="18"/>
        <v>0</v>
      </c>
      <c r="U118">
        <f t="shared" si="16"/>
        <v>1</v>
      </c>
      <c r="V118">
        <f t="shared" si="19"/>
        <v>1</v>
      </c>
      <c r="W118">
        <f t="shared" si="20"/>
        <v>0</v>
      </c>
      <c r="X118">
        <f t="shared" si="29"/>
        <v>0</v>
      </c>
      <c r="Y118">
        <f t="shared" si="30"/>
        <v>0</v>
      </c>
      <c r="Z118">
        <f t="shared" si="21"/>
        <v>8</v>
      </c>
      <c r="AA118">
        <f t="shared" si="22"/>
        <v>0</v>
      </c>
      <c r="AB118">
        <f t="shared" si="23"/>
        <v>2.8571428571428572</v>
      </c>
      <c r="AC118">
        <f t="shared" si="24"/>
        <v>0</v>
      </c>
      <c r="AD118" s="1">
        <f t="shared" si="25"/>
        <v>0</v>
      </c>
      <c r="AE118">
        <f t="shared" si="26"/>
        <v>0</v>
      </c>
      <c r="AF118">
        <f t="shared" si="27"/>
        <v>0</v>
      </c>
      <c r="AG118">
        <f t="shared" si="28"/>
        <v>0</v>
      </c>
    </row>
    <row r="119" spans="1:33" x14ac:dyDescent="0.25">
      <c r="A119" t="s">
        <v>243</v>
      </c>
      <c r="B119" t="s">
        <v>244</v>
      </c>
      <c r="C119">
        <v>166917</v>
      </c>
      <c r="D119">
        <v>166917</v>
      </c>
      <c r="E119">
        <v>30</v>
      </c>
      <c r="F119">
        <v>40</v>
      </c>
      <c r="G119">
        <v>60</v>
      </c>
      <c r="O119">
        <v>130</v>
      </c>
      <c r="S119">
        <f t="shared" si="17"/>
        <v>8.125</v>
      </c>
      <c r="T119">
        <f t="shared" si="18"/>
        <v>0</v>
      </c>
      <c r="U119">
        <f t="shared" si="16"/>
        <v>1</v>
      </c>
      <c r="V119">
        <f t="shared" si="19"/>
        <v>1</v>
      </c>
      <c r="W119">
        <f t="shared" si="20"/>
        <v>0</v>
      </c>
      <c r="X119">
        <f t="shared" si="29"/>
        <v>1</v>
      </c>
      <c r="Y119">
        <f t="shared" si="30"/>
        <v>0</v>
      </c>
      <c r="Z119">
        <f t="shared" si="21"/>
        <v>6</v>
      </c>
      <c r="AA119">
        <f t="shared" si="22"/>
        <v>10</v>
      </c>
      <c r="AB119">
        <f t="shared" si="23"/>
        <v>8.5714285714285712</v>
      </c>
      <c r="AC119">
        <f t="shared" si="24"/>
        <v>0</v>
      </c>
      <c r="AD119" s="1">
        <f t="shared" si="25"/>
        <v>0</v>
      </c>
      <c r="AE119">
        <f t="shared" si="26"/>
        <v>0</v>
      </c>
      <c r="AF119">
        <f t="shared" si="27"/>
        <v>0</v>
      </c>
      <c r="AG119">
        <f t="shared" si="28"/>
        <v>0</v>
      </c>
    </row>
    <row r="120" spans="1:33" x14ac:dyDescent="0.25">
      <c r="A120" t="s">
        <v>245</v>
      </c>
      <c r="B120" t="s">
        <v>246</v>
      </c>
      <c r="C120">
        <v>166465</v>
      </c>
      <c r="D120">
        <v>166465</v>
      </c>
      <c r="S120">
        <f t="shared" si="17"/>
        <v>0</v>
      </c>
      <c r="T120">
        <f t="shared" si="18"/>
        <v>0</v>
      </c>
      <c r="U120">
        <f t="shared" si="16"/>
        <v>0</v>
      </c>
      <c r="V120">
        <f t="shared" si="19"/>
        <v>0</v>
      </c>
      <c r="W120">
        <f t="shared" si="20"/>
        <v>0</v>
      </c>
      <c r="X120">
        <f t="shared" si="29"/>
        <v>0</v>
      </c>
      <c r="Y120">
        <f t="shared" si="30"/>
        <v>0</v>
      </c>
      <c r="Z120">
        <f t="shared" si="21"/>
        <v>0</v>
      </c>
      <c r="AA120">
        <f t="shared" si="22"/>
        <v>0</v>
      </c>
      <c r="AB120">
        <f t="shared" si="23"/>
        <v>0</v>
      </c>
      <c r="AC120">
        <f t="shared" si="24"/>
        <v>0</v>
      </c>
      <c r="AD120" s="1">
        <f t="shared" si="25"/>
        <v>0</v>
      </c>
      <c r="AE120">
        <f t="shared" si="26"/>
        <v>0</v>
      </c>
      <c r="AF120">
        <f t="shared" si="27"/>
        <v>0</v>
      </c>
      <c r="AG120">
        <f t="shared" si="28"/>
        <v>0</v>
      </c>
    </row>
    <row r="121" spans="1:33" x14ac:dyDescent="0.25">
      <c r="A121" t="s">
        <v>247</v>
      </c>
      <c r="B121" t="s">
        <v>248</v>
      </c>
      <c r="C121">
        <v>166773</v>
      </c>
      <c r="D121">
        <v>166773</v>
      </c>
      <c r="E121">
        <v>20</v>
      </c>
      <c r="F121">
        <v>40</v>
      </c>
      <c r="G121">
        <v>30</v>
      </c>
      <c r="O121">
        <v>90</v>
      </c>
      <c r="S121">
        <f t="shared" si="17"/>
        <v>5.625</v>
      </c>
      <c r="T121">
        <f t="shared" si="18"/>
        <v>0</v>
      </c>
      <c r="U121">
        <f t="shared" si="16"/>
        <v>1</v>
      </c>
      <c r="V121">
        <f t="shared" si="19"/>
        <v>1</v>
      </c>
      <c r="W121">
        <f t="shared" si="20"/>
        <v>0</v>
      </c>
      <c r="X121">
        <f t="shared" si="29"/>
        <v>0</v>
      </c>
      <c r="Y121">
        <f t="shared" si="30"/>
        <v>0</v>
      </c>
      <c r="Z121">
        <f t="shared" si="21"/>
        <v>4</v>
      </c>
      <c r="AA121">
        <f t="shared" si="22"/>
        <v>10</v>
      </c>
      <c r="AB121">
        <f t="shared" si="23"/>
        <v>4.2857142857142856</v>
      </c>
      <c r="AC121">
        <f t="shared" si="24"/>
        <v>0</v>
      </c>
      <c r="AD121" s="1">
        <f t="shared" si="25"/>
        <v>0</v>
      </c>
      <c r="AE121">
        <f t="shared" si="26"/>
        <v>0</v>
      </c>
      <c r="AF121">
        <f t="shared" si="27"/>
        <v>0</v>
      </c>
      <c r="AG121">
        <f t="shared" si="28"/>
        <v>0</v>
      </c>
    </row>
    <row r="122" spans="1:33" x14ac:dyDescent="0.25">
      <c r="A122" t="s">
        <v>249</v>
      </c>
      <c r="B122" t="s">
        <v>250</v>
      </c>
      <c r="C122">
        <v>166424</v>
      </c>
      <c r="D122">
        <v>166424</v>
      </c>
      <c r="E122">
        <v>30</v>
      </c>
      <c r="F122">
        <v>20</v>
      </c>
      <c r="G122">
        <v>30</v>
      </c>
      <c r="O122">
        <v>80</v>
      </c>
      <c r="S122">
        <f t="shared" si="17"/>
        <v>5</v>
      </c>
      <c r="T122">
        <f t="shared" si="18"/>
        <v>0</v>
      </c>
      <c r="U122">
        <f t="shared" si="16"/>
        <v>1</v>
      </c>
      <c r="V122">
        <f t="shared" si="19"/>
        <v>1</v>
      </c>
      <c r="W122">
        <f t="shared" si="20"/>
        <v>0</v>
      </c>
      <c r="X122">
        <f t="shared" si="29"/>
        <v>0</v>
      </c>
      <c r="Y122">
        <f t="shared" si="30"/>
        <v>0</v>
      </c>
      <c r="Z122">
        <f t="shared" si="21"/>
        <v>6</v>
      </c>
      <c r="AA122">
        <f t="shared" si="22"/>
        <v>5</v>
      </c>
      <c r="AB122">
        <f t="shared" si="23"/>
        <v>4.2857142857142856</v>
      </c>
      <c r="AC122">
        <f t="shared" si="24"/>
        <v>0</v>
      </c>
      <c r="AD122" s="1">
        <f t="shared" si="25"/>
        <v>0</v>
      </c>
      <c r="AE122">
        <f t="shared" si="26"/>
        <v>0</v>
      </c>
      <c r="AF122">
        <f t="shared" si="27"/>
        <v>0</v>
      </c>
      <c r="AG122">
        <f t="shared" si="28"/>
        <v>0</v>
      </c>
    </row>
    <row r="123" spans="1:33" x14ac:dyDescent="0.25">
      <c r="A123" t="s">
        <v>251</v>
      </c>
      <c r="B123" t="s">
        <v>203</v>
      </c>
      <c r="C123">
        <v>161738</v>
      </c>
      <c r="D123">
        <v>161738</v>
      </c>
      <c r="S123">
        <f t="shared" si="17"/>
        <v>0</v>
      </c>
      <c r="T123">
        <f t="shared" si="18"/>
        <v>0</v>
      </c>
      <c r="U123">
        <f t="shared" si="16"/>
        <v>0</v>
      </c>
      <c r="V123">
        <f t="shared" si="19"/>
        <v>0</v>
      </c>
      <c r="W123">
        <f t="shared" si="20"/>
        <v>0</v>
      </c>
      <c r="X123">
        <f t="shared" si="29"/>
        <v>0</v>
      </c>
      <c r="Y123">
        <f t="shared" si="30"/>
        <v>0</v>
      </c>
      <c r="Z123">
        <f t="shared" si="21"/>
        <v>0</v>
      </c>
      <c r="AA123">
        <f t="shared" si="22"/>
        <v>0</v>
      </c>
      <c r="AB123">
        <f t="shared" si="23"/>
        <v>0</v>
      </c>
      <c r="AC123">
        <f t="shared" si="24"/>
        <v>0</v>
      </c>
      <c r="AD123" s="1">
        <f t="shared" si="25"/>
        <v>0</v>
      </c>
      <c r="AE123">
        <f t="shared" si="26"/>
        <v>0</v>
      </c>
      <c r="AF123">
        <f t="shared" si="27"/>
        <v>0</v>
      </c>
      <c r="AG123">
        <f t="shared" si="28"/>
        <v>0</v>
      </c>
    </row>
    <row r="124" spans="1:33" x14ac:dyDescent="0.25">
      <c r="A124" t="s">
        <v>252</v>
      </c>
      <c r="B124" t="s">
        <v>253</v>
      </c>
      <c r="C124">
        <v>167029</v>
      </c>
      <c r="D124">
        <v>167029</v>
      </c>
      <c r="H124">
        <v>20</v>
      </c>
      <c r="I124">
        <v>30</v>
      </c>
      <c r="J124">
        <v>20</v>
      </c>
      <c r="M124">
        <v>70</v>
      </c>
      <c r="S124">
        <f t="shared" si="17"/>
        <v>0</v>
      </c>
      <c r="T124">
        <f t="shared" si="18"/>
        <v>5.833333333333333</v>
      </c>
      <c r="U124">
        <f t="shared" si="16"/>
        <v>1</v>
      </c>
      <c r="V124">
        <f t="shared" si="19"/>
        <v>0</v>
      </c>
      <c r="W124">
        <f t="shared" si="20"/>
        <v>1</v>
      </c>
      <c r="X124">
        <f t="shared" si="29"/>
        <v>0</v>
      </c>
      <c r="Y124">
        <f t="shared" si="30"/>
        <v>0</v>
      </c>
      <c r="Z124">
        <f t="shared" si="21"/>
        <v>0</v>
      </c>
      <c r="AA124">
        <f t="shared" si="22"/>
        <v>0</v>
      </c>
      <c r="AB124">
        <f t="shared" si="23"/>
        <v>0</v>
      </c>
      <c r="AC124">
        <f t="shared" si="24"/>
        <v>10</v>
      </c>
      <c r="AD124" s="1">
        <f t="shared" si="25"/>
        <v>5</v>
      </c>
      <c r="AE124">
        <f t="shared" si="26"/>
        <v>10</v>
      </c>
      <c r="AF124">
        <f t="shared" si="27"/>
        <v>0</v>
      </c>
      <c r="AG124">
        <f t="shared" si="28"/>
        <v>0</v>
      </c>
    </row>
    <row r="125" spans="1:33" x14ac:dyDescent="0.25">
      <c r="A125" t="s">
        <v>254</v>
      </c>
      <c r="B125" t="s">
        <v>218</v>
      </c>
      <c r="C125">
        <v>166096</v>
      </c>
      <c r="D125">
        <v>166096</v>
      </c>
      <c r="E125">
        <v>20</v>
      </c>
      <c r="F125">
        <v>10</v>
      </c>
      <c r="G125">
        <v>30</v>
      </c>
      <c r="O125">
        <v>60</v>
      </c>
      <c r="S125">
        <f t="shared" si="17"/>
        <v>3.75</v>
      </c>
      <c r="T125">
        <f t="shared" si="18"/>
        <v>0</v>
      </c>
      <c r="U125">
        <f t="shared" si="16"/>
        <v>1</v>
      </c>
      <c r="V125">
        <f t="shared" si="19"/>
        <v>1</v>
      </c>
      <c r="W125">
        <f t="shared" si="20"/>
        <v>0</v>
      </c>
      <c r="X125">
        <f t="shared" si="29"/>
        <v>0</v>
      </c>
      <c r="Y125">
        <f t="shared" si="30"/>
        <v>0</v>
      </c>
      <c r="Z125">
        <f t="shared" si="21"/>
        <v>4</v>
      </c>
      <c r="AA125">
        <f t="shared" si="22"/>
        <v>2.5</v>
      </c>
      <c r="AB125">
        <f t="shared" si="23"/>
        <v>4.2857142857142856</v>
      </c>
      <c r="AC125">
        <f t="shared" si="24"/>
        <v>0</v>
      </c>
      <c r="AD125" s="1">
        <f t="shared" si="25"/>
        <v>0</v>
      </c>
      <c r="AE125">
        <f t="shared" si="26"/>
        <v>0</v>
      </c>
      <c r="AF125">
        <f t="shared" si="27"/>
        <v>0</v>
      </c>
      <c r="AG125">
        <f t="shared" si="28"/>
        <v>0</v>
      </c>
    </row>
    <row r="126" spans="1:33" x14ac:dyDescent="0.25">
      <c r="A126" t="s">
        <v>255</v>
      </c>
      <c r="B126" t="s">
        <v>197</v>
      </c>
      <c r="C126">
        <v>167239</v>
      </c>
      <c r="D126">
        <v>167239</v>
      </c>
      <c r="E126">
        <v>40</v>
      </c>
      <c r="F126">
        <v>20</v>
      </c>
      <c r="G126">
        <v>50</v>
      </c>
      <c r="O126">
        <v>110</v>
      </c>
      <c r="S126">
        <f t="shared" si="17"/>
        <v>6.875</v>
      </c>
      <c r="T126">
        <f t="shared" si="18"/>
        <v>0</v>
      </c>
      <c r="U126">
        <f t="shared" si="16"/>
        <v>1</v>
      </c>
      <c r="V126">
        <f t="shared" si="19"/>
        <v>1</v>
      </c>
      <c r="W126">
        <f t="shared" si="20"/>
        <v>0</v>
      </c>
      <c r="X126">
        <f t="shared" si="29"/>
        <v>1</v>
      </c>
      <c r="Y126">
        <f t="shared" si="30"/>
        <v>0</v>
      </c>
      <c r="Z126">
        <f t="shared" si="21"/>
        <v>8</v>
      </c>
      <c r="AA126">
        <f t="shared" si="22"/>
        <v>5</v>
      </c>
      <c r="AB126">
        <f t="shared" si="23"/>
        <v>7.1428571428571432</v>
      </c>
      <c r="AC126">
        <f t="shared" si="24"/>
        <v>0</v>
      </c>
      <c r="AD126" s="1">
        <f t="shared" si="25"/>
        <v>0</v>
      </c>
      <c r="AE126">
        <f t="shared" si="26"/>
        <v>0</v>
      </c>
      <c r="AF126">
        <f t="shared" si="27"/>
        <v>0</v>
      </c>
      <c r="AG126">
        <f t="shared" si="28"/>
        <v>0</v>
      </c>
    </row>
    <row r="127" spans="1:33" x14ac:dyDescent="0.25">
      <c r="A127" t="s">
        <v>256</v>
      </c>
      <c r="B127" t="s">
        <v>257</v>
      </c>
      <c r="C127">
        <v>167824</v>
      </c>
      <c r="D127">
        <v>167824</v>
      </c>
      <c r="H127">
        <v>10</v>
      </c>
      <c r="I127">
        <v>40</v>
      </c>
      <c r="J127">
        <v>0</v>
      </c>
      <c r="K127">
        <v>10</v>
      </c>
      <c r="L127">
        <v>10</v>
      </c>
      <c r="M127">
        <v>70</v>
      </c>
      <c r="S127">
        <f t="shared" si="17"/>
        <v>0</v>
      </c>
      <c r="T127">
        <f t="shared" si="18"/>
        <v>5.833333333333333</v>
      </c>
      <c r="U127">
        <f t="shared" si="16"/>
        <v>1</v>
      </c>
      <c r="V127">
        <f t="shared" si="19"/>
        <v>0</v>
      </c>
      <c r="W127">
        <f t="shared" si="20"/>
        <v>1</v>
      </c>
      <c r="X127">
        <f t="shared" si="29"/>
        <v>0</v>
      </c>
      <c r="Y127">
        <f t="shared" si="30"/>
        <v>0</v>
      </c>
      <c r="Z127">
        <f t="shared" si="21"/>
        <v>0</v>
      </c>
      <c r="AA127">
        <f t="shared" si="22"/>
        <v>0</v>
      </c>
      <c r="AB127">
        <f t="shared" si="23"/>
        <v>0</v>
      </c>
      <c r="AC127">
        <f t="shared" si="24"/>
        <v>5</v>
      </c>
      <c r="AD127" s="1">
        <f t="shared" si="25"/>
        <v>6.666666666666667</v>
      </c>
      <c r="AE127">
        <f t="shared" si="26"/>
        <v>0</v>
      </c>
      <c r="AF127">
        <f t="shared" si="27"/>
        <v>10</v>
      </c>
      <c r="AG127">
        <f t="shared" si="28"/>
        <v>10</v>
      </c>
    </row>
    <row r="128" spans="1:33" x14ac:dyDescent="0.25">
      <c r="A128" t="s">
        <v>258</v>
      </c>
      <c r="B128" t="s">
        <v>130</v>
      </c>
      <c r="C128">
        <v>167870</v>
      </c>
      <c r="D128">
        <v>167870</v>
      </c>
      <c r="H128">
        <v>0</v>
      </c>
      <c r="I128">
        <v>30</v>
      </c>
      <c r="J128">
        <v>10</v>
      </c>
      <c r="K128">
        <v>10</v>
      </c>
      <c r="L128">
        <v>10</v>
      </c>
      <c r="M128">
        <v>60</v>
      </c>
      <c r="S128">
        <f t="shared" si="17"/>
        <v>0</v>
      </c>
      <c r="T128">
        <f t="shared" si="18"/>
        <v>5</v>
      </c>
      <c r="U128">
        <f t="shared" si="16"/>
        <v>1</v>
      </c>
      <c r="V128">
        <f t="shared" si="19"/>
        <v>0</v>
      </c>
      <c r="W128">
        <f t="shared" si="20"/>
        <v>1</v>
      </c>
      <c r="X128">
        <f t="shared" si="29"/>
        <v>0</v>
      </c>
      <c r="Y128">
        <f t="shared" si="30"/>
        <v>0</v>
      </c>
      <c r="Z128">
        <f t="shared" si="21"/>
        <v>0</v>
      </c>
      <c r="AA128">
        <f t="shared" si="22"/>
        <v>0</v>
      </c>
      <c r="AB128">
        <f t="shared" si="23"/>
        <v>0</v>
      </c>
      <c r="AC128">
        <f t="shared" si="24"/>
        <v>0</v>
      </c>
      <c r="AD128" s="1">
        <f t="shared" si="25"/>
        <v>5</v>
      </c>
      <c r="AE128">
        <f t="shared" si="26"/>
        <v>5</v>
      </c>
      <c r="AF128">
        <f t="shared" si="27"/>
        <v>10</v>
      </c>
      <c r="AG128">
        <f t="shared" si="28"/>
        <v>10</v>
      </c>
    </row>
    <row r="129" spans="1:33" x14ac:dyDescent="0.25">
      <c r="A129" t="s">
        <v>259</v>
      </c>
      <c r="B129" t="s">
        <v>260</v>
      </c>
      <c r="C129">
        <v>167692</v>
      </c>
      <c r="D129">
        <v>167692</v>
      </c>
      <c r="S129">
        <f t="shared" si="17"/>
        <v>0</v>
      </c>
      <c r="T129">
        <f t="shared" si="18"/>
        <v>0</v>
      </c>
      <c r="U129">
        <f t="shared" si="16"/>
        <v>0</v>
      </c>
      <c r="V129">
        <f t="shared" si="19"/>
        <v>0</v>
      </c>
      <c r="W129">
        <f t="shared" si="20"/>
        <v>0</v>
      </c>
      <c r="X129">
        <f t="shared" si="29"/>
        <v>0</v>
      </c>
      <c r="Y129">
        <f t="shared" si="30"/>
        <v>0</v>
      </c>
      <c r="Z129">
        <f t="shared" si="21"/>
        <v>0</v>
      </c>
      <c r="AA129">
        <f t="shared" si="22"/>
        <v>0</v>
      </c>
      <c r="AB129">
        <f t="shared" si="23"/>
        <v>0</v>
      </c>
      <c r="AC129">
        <f t="shared" si="24"/>
        <v>0</v>
      </c>
      <c r="AD129" s="1">
        <f t="shared" si="25"/>
        <v>0</v>
      </c>
      <c r="AE129">
        <f t="shared" si="26"/>
        <v>0</v>
      </c>
      <c r="AF129">
        <f t="shared" si="27"/>
        <v>0</v>
      </c>
      <c r="AG129">
        <f t="shared" si="28"/>
        <v>0</v>
      </c>
    </row>
    <row r="130" spans="1:33" x14ac:dyDescent="0.25">
      <c r="A130" t="s">
        <v>261</v>
      </c>
      <c r="B130" t="s">
        <v>262</v>
      </c>
      <c r="C130">
        <v>166743</v>
      </c>
      <c r="D130">
        <v>166743</v>
      </c>
      <c r="H130">
        <v>0</v>
      </c>
      <c r="I130">
        <v>40</v>
      </c>
      <c r="J130">
        <v>10</v>
      </c>
      <c r="K130">
        <v>0</v>
      </c>
      <c r="L130">
        <v>0</v>
      </c>
      <c r="M130">
        <v>50</v>
      </c>
      <c r="S130">
        <f t="shared" si="17"/>
        <v>0</v>
      </c>
      <c r="T130">
        <f t="shared" si="18"/>
        <v>4.166666666666667</v>
      </c>
      <c r="U130">
        <f t="shared" ref="U130:U193" si="31">IF(AND(E130="",F130="",G130="",H130="",I130="",J130="",K130="",L130="",M130=""),0,1)</f>
        <v>1</v>
      </c>
      <c r="V130">
        <f t="shared" si="19"/>
        <v>0</v>
      </c>
      <c r="W130">
        <f t="shared" si="20"/>
        <v>1</v>
      </c>
      <c r="X130">
        <f t="shared" si="29"/>
        <v>0</v>
      </c>
      <c r="Y130">
        <f t="shared" si="30"/>
        <v>0</v>
      </c>
      <c r="Z130">
        <f t="shared" si="21"/>
        <v>0</v>
      </c>
      <c r="AA130">
        <f t="shared" si="22"/>
        <v>0</v>
      </c>
      <c r="AB130">
        <f t="shared" si="23"/>
        <v>0</v>
      </c>
      <c r="AC130">
        <f t="shared" si="24"/>
        <v>0</v>
      </c>
      <c r="AD130" s="1">
        <f t="shared" si="25"/>
        <v>6.666666666666667</v>
      </c>
      <c r="AE130">
        <f t="shared" si="26"/>
        <v>5</v>
      </c>
      <c r="AF130">
        <f t="shared" si="27"/>
        <v>0</v>
      </c>
      <c r="AG130">
        <f t="shared" si="28"/>
        <v>0</v>
      </c>
    </row>
    <row r="131" spans="1:33" x14ac:dyDescent="0.25">
      <c r="A131" t="s">
        <v>263</v>
      </c>
      <c r="B131" t="s">
        <v>264</v>
      </c>
      <c r="C131">
        <v>166008</v>
      </c>
      <c r="D131">
        <v>166008</v>
      </c>
      <c r="H131">
        <v>20</v>
      </c>
      <c r="I131">
        <v>30</v>
      </c>
      <c r="J131">
        <v>10</v>
      </c>
      <c r="K131">
        <v>10</v>
      </c>
      <c r="L131">
        <v>0</v>
      </c>
      <c r="M131">
        <v>70</v>
      </c>
      <c r="S131">
        <f t="shared" ref="S131:S194" si="32">O131/16</f>
        <v>0</v>
      </c>
      <c r="T131">
        <f t="shared" ref="T131:T194" si="33">M131/12</f>
        <v>5.833333333333333</v>
      </c>
      <c r="U131">
        <f t="shared" si="31"/>
        <v>1</v>
      </c>
      <c r="V131">
        <f t="shared" ref="V131:V194" si="34">IF(O131="",0,1)</f>
        <v>0</v>
      </c>
      <c r="W131">
        <f t="shared" ref="W131:W194" si="35">IF(M131="",0,1)</f>
        <v>1</v>
      </c>
      <c r="X131">
        <f t="shared" si="29"/>
        <v>0</v>
      </c>
      <c r="Y131">
        <f t="shared" si="30"/>
        <v>0</v>
      </c>
      <c r="Z131">
        <f t="shared" ref="Z131:Z194" si="36">E131/5</f>
        <v>0</v>
      </c>
      <c r="AA131">
        <f t="shared" ref="AA131:AA194" si="37">F131/4</f>
        <v>0</v>
      </c>
      <c r="AB131">
        <f t="shared" ref="AB131:AB194" si="38">G131/7</f>
        <v>0</v>
      </c>
      <c r="AC131">
        <f t="shared" ref="AC131:AC194" si="39">H131/2</f>
        <v>10</v>
      </c>
      <c r="AD131" s="1">
        <f t="shared" ref="AD131:AD194" si="40">I131/6</f>
        <v>5</v>
      </c>
      <c r="AE131">
        <f t="shared" ref="AE131:AE194" si="41">J131/2</f>
        <v>5</v>
      </c>
      <c r="AF131">
        <f t="shared" ref="AF131:AF194" si="42">K131</f>
        <v>10</v>
      </c>
      <c r="AG131">
        <f t="shared" ref="AG131:AG194" si="43">L131</f>
        <v>0</v>
      </c>
    </row>
    <row r="132" spans="1:33" x14ac:dyDescent="0.25">
      <c r="A132" t="s">
        <v>265</v>
      </c>
      <c r="B132" t="s">
        <v>266</v>
      </c>
      <c r="C132">
        <v>167851</v>
      </c>
      <c r="D132">
        <v>167851</v>
      </c>
      <c r="E132">
        <v>10</v>
      </c>
      <c r="F132">
        <v>0</v>
      </c>
      <c r="G132">
        <v>30</v>
      </c>
      <c r="O132">
        <v>40</v>
      </c>
      <c r="S132">
        <f t="shared" si="32"/>
        <v>2.5</v>
      </c>
      <c r="T132">
        <f t="shared" si="33"/>
        <v>0</v>
      </c>
      <c r="U132">
        <f t="shared" si="31"/>
        <v>1</v>
      </c>
      <c r="V132">
        <f t="shared" si="34"/>
        <v>1</v>
      </c>
      <c r="W132">
        <f t="shared" si="35"/>
        <v>0</v>
      </c>
      <c r="X132">
        <f t="shared" si="29"/>
        <v>0</v>
      </c>
      <c r="Y132">
        <f t="shared" si="30"/>
        <v>0</v>
      </c>
      <c r="Z132">
        <f t="shared" si="36"/>
        <v>2</v>
      </c>
      <c r="AA132">
        <f t="shared" si="37"/>
        <v>0</v>
      </c>
      <c r="AB132">
        <f t="shared" si="38"/>
        <v>4.2857142857142856</v>
      </c>
      <c r="AC132">
        <f t="shared" si="39"/>
        <v>0</v>
      </c>
      <c r="AD132" s="1">
        <f t="shared" si="40"/>
        <v>0</v>
      </c>
      <c r="AE132">
        <f t="shared" si="41"/>
        <v>0</v>
      </c>
      <c r="AF132">
        <f t="shared" si="42"/>
        <v>0</v>
      </c>
      <c r="AG132">
        <f t="shared" si="43"/>
        <v>0</v>
      </c>
    </row>
    <row r="133" spans="1:33" x14ac:dyDescent="0.25">
      <c r="A133" t="s">
        <v>267</v>
      </c>
      <c r="B133" t="s">
        <v>268</v>
      </c>
      <c r="C133">
        <v>167562</v>
      </c>
      <c r="D133">
        <v>167562</v>
      </c>
      <c r="S133">
        <f t="shared" si="32"/>
        <v>0</v>
      </c>
      <c r="T133">
        <f t="shared" si="33"/>
        <v>0</v>
      </c>
      <c r="U133">
        <f t="shared" si="31"/>
        <v>0</v>
      </c>
      <c r="V133">
        <f t="shared" si="34"/>
        <v>0</v>
      </c>
      <c r="W133">
        <f t="shared" si="35"/>
        <v>0</v>
      </c>
      <c r="X133">
        <f t="shared" ref="X133:X196" si="44">IF(AND(V133=1,S133&gt;6),1,0)</f>
        <v>0</v>
      </c>
      <c r="Y133">
        <f t="shared" ref="Y133:Y196" si="45">IF(AND(W133=1,T133&gt;6),1,0)</f>
        <v>0</v>
      </c>
      <c r="Z133">
        <f t="shared" si="36"/>
        <v>0</v>
      </c>
      <c r="AA133">
        <f t="shared" si="37"/>
        <v>0</v>
      </c>
      <c r="AB133">
        <f t="shared" si="38"/>
        <v>0</v>
      </c>
      <c r="AC133">
        <f t="shared" si="39"/>
        <v>0</v>
      </c>
      <c r="AD133" s="1">
        <f t="shared" si="40"/>
        <v>0</v>
      </c>
      <c r="AE133">
        <f t="shared" si="41"/>
        <v>0</v>
      </c>
      <c r="AF133">
        <f t="shared" si="42"/>
        <v>0</v>
      </c>
      <c r="AG133">
        <f t="shared" si="43"/>
        <v>0</v>
      </c>
    </row>
    <row r="134" spans="1:33" x14ac:dyDescent="0.25">
      <c r="A134" t="s">
        <v>269</v>
      </c>
      <c r="B134" t="s">
        <v>270</v>
      </c>
      <c r="C134">
        <v>165468</v>
      </c>
      <c r="D134">
        <v>165468</v>
      </c>
      <c r="H134">
        <v>20</v>
      </c>
      <c r="I134">
        <v>40</v>
      </c>
      <c r="J134">
        <v>20</v>
      </c>
      <c r="K134">
        <v>10</v>
      </c>
      <c r="L134">
        <v>0</v>
      </c>
      <c r="M134">
        <v>90</v>
      </c>
      <c r="S134">
        <f t="shared" si="32"/>
        <v>0</v>
      </c>
      <c r="T134">
        <f t="shared" si="33"/>
        <v>7.5</v>
      </c>
      <c r="U134">
        <f t="shared" si="31"/>
        <v>1</v>
      </c>
      <c r="V134">
        <f t="shared" si="34"/>
        <v>0</v>
      </c>
      <c r="W134">
        <f t="shared" si="35"/>
        <v>1</v>
      </c>
      <c r="X134">
        <f t="shared" si="44"/>
        <v>0</v>
      </c>
      <c r="Y134">
        <f t="shared" si="45"/>
        <v>1</v>
      </c>
      <c r="Z134">
        <f t="shared" si="36"/>
        <v>0</v>
      </c>
      <c r="AA134">
        <f t="shared" si="37"/>
        <v>0</v>
      </c>
      <c r="AB134">
        <f t="shared" si="38"/>
        <v>0</v>
      </c>
      <c r="AC134">
        <f t="shared" si="39"/>
        <v>10</v>
      </c>
      <c r="AD134" s="1">
        <f t="shared" si="40"/>
        <v>6.666666666666667</v>
      </c>
      <c r="AE134">
        <f t="shared" si="41"/>
        <v>10</v>
      </c>
      <c r="AF134">
        <f t="shared" si="42"/>
        <v>10</v>
      </c>
      <c r="AG134">
        <f t="shared" si="43"/>
        <v>0</v>
      </c>
    </row>
    <row r="135" spans="1:33" x14ac:dyDescent="0.25">
      <c r="A135" t="s">
        <v>271</v>
      </c>
      <c r="B135" t="s">
        <v>272</v>
      </c>
      <c r="C135">
        <v>167494</v>
      </c>
      <c r="D135">
        <v>167494</v>
      </c>
      <c r="H135">
        <v>20</v>
      </c>
      <c r="I135">
        <v>40</v>
      </c>
      <c r="J135">
        <v>0</v>
      </c>
      <c r="K135">
        <v>0</v>
      </c>
      <c r="L135">
        <v>0</v>
      </c>
      <c r="M135">
        <v>60</v>
      </c>
      <c r="S135">
        <f t="shared" si="32"/>
        <v>0</v>
      </c>
      <c r="T135">
        <f t="shared" si="33"/>
        <v>5</v>
      </c>
      <c r="U135">
        <f t="shared" si="31"/>
        <v>1</v>
      </c>
      <c r="V135">
        <f t="shared" si="34"/>
        <v>0</v>
      </c>
      <c r="W135">
        <f t="shared" si="35"/>
        <v>1</v>
      </c>
      <c r="X135">
        <f t="shared" si="44"/>
        <v>0</v>
      </c>
      <c r="Y135">
        <f t="shared" si="45"/>
        <v>0</v>
      </c>
      <c r="Z135">
        <f t="shared" si="36"/>
        <v>0</v>
      </c>
      <c r="AA135">
        <f t="shared" si="37"/>
        <v>0</v>
      </c>
      <c r="AB135">
        <f t="shared" si="38"/>
        <v>0</v>
      </c>
      <c r="AC135">
        <f t="shared" si="39"/>
        <v>10</v>
      </c>
      <c r="AD135" s="1">
        <f t="shared" si="40"/>
        <v>6.666666666666667</v>
      </c>
      <c r="AE135">
        <f t="shared" si="41"/>
        <v>0</v>
      </c>
      <c r="AF135">
        <f t="shared" si="42"/>
        <v>0</v>
      </c>
      <c r="AG135">
        <f t="shared" si="43"/>
        <v>0</v>
      </c>
    </row>
    <row r="136" spans="1:33" x14ac:dyDescent="0.25">
      <c r="A136" t="s">
        <v>273</v>
      </c>
      <c r="B136" t="s">
        <v>274</v>
      </c>
      <c r="C136">
        <v>163245</v>
      </c>
      <c r="D136">
        <v>163245</v>
      </c>
      <c r="S136">
        <f t="shared" si="32"/>
        <v>0</v>
      </c>
      <c r="T136">
        <f t="shared" si="33"/>
        <v>0</v>
      </c>
      <c r="U136">
        <f t="shared" si="31"/>
        <v>0</v>
      </c>
      <c r="V136">
        <f t="shared" si="34"/>
        <v>0</v>
      </c>
      <c r="W136">
        <f t="shared" si="35"/>
        <v>0</v>
      </c>
      <c r="X136">
        <f t="shared" si="44"/>
        <v>0</v>
      </c>
      <c r="Y136">
        <f t="shared" si="45"/>
        <v>0</v>
      </c>
      <c r="Z136">
        <f t="shared" si="36"/>
        <v>0</v>
      </c>
      <c r="AA136">
        <f t="shared" si="37"/>
        <v>0</v>
      </c>
      <c r="AB136">
        <f t="shared" si="38"/>
        <v>0</v>
      </c>
      <c r="AC136">
        <f t="shared" si="39"/>
        <v>0</v>
      </c>
      <c r="AD136" s="1">
        <f t="shared" si="40"/>
        <v>0</v>
      </c>
      <c r="AE136">
        <f t="shared" si="41"/>
        <v>0</v>
      </c>
      <c r="AF136">
        <f t="shared" si="42"/>
        <v>0</v>
      </c>
      <c r="AG136">
        <f t="shared" si="43"/>
        <v>0</v>
      </c>
    </row>
    <row r="137" spans="1:33" x14ac:dyDescent="0.25">
      <c r="A137" t="s">
        <v>275</v>
      </c>
      <c r="B137" t="s">
        <v>276</v>
      </c>
      <c r="C137">
        <v>166843</v>
      </c>
      <c r="D137">
        <v>166843</v>
      </c>
      <c r="S137">
        <f t="shared" si="32"/>
        <v>0</v>
      </c>
      <c r="T137">
        <f t="shared" si="33"/>
        <v>0</v>
      </c>
      <c r="U137">
        <f t="shared" si="31"/>
        <v>0</v>
      </c>
      <c r="V137">
        <f t="shared" si="34"/>
        <v>0</v>
      </c>
      <c r="W137">
        <f t="shared" si="35"/>
        <v>0</v>
      </c>
      <c r="X137">
        <f t="shared" si="44"/>
        <v>0</v>
      </c>
      <c r="Y137">
        <f t="shared" si="45"/>
        <v>0</v>
      </c>
      <c r="Z137">
        <f t="shared" si="36"/>
        <v>0</v>
      </c>
      <c r="AA137">
        <f t="shared" si="37"/>
        <v>0</v>
      </c>
      <c r="AB137">
        <f t="shared" si="38"/>
        <v>0</v>
      </c>
      <c r="AC137">
        <f t="shared" si="39"/>
        <v>0</v>
      </c>
      <c r="AD137" s="1">
        <f t="shared" si="40"/>
        <v>0</v>
      </c>
      <c r="AE137">
        <f t="shared" si="41"/>
        <v>0</v>
      </c>
      <c r="AF137">
        <f t="shared" si="42"/>
        <v>0</v>
      </c>
      <c r="AG137">
        <f t="shared" si="43"/>
        <v>0</v>
      </c>
    </row>
    <row r="138" spans="1:33" x14ac:dyDescent="0.25">
      <c r="A138" t="s">
        <v>277</v>
      </c>
      <c r="B138" t="s">
        <v>278</v>
      </c>
      <c r="C138">
        <v>167681</v>
      </c>
      <c r="D138">
        <v>167681</v>
      </c>
      <c r="H138">
        <v>0</v>
      </c>
      <c r="I138">
        <v>20</v>
      </c>
      <c r="J138">
        <v>10</v>
      </c>
      <c r="K138">
        <v>10</v>
      </c>
      <c r="L138">
        <v>0</v>
      </c>
      <c r="M138">
        <v>40</v>
      </c>
      <c r="S138">
        <f t="shared" si="32"/>
        <v>0</v>
      </c>
      <c r="T138">
        <f t="shared" si="33"/>
        <v>3.3333333333333335</v>
      </c>
      <c r="U138">
        <f t="shared" si="31"/>
        <v>1</v>
      </c>
      <c r="V138">
        <f t="shared" si="34"/>
        <v>0</v>
      </c>
      <c r="W138">
        <f t="shared" si="35"/>
        <v>1</v>
      </c>
      <c r="X138">
        <f t="shared" si="44"/>
        <v>0</v>
      </c>
      <c r="Y138">
        <f t="shared" si="45"/>
        <v>0</v>
      </c>
      <c r="Z138">
        <f t="shared" si="36"/>
        <v>0</v>
      </c>
      <c r="AA138">
        <f t="shared" si="37"/>
        <v>0</v>
      </c>
      <c r="AB138">
        <f t="shared" si="38"/>
        <v>0</v>
      </c>
      <c r="AC138">
        <f t="shared" si="39"/>
        <v>0</v>
      </c>
      <c r="AD138" s="1">
        <f t="shared" si="40"/>
        <v>3.3333333333333335</v>
      </c>
      <c r="AE138">
        <f t="shared" si="41"/>
        <v>5</v>
      </c>
      <c r="AF138">
        <f t="shared" si="42"/>
        <v>10</v>
      </c>
      <c r="AG138">
        <f t="shared" si="43"/>
        <v>0</v>
      </c>
    </row>
    <row r="139" spans="1:33" x14ac:dyDescent="0.25">
      <c r="A139" t="s">
        <v>279</v>
      </c>
      <c r="B139" t="s">
        <v>138</v>
      </c>
      <c r="C139">
        <v>167353</v>
      </c>
      <c r="D139">
        <v>167353</v>
      </c>
      <c r="H139">
        <v>20</v>
      </c>
      <c r="I139">
        <v>60</v>
      </c>
      <c r="J139">
        <v>10</v>
      </c>
      <c r="K139">
        <v>10</v>
      </c>
      <c r="L139">
        <v>10</v>
      </c>
      <c r="M139">
        <v>110</v>
      </c>
      <c r="S139">
        <f t="shared" si="32"/>
        <v>0</v>
      </c>
      <c r="T139">
        <f t="shared" si="33"/>
        <v>9.1666666666666661</v>
      </c>
      <c r="U139">
        <f t="shared" si="31"/>
        <v>1</v>
      </c>
      <c r="V139">
        <f t="shared" si="34"/>
        <v>0</v>
      </c>
      <c r="W139">
        <f t="shared" si="35"/>
        <v>1</v>
      </c>
      <c r="X139">
        <f t="shared" si="44"/>
        <v>0</v>
      </c>
      <c r="Y139">
        <f t="shared" si="45"/>
        <v>1</v>
      </c>
      <c r="Z139">
        <f t="shared" si="36"/>
        <v>0</v>
      </c>
      <c r="AA139">
        <f t="shared" si="37"/>
        <v>0</v>
      </c>
      <c r="AB139">
        <f t="shared" si="38"/>
        <v>0</v>
      </c>
      <c r="AC139">
        <f t="shared" si="39"/>
        <v>10</v>
      </c>
      <c r="AD139" s="1">
        <f t="shared" si="40"/>
        <v>10</v>
      </c>
      <c r="AE139">
        <f t="shared" si="41"/>
        <v>5</v>
      </c>
      <c r="AF139">
        <f t="shared" si="42"/>
        <v>10</v>
      </c>
      <c r="AG139">
        <f t="shared" si="43"/>
        <v>10</v>
      </c>
    </row>
    <row r="140" spans="1:33" x14ac:dyDescent="0.25">
      <c r="A140" t="s">
        <v>280</v>
      </c>
      <c r="B140" t="s">
        <v>126</v>
      </c>
      <c r="C140">
        <v>165237</v>
      </c>
      <c r="D140">
        <v>165237</v>
      </c>
      <c r="S140">
        <f t="shared" si="32"/>
        <v>0</v>
      </c>
      <c r="T140">
        <f t="shared" si="33"/>
        <v>0</v>
      </c>
      <c r="U140">
        <f t="shared" si="31"/>
        <v>0</v>
      </c>
      <c r="V140">
        <f t="shared" si="34"/>
        <v>0</v>
      </c>
      <c r="W140">
        <f t="shared" si="35"/>
        <v>0</v>
      </c>
      <c r="X140">
        <f t="shared" si="44"/>
        <v>0</v>
      </c>
      <c r="Y140">
        <f t="shared" si="45"/>
        <v>0</v>
      </c>
      <c r="Z140">
        <f t="shared" si="36"/>
        <v>0</v>
      </c>
      <c r="AA140">
        <f t="shared" si="37"/>
        <v>0</v>
      </c>
      <c r="AB140">
        <f t="shared" si="38"/>
        <v>0</v>
      </c>
      <c r="AC140">
        <f t="shared" si="39"/>
        <v>0</v>
      </c>
      <c r="AD140" s="1">
        <f t="shared" si="40"/>
        <v>0</v>
      </c>
      <c r="AE140">
        <f t="shared" si="41"/>
        <v>0</v>
      </c>
      <c r="AF140">
        <f t="shared" si="42"/>
        <v>0</v>
      </c>
      <c r="AG140">
        <f t="shared" si="43"/>
        <v>0</v>
      </c>
    </row>
    <row r="141" spans="1:33" x14ac:dyDescent="0.25">
      <c r="A141" t="s">
        <v>281</v>
      </c>
      <c r="B141" t="s">
        <v>282</v>
      </c>
      <c r="C141">
        <v>167024</v>
      </c>
      <c r="D141">
        <v>167024</v>
      </c>
      <c r="H141">
        <v>10</v>
      </c>
      <c r="I141">
        <v>10</v>
      </c>
      <c r="J141">
        <v>20</v>
      </c>
      <c r="K141">
        <v>10</v>
      </c>
      <c r="L141">
        <v>0</v>
      </c>
      <c r="M141">
        <v>50</v>
      </c>
      <c r="S141">
        <f t="shared" si="32"/>
        <v>0</v>
      </c>
      <c r="T141">
        <f t="shared" si="33"/>
        <v>4.166666666666667</v>
      </c>
      <c r="U141">
        <f t="shared" si="31"/>
        <v>1</v>
      </c>
      <c r="V141">
        <f t="shared" si="34"/>
        <v>0</v>
      </c>
      <c r="W141">
        <f t="shared" si="35"/>
        <v>1</v>
      </c>
      <c r="X141">
        <f t="shared" si="44"/>
        <v>0</v>
      </c>
      <c r="Y141">
        <f t="shared" si="45"/>
        <v>0</v>
      </c>
      <c r="Z141">
        <f t="shared" si="36"/>
        <v>0</v>
      </c>
      <c r="AA141">
        <f t="shared" si="37"/>
        <v>0</v>
      </c>
      <c r="AB141">
        <f t="shared" si="38"/>
        <v>0</v>
      </c>
      <c r="AC141">
        <f t="shared" si="39"/>
        <v>5</v>
      </c>
      <c r="AD141" s="1">
        <f t="shared" si="40"/>
        <v>1.6666666666666667</v>
      </c>
      <c r="AE141">
        <f t="shared" si="41"/>
        <v>10</v>
      </c>
      <c r="AF141">
        <f t="shared" si="42"/>
        <v>10</v>
      </c>
      <c r="AG141">
        <f t="shared" si="43"/>
        <v>0</v>
      </c>
    </row>
    <row r="142" spans="1:33" x14ac:dyDescent="0.25">
      <c r="A142" t="s">
        <v>283</v>
      </c>
      <c r="B142" t="s">
        <v>284</v>
      </c>
      <c r="C142">
        <v>166565</v>
      </c>
      <c r="D142">
        <v>166565</v>
      </c>
      <c r="H142">
        <v>0</v>
      </c>
      <c r="I142">
        <v>40</v>
      </c>
      <c r="J142">
        <v>10</v>
      </c>
      <c r="K142">
        <v>0</v>
      </c>
      <c r="L142">
        <v>10</v>
      </c>
      <c r="M142">
        <v>60</v>
      </c>
      <c r="S142">
        <f t="shared" si="32"/>
        <v>0</v>
      </c>
      <c r="T142">
        <f t="shared" si="33"/>
        <v>5</v>
      </c>
      <c r="U142">
        <f t="shared" si="31"/>
        <v>1</v>
      </c>
      <c r="V142">
        <f t="shared" si="34"/>
        <v>0</v>
      </c>
      <c r="W142">
        <f t="shared" si="35"/>
        <v>1</v>
      </c>
      <c r="X142">
        <f t="shared" si="44"/>
        <v>0</v>
      </c>
      <c r="Y142">
        <f t="shared" si="45"/>
        <v>0</v>
      </c>
      <c r="Z142">
        <f t="shared" si="36"/>
        <v>0</v>
      </c>
      <c r="AA142">
        <f t="shared" si="37"/>
        <v>0</v>
      </c>
      <c r="AB142">
        <f t="shared" si="38"/>
        <v>0</v>
      </c>
      <c r="AC142">
        <f t="shared" si="39"/>
        <v>0</v>
      </c>
      <c r="AD142" s="1">
        <f t="shared" si="40"/>
        <v>6.666666666666667</v>
      </c>
      <c r="AE142">
        <f t="shared" si="41"/>
        <v>5</v>
      </c>
      <c r="AF142">
        <f t="shared" si="42"/>
        <v>0</v>
      </c>
      <c r="AG142">
        <f t="shared" si="43"/>
        <v>10</v>
      </c>
    </row>
    <row r="143" spans="1:33" x14ac:dyDescent="0.25">
      <c r="A143" t="s">
        <v>285</v>
      </c>
      <c r="B143" t="s">
        <v>286</v>
      </c>
      <c r="C143">
        <v>167651</v>
      </c>
      <c r="D143">
        <v>167651</v>
      </c>
      <c r="H143">
        <v>10</v>
      </c>
      <c r="I143">
        <v>30</v>
      </c>
      <c r="J143">
        <v>10</v>
      </c>
      <c r="K143">
        <v>0</v>
      </c>
      <c r="L143">
        <v>0</v>
      </c>
      <c r="M143">
        <v>50</v>
      </c>
      <c r="S143">
        <f t="shared" si="32"/>
        <v>0</v>
      </c>
      <c r="T143">
        <f t="shared" si="33"/>
        <v>4.166666666666667</v>
      </c>
      <c r="U143">
        <f t="shared" si="31"/>
        <v>1</v>
      </c>
      <c r="V143">
        <f t="shared" si="34"/>
        <v>0</v>
      </c>
      <c r="W143">
        <f t="shared" si="35"/>
        <v>1</v>
      </c>
      <c r="X143">
        <f t="shared" si="44"/>
        <v>0</v>
      </c>
      <c r="Y143">
        <f t="shared" si="45"/>
        <v>0</v>
      </c>
      <c r="Z143">
        <f t="shared" si="36"/>
        <v>0</v>
      </c>
      <c r="AA143">
        <f t="shared" si="37"/>
        <v>0</v>
      </c>
      <c r="AB143">
        <f t="shared" si="38"/>
        <v>0</v>
      </c>
      <c r="AC143">
        <f t="shared" si="39"/>
        <v>5</v>
      </c>
      <c r="AD143" s="1">
        <f t="shared" si="40"/>
        <v>5</v>
      </c>
      <c r="AE143">
        <f t="shared" si="41"/>
        <v>5</v>
      </c>
      <c r="AF143">
        <f t="shared" si="42"/>
        <v>0</v>
      </c>
      <c r="AG143">
        <f t="shared" si="43"/>
        <v>0</v>
      </c>
    </row>
    <row r="144" spans="1:33" x14ac:dyDescent="0.25">
      <c r="A144" t="s">
        <v>287</v>
      </c>
      <c r="B144" t="s">
        <v>288</v>
      </c>
      <c r="C144">
        <v>165970</v>
      </c>
      <c r="D144">
        <v>165970</v>
      </c>
      <c r="H144">
        <v>10</v>
      </c>
      <c r="I144">
        <v>60</v>
      </c>
      <c r="J144">
        <v>10</v>
      </c>
      <c r="K144">
        <v>10</v>
      </c>
      <c r="L144">
        <v>0</v>
      </c>
      <c r="M144">
        <v>90</v>
      </c>
      <c r="S144">
        <f t="shared" si="32"/>
        <v>0</v>
      </c>
      <c r="T144">
        <f t="shared" si="33"/>
        <v>7.5</v>
      </c>
      <c r="U144">
        <f t="shared" si="31"/>
        <v>1</v>
      </c>
      <c r="V144">
        <f t="shared" si="34"/>
        <v>0</v>
      </c>
      <c r="W144">
        <f t="shared" si="35"/>
        <v>1</v>
      </c>
      <c r="X144">
        <f t="shared" si="44"/>
        <v>0</v>
      </c>
      <c r="Y144">
        <f t="shared" si="45"/>
        <v>1</v>
      </c>
      <c r="Z144">
        <f t="shared" si="36"/>
        <v>0</v>
      </c>
      <c r="AA144">
        <f t="shared" si="37"/>
        <v>0</v>
      </c>
      <c r="AB144">
        <f t="shared" si="38"/>
        <v>0</v>
      </c>
      <c r="AC144">
        <f t="shared" si="39"/>
        <v>5</v>
      </c>
      <c r="AD144" s="1">
        <f t="shared" si="40"/>
        <v>10</v>
      </c>
      <c r="AE144">
        <f t="shared" si="41"/>
        <v>5</v>
      </c>
      <c r="AF144">
        <f t="shared" si="42"/>
        <v>10</v>
      </c>
      <c r="AG144">
        <f t="shared" si="43"/>
        <v>0</v>
      </c>
    </row>
    <row r="145" spans="1:33" x14ac:dyDescent="0.25">
      <c r="A145" t="s">
        <v>289</v>
      </c>
      <c r="B145" t="s">
        <v>290</v>
      </c>
      <c r="C145">
        <v>167015</v>
      </c>
      <c r="D145">
        <v>167015</v>
      </c>
      <c r="H145">
        <v>10</v>
      </c>
      <c r="I145">
        <v>10</v>
      </c>
      <c r="J145">
        <v>20</v>
      </c>
      <c r="K145">
        <v>0</v>
      </c>
      <c r="L145">
        <v>10</v>
      </c>
      <c r="M145">
        <v>50</v>
      </c>
      <c r="N145" t="s">
        <v>20</v>
      </c>
      <c r="S145">
        <f t="shared" si="32"/>
        <v>0</v>
      </c>
      <c r="T145">
        <f t="shared" si="33"/>
        <v>4.166666666666667</v>
      </c>
      <c r="U145">
        <f t="shared" si="31"/>
        <v>1</v>
      </c>
      <c r="V145">
        <f t="shared" si="34"/>
        <v>0</v>
      </c>
      <c r="W145">
        <f t="shared" si="35"/>
        <v>1</v>
      </c>
      <c r="X145">
        <f t="shared" si="44"/>
        <v>0</v>
      </c>
      <c r="Y145">
        <f t="shared" si="45"/>
        <v>0</v>
      </c>
      <c r="Z145">
        <f t="shared" si="36"/>
        <v>0</v>
      </c>
      <c r="AA145">
        <f t="shared" si="37"/>
        <v>0</v>
      </c>
      <c r="AB145">
        <f t="shared" si="38"/>
        <v>0</v>
      </c>
      <c r="AC145">
        <f t="shared" si="39"/>
        <v>5</v>
      </c>
      <c r="AD145" s="1">
        <f t="shared" si="40"/>
        <v>1.6666666666666667</v>
      </c>
      <c r="AE145">
        <f t="shared" si="41"/>
        <v>10</v>
      </c>
      <c r="AF145">
        <f t="shared" si="42"/>
        <v>0</v>
      </c>
      <c r="AG145">
        <f t="shared" si="43"/>
        <v>10</v>
      </c>
    </row>
    <row r="146" spans="1:33" x14ac:dyDescent="0.25">
      <c r="A146" t="s">
        <v>291</v>
      </c>
      <c r="B146" t="s">
        <v>292</v>
      </c>
      <c r="C146">
        <v>166277</v>
      </c>
      <c r="D146">
        <v>166277</v>
      </c>
      <c r="E146">
        <v>10</v>
      </c>
      <c r="F146">
        <v>40</v>
      </c>
      <c r="G146">
        <v>20</v>
      </c>
      <c r="O146">
        <v>70</v>
      </c>
      <c r="S146">
        <f t="shared" si="32"/>
        <v>4.375</v>
      </c>
      <c r="T146">
        <f t="shared" si="33"/>
        <v>0</v>
      </c>
      <c r="U146">
        <f t="shared" si="31"/>
        <v>1</v>
      </c>
      <c r="V146">
        <f t="shared" si="34"/>
        <v>1</v>
      </c>
      <c r="W146">
        <f t="shared" si="35"/>
        <v>0</v>
      </c>
      <c r="X146">
        <f t="shared" si="44"/>
        <v>0</v>
      </c>
      <c r="Y146">
        <f t="shared" si="45"/>
        <v>0</v>
      </c>
      <c r="Z146">
        <f t="shared" si="36"/>
        <v>2</v>
      </c>
      <c r="AA146">
        <f t="shared" si="37"/>
        <v>10</v>
      </c>
      <c r="AB146">
        <f t="shared" si="38"/>
        <v>2.8571428571428572</v>
      </c>
      <c r="AC146">
        <f t="shared" si="39"/>
        <v>0</v>
      </c>
      <c r="AD146" s="1">
        <f t="shared" si="40"/>
        <v>0</v>
      </c>
      <c r="AE146">
        <f t="shared" si="41"/>
        <v>0</v>
      </c>
      <c r="AF146">
        <f t="shared" si="42"/>
        <v>0</v>
      </c>
      <c r="AG146">
        <f t="shared" si="43"/>
        <v>0</v>
      </c>
    </row>
    <row r="147" spans="1:33" x14ac:dyDescent="0.25">
      <c r="A147" t="s">
        <v>293</v>
      </c>
      <c r="B147" t="s">
        <v>294</v>
      </c>
      <c r="C147">
        <v>166438</v>
      </c>
      <c r="D147">
        <v>166438</v>
      </c>
      <c r="H147">
        <v>20</v>
      </c>
      <c r="I147">
        <v>60</v>
      </c>
      <c r="J147">
        <v>10</v>
      </c>
      <c r="K147">
        <v>10</v>
      </c>
      <c r="L147">
        <v>10</v>
      </c>
      <c r="M147">
        <v>110</v>
      </c>
      <c r="S147">
        <f t="shared" si="32"/>
        <v>0</v>
      </c>
      <c r="T147">
        <f t="shared" si="33"/>
        <v>9.1666666666666661</v>
      </c>
      <c r="U147">
        <f t="shared" si="31"/>
        <v>1</v>
      </c>
      <c r="V147">
        <f t="shared" si="34"/>
        <v>0</v>
      </c>
      <c r="W147">
        <f t="shared" si="35"/>
        <v>1</v>
      </c>
      <c r="X147">
        <f t="shared" si="44"/>
        <v>0</v>
      </c>
      <c r="Y147">
        <f t="shared" si="45"/>
        <v>1</v>
      </c>
      <c r="Z147">
        <f t="shared" si="36"/>
        <v>0</v>
      </c>
      <c r="AA147">
        <f t="shared" si="37"/>
        <v>0</v>
      </c>
      <c r="AB147">
        <f t="shared" si="38"/>
        <v>0</v>
      </c>
      <c r="AC147">
        <f t="shared" si="39"/>
        <v>10</v>
      </c>
      <c r="AD147" s="1">
        <f t="shared" si="40"/>
        <v>10</v>
      </c>
      <c r="AE147">
        <f t="shared" si="41"/>
        <v>5</v>
      </c>
      <c r="AF147">
        <f t="shared" si="42"/>
        <v>10</v>
      </c>
      <c r="AG147">
        <f t="shared" si="43"/>
        <v>10</v>
      </c>
    </row>
    <row r="148" spans="1:33" x14ac:dyDescent="0.25">
      <c r="A148" t="s">
        <v>295</v>
      </c>
      <c r="B148" t="s">
        <v>296</v>
      </c>
      <c r="C148">
        <v>163267</v>
      </c>
      <c r="D148">
        <v>163267</v>
      </c>
      <c r="E148">
        <v>40</v>
      </c>
      <c r="F148">
        <v>0</v>
      </c>
      <c r="G148">
        <v>30</v>
      </c>
      <c r="O148">
        <v>70</v>
      </c>
      <c r="S148">
        <f t="shared" si="32"/>
        <v>4.375</v>
      </c>
      <c r="T148">
        <f t="shared" si="33"/>
        <v>0</v>
      </c>
      <c r="U148">
        <f t="shared" si="31"/>
        <v>1</v>
      </c>
      <c r="V148">
        <f t="shared" si="34"/>
        <v>1</v>
      </c>
      <c r="W148">
        <f t="shared" si="35"/>
        <v>0</v>
      </c>
      <c r="X148">
        <f t="shared" si="44"/>
        <v>0</v>
      </c>
      <c r="Y148">
        <f t="shared" si="45"/>
        <v>0</v>
      </c>
      <c r="Z148">
        <f t="shared" si="36"/>
        <v>8</v>
      </c>
      <c r="AA148">
        <f t="shared" si="37"/>
        <v>0</v>
      </c>
      <c r="AB148">
        <f t="shared" si="38"/>
        <v>4.2857142857142856</v>
      </c>
      <c r="AC148">
        <f t="shared" si="39"/>
        <v>0</v>
      </c>
      <c r="AD148" s="1">
        <f t="shared" si="40"/>
        <v>0</v>
      </c>
      <c r="AE148">
        <f t="shared" si="41"/>
        <v>0</v>
      </c>
      <c r="AF148">
        <f t="shared" si="42"/>
        <v>0</v>
      </c>
      <c r="AG148">
        <f t="shared" si="43"/>
        <v>0</v>
      </c>
    </row>
    <row r="149" spans="1:33" x14ac:dyDescent="0.25">
      <c r="A149" t="s">
        <v>297</v>
      </c>
      <c r="B149" t="s">
        <v>298</v>
      </c>
      <c r="C149">
        <v>167532</v>
      </c>
      <c r="D149">
        <v>167532</v>
      </c>
      <c r="S149">
        <f t="shared" si="32"/>
        <v>0</v>
      </c>
      <c r="T149">
        <f t="shared" si="33"/>
        <v>0</v>
      </c>
      <c r="U149">
        <f t="shared" si="31"/>
        <v>0</v>
      </c>
      <c r="V149">
        <f t="shared" si="34"/>
        <v>0</v>
      </c>
      <c r="W149">
        <f t="shared" si="35"/>
        <v>0</v>
      </c>
      <c r="X149">
        <f t="shared" si="44"/>
        <v>0</v>
      </c>
      <c r="Y149">
        <f t="shared" si="45"/>
        <v>0</v>
      </c>
      <c r="Z149">
        <f t="shared" si="36"/>
        <v>0</v>
      </c>
      <c r="AA149">
        <f t="shared" si="37"/>
        <v>0</v>
      </c>
      <c r="AB149">
        <f t="shared" si="38"/>
        <v>0</v>
      </c>
      <c r="AC149">
        <f t="shared" si="39"/>
        <v>0</v>
      </c>
      <c r="AD149" s="1">
        <f t="shared" si="40"/>
        <v>0</v>
      </c>
      <c r="AE149">
        <f t="shared" si="41"/>
        <v>0</v>
      </c>
      <c r="AF149">
        <f t="shared" si="42"/>
        <v>0</v>
      </c>
      <c r="AG149">
        <f t="shared" si="43"/>
        <v>0</v>
      </c>
    </row>
    <row r="150" spans="1:33" x14ac:dyDescent="0.25">
      <c r="A150" t="s">
        <v>299</v>
      </c>
      <c r="B150" t="s">
        <v>300</v>
      </c>
      <c r="C150">
        <v>168745</v>
      </c>
      <c r="D150">
        <v>168745</v>
      </c>
      <c r="E150">
        <v>50</v>
      </c>
      <c r="F150">
        <v>40</v>
      </c>
      <c r="G150">
        <v>50</v>
      </c>
      <c r="O150">
        <v>140</v>
      </c>
      <c r="S150">
        <f t="shared" si="32"/>
        <v>8.75</v>
      </c>
      <c r="T150">
        <f t="shared" si="33"/>
        <v>0</v>
      </c>
      <c r="U150">
        <f t="shared" si="31"/>
        <v>1</v>
      </c>
      <c r="V150">
        <f t="shared" si="34"/>
        <v>1</v>
      </c>
      <c r="W150">
        <f t="shared" si="35"/>
        <v>0</v>
      </c>
      <c r="X150">
        <f t="shared" si="44"/>
        <v>1</v>
      </c>
      <c r="Y150">
        <f t="shared" si="45"/>
        <v>0</v>
      </c>
      <c r="Z150">
        <f t="shared" si="36"/>
        <v>10</v>
      </c>
      <c r="AA150">
        <f t="shared" si="37"/>
        <v>10</v>
      </c>
      <c r="AB150">
        <f t="shared" si="38"/>
        <v>7.1428571428571432</v>
      </c>
      <c r="AC150">
        <f t="shared" si="39"/>
        <v>0</v>
      </c>
      <c r="AD150" s="1">
        <f t="shared" si="40"/>
        <v>0</v>
      </c>
      <c r="AE150">
        <f t="shared" si="41"/>
        <v>0</v>
      </c>
      <c r="AF150">
        <f t="shared" si="42"/>
        <v>0</v>
      </c>
      <c r="AG150">
        <f t="shared" si="43"/>
        <v>0</v>
      </c>
    </row>
    <row r="151" spans="1:33" x14ac:dyDescent="0.25">
      <c r="A151" t="s">
        <v>301</v>
      </c>
      <c r="B151" t="s">
        <v>302</v>
      </c>
      <c r="C151">
        <v>162919</v>
      </c>
      <c r="D151">
        <v>162919</v>
      </c>
      <c r="E151">
        <v>50</v>
      </c>
      <c r="F151">
        <v>30</v>
      </c>
      <c r="G151">
        <v>30</v>
      </c>
      <c r="O151">
        <v>110</v>
      </c>
      <c r="S151">
        <f t="shared" si="32"/>
        <v>6.875</v>
      </c>
      <c r="T151">
        <f t="shared" si="33"/>
        <v>0</v>
      </c>
      <c r="U151">
        <f t="shared" si="31"/>
        <v>1</v>
      </c>
      <c r="V151">
        <f t="shared" si="34"/>
        <v>1</v>
      </c>
      <c r="W151">
        <f t="shared" si="35"/>
        <v>0</v>
      </c>
      <c r="X151">
        <f t="shared" si="44"/>
        <v>1</v>
      </c>
      <c r="Y151">
        <f t="shared" si="45"/>
        <v>0</v>
      </c>
      <c r="Z151">
        <f t="shared" si="36"/>
        <v>10</v>
      </c>
      <c r="AA151">
        <f t="shared" si="37"/>
        <v>7.5</v>
      </c>
      <c r="AB151">
        <f t="shared" si="38"/>
        <v>4.2857142857142856</v>
      </c>
      <c r="AC151">
        <f t="shared" si="39"/>
        <v>0</v>
      </c>
      <c r="AD151" s="1">
        <f t="shared" si="40"/>
        <v>0</v>
      </c>
      <c r="AE151">
        <f t="shared" si="41"/>
        <v>0</v>
      </c>
      <c r="AF151">
        <f t="shared" si="42"/>
        <v>0</v>
      </c>
      <c r="AG151">
        <f t="shared" si="43"/>
        <v>0</v>
      </c>
    </row>
    <row r="152" spans="1:33" x14ac:dyDescent="0.25">
      <c r="A152" t="s">
        <v>303</v>
      </c>
      <c r="B152" t="s">
        <v>304</v>
      </c>
      <c r="C152">
        <v>166710</v>
      </c>
      <c r="D152">
        <v>166710</v>
      </c>
      <c r="H152">
        <v>20</v>
      </c>
      <c r="I152">
        <v>60</v>
      </c>
      <c r="J152">
        <v>20</v>
      </c>
      <c r="K152">
        <v>10</v>
      </c>
      <c r="L152">
        <v>10</v>
      </c>
      <c r="M152">
        <v>120</v>
      </c>
      <c r="S152">
        <f t="shared" si="32"/>
        <v>0</v>
      </c>
      <c r="T152">
        <f t="shared" si="33"/>
        <v>10</v>
      </c>
      <c r="U152">
        <f t="shared" si="31"/>
        <v>1</v>
      </c>
      <c r="V152">
        <f t="shared" si="34"/>
        <v>0</v>
      </c>
      <c r="W152">
        <f t="shared" si="35"/>
        <v>1</v>
      </c>
      <c r="X152">
        <f t="shared" si="44"/>
        <v>0</v>
      </c>
      <c r="Y152">
        <f t="shared" si="45"/>
        <v>1</v>
      </c>
      <c r="Z152">
        <f t="shared" si="36"/>
        <v>0</v>
      </c>
      <c r="AA152">
        <f t="shared" si="37"/>
        <v>0</v>
      </c>
      <c r="AB152">
        <f t="shared" si="38"/>
        <v>0</v>
      </c>
      <c r="AC152">
        <f t="shared" si="39"/>
        <v>10</v>
      </c>
      <c r="AD152" s="1">
        <f t="shared" si="40"/>
        <v>10</v>
      </c>
      <c r="AE152">
        <f t="shared" si="41"/>
        <v>10</v>
      </c>
      <c r="AF152">
        <f t="shared" si="42"/>
        <v>10</v>
      </c>
      <c r="AG152">
        <f t="shared" si="43"/>
        <v>10</v>
      </c>
    </row>
    <row r="153" spans="1:33" x14ac:dyDescent="0.25">
      <c r="A153" t="s">
        <v>305</v>
      </c>
      <c r="B153" t="s">
        <v>306</v>
      </c>
      <c r="C153">
        <v>167040</v>
      </c>
      <c r="D153">
        <v>167040</v>
      </c>
      <c r="E153">
        <v>20</v>
      </c>
      <c r="F153">
        <v>10</v>
      </c>
      <c r="G153">
        <v>40</v>
      </c>
      <c r="O153">
        <v>70</v>
      </c>
      <c r="S153">
        <f t="shared" si="32"/>
        <v>4.375</v>
      </c>
      <c r="T153">
        <f t="shared" si="33"/>
        <v>0</v>
      </c>
      <c r="U153">
        <f t="shared" si="31"/>
        <v>1</v>
      </c>
      <c r="V153">
        <f t="shared" si="34"/>
        <v>1</v>
      </c>
      <c r="W153">
        <f t="shared" si="35"/>
        <v>0</v>
      </c>
      <c r="X153">
        <f t="shared" si="44"/>
        <v>0</v>
      </c>
      <c r="Y153">
        <f t="shared" si="45"/>
        <v>0</v>
      </c>
      <c r="Z153">
        <f t="shared" si="36"/>
        <v>4</v>
      </c>
      <c r="AA153">
        <f t="shared" si="37"/>
        <v>2.5</v>
      </c>
      <c r="AB153">
        <f t="shared" si="38"/>
        <v>5.7142857142857144</v>
      </c>
      <c r="AC153">
        <f t="shared" si="39"/>
        <v>0</v>
      </c>
      <c r="AD153" s="1">
        <f t="shared" si="40"/>
        <v>0</v>
      </c>
      <c r="AE153">
        <f t="shared" si="41"/>
        <v>0</v>
      </c>
      <c r="AF153">
        <f t="shared" si="42"/>
        <v>0</v>
      </c>
      <c r="AG153">
        <f t="shared" si="43"/>
        <v>0</v>
      </c>
    </row>
    <row r="154" spans="1:33" x14ac:dyDescent="0.25">
      <c r="A154" t="s">
        <v>307</v>
      </c>
      <c r="B154" t="s">
        <v>308</v>
      </c>
      <c r="C154">
        <v>166235</v>
      </c>
      <c r="D154">
        <v>166235</v>
      </c>
      <c r="E154">
        <v>10</v>
      </c>
      <c r="F154">
        <v>30</v>
      </c>
      <c r="G154">
        <v>20</v>
      </c>
      <c r="O154">
        <v>60</v>
      </c>
      <c r="S154">
        <f t="shared" si="32"/>
        <v>3.75</v>
      </c>
      <c r="T154">
        <f t="shared" si="33"/>
        <v>0</v>
      </c>
      <c r="U154">
        <f t="shared" si="31"/>
        <v>1</v>
      </c>
      <c r="V154">
        <f t="shared" si="34"/>
        <v>1</v>
      </c>
      <c r="W154">
        <f t="shared" si="35"/>
        <v>0</v>
      </c>
      <c r="X154">
        <f t="shared" si="44"/>
        <v>0</v>
      </c>
      <c r="Y154">
        <f t="shared" si="45"/>
        <v>0</v>
      </c>
      <c r="Z154">
        <f t="shared" si="36"/>
        <v>2</v>
      </c>
      <c r="AA154">
        <f t="shared" si="37"/>
        <v>7.5</v>
      </c>
      <c r="AB154">
        <f t="shared" si="38"/>
        <v>2.8571428571428572</v>
      </c>
      <c r="AC154">
        <f t="shared" si="39"/>
        <v>0</v>
      </c>
      <c r="AD154" s="1">
        <f t="shared" si="40"/>
        <v>0</v>
      </c>
      <c r="AE154">
        <f t="shared" si="41"/>
        <v>0</v>
      </c>
      <c r="AF154">
        <f t="shared" si="42"/>
        <v>0</v>
      </c>
      <c r="AG154">
        <f t="shared" si="43"/>
        <v>0</v>
      </c>
    </row>
    <row r="155" spans="1:33" x14ac:dyDescent="0.25">
      <c r="A155" t="s">
        <v>309</v>
      </c>
      <c r="B155" t="s">
        <v>310</v>
      </c>
      <c r="C155">
        <v>167318</v>
      </c>
      <c r="D155">
        <v>167318</v>
      </c>
      <c r="E155">
        <v>30</v>
      </c>
      <c r="F155">
        <v>10</v>
      </c>
      <c r="G155">
        <v>30</v>
      </c>
      <c r="O155">
        <v>70</v>
      </c>
      <c r="S155">
        <f t="shared" si="32"/>
        <v>4.375</v>
      </c>
      <c r="T155">
        <f t="shared" si="33"/>
        <v>0</v>
      </c>
      <c r="U155">
        <f t="shared" si="31"/>
        <v>1</v>
      </c>
      <c r="V155">
        <f t="shared" si="34"/>
        <v>1</v>
      </c>
      <c r="W155">
        <f t="shared" si="35"/>
        <v>0</v>
      </c>
      <c r="X155">
        <f t="shared" si="44"/>
        <v>0</v>
      </c>
      <c r="Y155">
        <f t="shared" si="45"/>
        <v>0</v>
      </c>
      <c r="Z155">
        <f t="shared" si="36"/>
        <v>6</v>
      </c>
      <c r="AA155">
        <f t="shared" si="37"/>
        <v>2.5</v>
      </c>
      <c r="AB155">
        <f t="shared" si="38"/>
        <v>4.2857142857142856</v>
      </c>
      <c r="AC155">
        <f t="shared" si="39"/>
        <v>0</v>
      </c>
      <c r="AD155" s="1">
        <f t="shared" si="40"/>
        <v>0</v>
      </c>
      <c r="AE155">
        <f t="shared" si="41"/>
        <v>0</v>
      </c>
      <c r="AF155">
        <f t="shared" si="42"/>
        <v>0</v>
      </c>
      <c r="AG155">
        <f t="shared" si="43"/>
        <v>0</v>
      </c>
    </row>
    <row r="156" spans="1:33" x14ac:dyDescent="0.25">
      <c r="A156" t="s">
        <v>311</v>
      </c>
      <c r="B156" t="s">
        <v>312</v>
      </c>
      <c r="C156">
        <v>166423</v>
      </c>
      <c r="D156">
        <v>166423</v>
      </c>
      <c r="H156">
        <v>0</v>
      </c>
      <c r="I156">
        <v>10</v>
      </c>
      <c r="J156">
        <v>10</v>
      </c>
      <c r="K156">
        <v>0</v>
      </c>
      <c r="L156">
        <v>0</v>
      </c>
      <c r="M156">
        <v>20</v>
      </c>
      <c r="S156">
        <f t="shared" si="32"/>
        <v>0</v>
      </c>
      <c r="T156">
        <f t="shared" si="33"/>
        <v>1.6666666666666667</v>
      </c>
      <c r="U156">
        <f t="shared" si="31"/>
        <v>1</v>
      </c>
      <c r="V156">
        <f t="shared" si="34"/>
        <v>0</v>
      </c>
      <c r="W156">
        <f t="shared" si="35"/>
        <v>1</v>
      </c>
      <c r="X156">
        <f t="shared" si="44"/>
        <v>0</v>
      </c>
      <c r="Y156">
        <f t="shared" si="45"/>
        <v>0</v>
      </c>
      <c r="Z156">
        <f t="shared" si="36"/>
        <v>0</v>
      </c>
      <c r="AA156">
        <f t="shared" si="37"/>
        <v>0</v>
      </c>
      <c r="AB156">
        <f t="shared" si="38"/>
        <v>0</v>
      </c>
      <c r="AC156">
        <f t="shared" si="39"/>
        <v>0</v>
      </c>
      <c r="AD156" s="1">
        <f t="shared" si="40"/>
        <v>1.6666666666666667</v>
      </c>
      <c r="AE156">
        <f t="shared" si="41"/>
        <v>5</v>
      </c>
      <c r="AF156">
        <f t="shared" si="42"/>
        <v>0</v>
      </c>
      <c r="AG156">
        <f t="shared" si="43"/>
        <v>0</v>
      </c>
    </row>
    <row r="157" spans="1:33" x14ac:dyDescent="0.25">
      <c r="A157" t="s">
        <v>313</v>
      </c>
      <c r="B157" t="s">
        <v>314</v>
      </c>
      <c r="C157">
        <v>166165</v>
      </c>
      <c r="D157">
        <v>166165</v>
      </c>
      <c r="H157">
        <v>20</v>
      </c>
      <c r="I157">
        <v>30</v>
      </c>
      <c r="J157">
        <v>20</v>
      </c>
      <c r="K157">
        <v>10</v>
      </c>
      <c r="L157">
        <v>10</v>
      </c>
      <c r="M157">
        <v>90</v>
      </c>
      <c r="S157">
        <f t="shared" si="32"/>
        <v>0</v>
      </c>
      <c r="T157">
        <f t="shared" si="33"/>
        <v>7.5</v>
      </c>
      <c r="U157">
        <f t="shared" si="31"/>
        <v>1</v>
      </c>
      <c r="V157">
        <f t="shared" si="34"/>
        <v>0</v>
      </c>
      <c r="W157">
        <f t="shared" si="35"/>
        <v>1</v>
      </c>
      <c r="X157">
        <f t="shared" si="44"/>
        <v>0</v>
      </c>
      <c r="Y157">
        <f t="shared" si="45"/>
        <v>1</v>
      </c>
      <c r="Z157">
        <f t="shared" si="36"/>
        <v>0</v>
      </c>
      <c r="AA157">
        <f t="shared" si="37"/>
        <v>0</v>
      </c>
      <c r="AB157">
        <f t="shared" si="38"/>
        <v>0</v>
      </c>
      <c r="AC157">
        <f t="shared" si="39"/>
        <v>10</v>
      </c>
      <c r="AD157" s="1">
        <f t="shared" si="40"/>
        <v>5</v>
      </c>
      <c r="AE157">
        <f t="shared" si="41"/>
        <v>10</v>
      </c>
      <c r="AF157">
        <f t="shared" si="42"/>
        <v>10</v>
      </c>
      <c r="AG157">
        <f t="shared" si="43"/>
        <v>10</v>
      </c>
    </row>
    <row r="158" spans="1:33" x14ac:dyDescent="0.25">
      <c r="A158" t="s">
        <v>315</v>
      </c>
      <c r="B158" t="s">
        <v>211</v>
      </c>
      <c r="C158">
        <v>167663</v>
      </c>
      <c r="D158">
        <v>167663</v>
      </c>
      <c r="E158">
        <v>0</v>
      </c>
      <c r="F158">
        <v>10</v>
      </c>
      <c r="G158">
        <v>40</v>
      </c>
      <c r="O158">
        <v>50</v>
      </c>
      <c r="S158">
        <f t="shared" si="32"/>
        <v>3.125</v>
      </c>
      <c r="T158">
        <f t="shared" si="33"/>
        <v>0</v>
      </c>
      <c r="U158">
        <f t="shared" si="31"/>
        <v>1</v>
      </c>
      <c r="V158">
        <f t="shared" si="34"/>
        <v>1</v>
      </c>
      <c r="W158">
        <f t="shared" si="35"/>
        <v>0</v>
      </c>
      <c r="X158">
        <f t="shared" si="44"/>
        <v>0</v>
      </c>
      <c r="Y158">
        <f t="shared" si="45"/>
        <v>0</v>
      </c>
      <c r="Z158">
        <f t="shared" si="36"/>
        <v>0</v>
      </c>
      <c r="AA158">
        <f t="shared" si="37"/>
        <v>2.5</v>
      </c>
      <c r="AB158">
        <f t="shared" si="38"/>
        <v>5.7142857142857144</v>
      </c>
      <c r="AC158">
        <f t="shared" si="39"/>
        <v>0</v>
      </c>
      <c r="AD158" s="1">
        <f t="shared" si="40"/>
        <v>0</v>
      </c>
      <c r="AE158">
        <f t="shared" si="41"/>
        <v>0</v>
      </c>
      <c r="AF158">
        <f t="shared" si="42"/>
        <v>0</v>
      </c>
      <c r="AG158">
        <f t="shared" si="43"/>
        <v>0</v>
      </c>
    </row>
    <row r="159" spans="1:33" x14ac:dyDescent="0.25">
      <c r="A159" t="s">
        <v>316</v>
      </c>
      <c r="B159" t="s">
        <v>317</v>
      </c>
      <c r="C159">
        <v>168430</v>
      </c>
      <c r="D159">
        <v>168430</v>
      </c>
      <c r="S159">
        <f t="shared" si="32"/>
        <v>0</v>
      </c>
      <c r="T159">
        <f t="shared" si="33"/>
        <v>0</v>
      </c>
      <c r="U159">
        <f t="shared" si="31"/>
        <v>0</v>
      </c>
      <c r="V159">
        <f t="shared" si="34"/>
        <v>0</v>
      </c>
      <c r="W159">
        <f t="shared" si="35"/>
        <v>0</v>
      </c>
      <c r="X159">
        <f t="shared" si="44"/>
        <v>0</v>
      </c>
      <c r="Y159">
        <f t="shared" si="45"/>
        <v>0</v>
      </c>
      <c r="Z159">
        <f t="shared" si="36"/>
        <v>0</v>
      </c>
      <c r="AA159">
        <f t="shared" si="37"/>
        <v>0</v>
      </c>
      <c r="AB159">
        <f t="shared" si="38"/>
        <v>0</v>
      </c>
      <c r="AC159">
        <f t="shared" si="39"/>
        <v>0</v>
      </c>
      <c r="AD159" s="1">
        <f t="shared" si="40"/>
        <v>0</v>
      </c>
      <c r="AE159">
        <f t="shared" si="41"/>
        <v>0</v>
      </c>
      <c r="AF159">
        <f t="shared" si="42"/>
        <v>0</v>
      </c>
      <c r="AG159">
        <f t="shared" si="43"/>
        <v>0</v>
      </c>
    </row>
    <row r="160" spans="1:33" x14ac:dyDescent="0.25">
      <c r="A160" t="s">
        <v>318</v>
      </c>
      <c r="B160" t="s">
        <v>319</v>
      </c>
      <c r="C160">
        <v>168670</v>
      </c>
      <c r="D160">
        <v>168670</v>
      </c>
      <c r="E160">
        <v>30</v>
      </c>
      <c r="F160">
        <v>10</v>
      </c>
      <c r="O160">
        <v>40</v>
      </c>
      <c r="S160">
        <f t="shared" si="32"/>
        <v>2.5</v>
      </c>
      <c r="T160">
        <f t="shared" si="33"/>
        <v>0</v>
      </c>
      <c r="U160">
        <f t="shared" si="31"/>
        <v>1</v>
      </c>
      <c r="V160">
        <f t="shared" si="34"/>
        <v>1</v>
      </c>
      <c r="W160">
        <f t="shared" si="35"/>
        <v>0</v>
      </c>
      <c r="X160">
        <f t="shared" si="44"/>
        <v>0</v>
      </c>
      <c r="Y160">
        <f t="shared" si="45"/>
        <v>0</v>
      </c>
      <c r="Z160">
        <f t="shared" si="36"/>
        <v>6</v>
      </c>
      <c r="AA160">
        <f t="shared" si="37"/>
        <v>2.5</v>
      </c>
      <c r="AB160">
        <f t="shared" si="38"/>
        <v>0</v>
      </c>
      <c r="AC160">
        <f t="shared" si="39"/>
        <v>0</v>
      </c>
      <c r="AD160" s="1">
        <f t="shared" si="40"/>
        <v>0</v>
      </c>
      <c r="AE160">
        <f t="shared" si="41"/>
        <v>0</v>
      </c>
      <c r="AF160">
        <f t="shared" si="42"/>
        <v>0</v>
      </c>
      <c r="AG160">
        <f t="shared" si="43"/>
        <v>0</v>
      </c>
    </row>
    <row r="161" spans="1:33" x14ac:dyDescent="0.25">
      <c r="A161" t="s">
        <v>320</v>
      </c>
      <c r="B161" t="s">
        <v>321</v>
      </c>
      <c r="C161">
        <v>166516</v>
      </c>
      <c r="D161">
        <v>166516</v>
      </c>
      <c r="E161">
        <v>40</v>
      </c>
      <c r="F161">
        <v>20</v>
      </c>
      <c r="G161">
        <v>20</v>
      </c>
      <c r="O161">
        <v>80</v>
      </c>
      <c r="S161">
        <f t="shared" si="32"/>
        <v>5</v>
      </c>
      <c r="T161">
        <f t="shared" si="33"/>
        <v>0</v>
      </c>
      <c r="U161">
        <f t="shared" si="31"/>
        <v>1</v>
      </c>
      <c r="V161">
        <f t="shared" si="34"/>
        <v>1</v>
      </c>
      <c r="W161">
        <f t="shared" si="35"/>
        <v>0</v>
      </c>
      <c r="X161">
        <f t="shared" si="44"/>
        <v>0</v>
      </c>
      <c r="Y161">
        <f t="shared" si="45"/>
        <v>0</v>
      </c>
      <c r="Z161">
        <f t="shared" si="36"/>
        <v>8</v>
      </c>
      <c r="AA161">
        <f t="shared" si="37"/>
        <v>5</v>
      </c>
      <c r="AB161">
        <f t="shared" si="38"/>
        <v>2.8571428571428572</v>
      </c>
      <c r="AC161">
        <f t="shared" si="39"/>
        <v>0</v>
      </c>
      <c r="AD161" s="1">
        <f t="shared" si="40"/>
        <v>0</v>
      </c>
      <c r="AE161">
        <f t="shared" si="41"/>
        <v>0</v>
      </c>
      <c r="AF161">
        <f t="shared" si="42"/>
        <v>0</v>
      </c>
      <c r="AG161">
        <f t="shared" si="43"/>
        <v>0</v>
      </c>
    </row>
    <row r="162" spans="1:33" x14ac:dyDescent="0.25">
      <c r="A162" t="s">
        <v>322</v>
      </c>
      <c r="B162" t="s">
        <v>323</v>
      </c>
      <c r="C162">
        <v>165028</v>
      </c>
      <c r="D162">
        <v>165028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50</v>
      </c>
      <c r="S162">
        <f t="shared" si="32"/>
        <v>0</v>
      </c>
      <c r="T162">
        <f t="shared" si="33"/>
        <v>4.166666666666667</v>
      </c>
      <c r="U162">
        <f t="shared" si="31"/>
        <v>1</v>
      </c>
      <c r="V162">
        <f t="shared" si="34"/>
        <v>0</v>
      </c>
      <c r="W162">
        <f t="shared" si="35"/>
        <v>1</v>
      </c>
      <c r="X162">
        <f t="shared" si="44"/>
        <v>0</v>
      </c>
      <c r="Y162">
        <f t="shared" si="45"/>
        <v>0</v>
      </c>
      <c r="Z162">
        <f t="shared" si="36"/>
        <v>0</v>
      </c>
      <c r="AA162">
        <f t="shared" si="37"/>
        <v>0</v>
      </c>
      <c r="AB162">
        <f t="shared" si="38"/>
        <v>0</v>
      </c>
      <c r="AC162">
        <f t="shared" si="39"/>
        <v>5</v>
      </c>
      <c r="AD162" s="1">
        <f t="shared" si="40"/>
        <v>1.6666666666666667</v>
      </c>
      <c r="AE162">
        <f t="shared" si="41"/>
        <v>5</v>
      </c>
      <c r="AF162">
        <f t="shared" si="42"/>
        <v>10</v>
      </c>
      <c r="AG162">
        <f t="shared" si="43"/>
        <v>10</v>
      </c>
    </row>
    <row r="163" spans="1:33" x14ac:dyDescent="0.25">
      <c r="A163" t="s">
        <v>324</v>
      </c>
      <c r="B163" t="s">
        <v>87</v>
      </c>
      <c r="C163">
        <v>166844</v>
      </c>
      <c r="D163">
        <v>166844</v>
      </c>
      <c r="E163">
        <v>20</v>
      </c>
      <c r="F163">
        <v>0</v>
      </c>
      <c r="G163">
        <v>30</v>
      </c>
      <c r="O163">
        <v>50</v>
      </c>
      <c r="S163">
        <f t="shared" si="32"/>
        <v>3.125</v>
      </c>
      <c r="T163">
        <f t="shared" si="33"/>
        <v>0</v>
      </c>
      <c r="U163">
        <f t="shared" si="31"/>
        <v>1</v>
      </c>
      <c r="V163">
        <f t="shared" si="34"/>
        <v>1</v>
      </c>
      <c r="W163">
        <f t="shared" si="35"/>
        <v>0</v>
      </c>
      <c r="X163">
        <f t="shared" si="44"/>
        <v>0</v>
      </c>
      <c r="Y163">
        <f t="shared" si="45"/>
        <v>0</v>
      </c>
      <c r="Z163">
        <f t="shared" si="36"/>
        <v>4</v>
      </c>
      <c r="AA163">
        <f t="shared" si="37"/>
        <v>0</v>
      </c>
      <c r="AB163">
        <f t="shared" si="38"/>
        <v>4.2857142857142856</v>
      </c>
      <c r="AC163">
        <f t="shared" si="39"/>
        <v>0</v>
      </c>
      <c r="AD163" s="1">
        <f t="shared" si="40"/>
        <v>0</v>
      </c>
      <c r="AE163">
        <f t="shared" si="41"/>
        <v>0</v>
      </c>
      <c r="AF163">
        <f t="shared" si="42"/>
        <v>0</v>
      </c>
      <c r="AG163">
        <f t="shared" si="43"/>
        <v>0</v>
      </c>
    </row>
    <row r="164" spans="1:33" x14ac:dyDescent="0.25">
      <c r="A164" t="s">
        <v>325</v>
      </c>
      <c r="B164" t="s">
        <v>326</v>
      </c>
      <c r="C164">
        <v>162651</v>
      </c>
      <c r="D164">
        <v>162651</v>
      </c>
      <c r="E164">
        <v>50</v>
      </c>
      <c r="F164">
        <v>40</v>
      </c>
      <c r="G164">
        <v>30</v>
      </c>
      <c r="O164">
        <v>120</v>
      </c>
      <c r="S164">
        <f t="shared" si="32"/>
        <v>7.5</v>
      </c>
      <c r="T164">
        <f t="shared" si="33"/>
        <v>0</v>
      </c>
      <c r="U164">
        <f t="shared" si="31"/>
        <v>1</v>
      </c>
      <c r="V164">
        <f t="shared" si="34"/>
        <v>1</v>
      </c>
      <c r="W164">
        <f t="shared" si="35"/>
        <v>0</v>
      </c>
      <c r="X164">
        <f t="shared" si="44"/>
        <v>1</v>
      </c>
      <c r="Y164">
        <f t="shared" si="45"/>
        <v>0</v>
      </c>
      <c r="Z164">
        <f t="shared" si="36"/>
        <v>10</v>
      </c>
      <c r="AA164">
        <f t="shared" si="37"/>
        <v>10</v>
      </c>
      <c r="AB164">
        <f t="shared" si="38"/>
        <v>4.2857142857142856</v>
      </c>
      <c r="AC164">
        <f t="shared" si="39"/>
        <v>0</v>
      </c>
      <c r="AD164" s="1">
        <f t="shared" si="40"/>
        <v>0</v>
      </c>
      <c r="AE164">
        <f t="shared" si="41"/>
        <v>0</v>
      </c>
      <c r="AF164">
        <f t="shared" si="42"/>
        <v>0</v>
      </c>
      <c r="AG164">
        <f t="shared" si="43"/>
        <v>0</v>
      </c>
    </row>
    <row r="165" spans="1:33" x14ac:dyDescent="0.25">
      <c r="A165" t="s">
        <v>327</v>
      </c>
      <c r="B165" t="s">
        <v>328</v>
      </c>
      <c r="C165">
        <v>165050</v>
      </c>
      <c r="D165">
        <v>165050</v>
      </c>
      <c r="E165">
        <v>50</v>
      </c>
      <c r="F165">
        <v>20</v>
      </c>
      <c r="G165">
        <v>40</v>
      </c>
      <c r="O165">
        <v>110</v>
      </c>
      <c r="S165">
        <f t="shared" si="32"/>
        <v>6.875</v>
      </c>
      <c r="T165">
        <f t="shared" si="33"/>
        <v>0</v>
      </c>
      <c r="U165">
        <f t="shared" si="31"/>
        <v>1</v>
      </c>
      <c r="V165">
        <f t="shared" si="34"/>
        <v>1</v>
      </c>
      <c r="W165">
        <f t="shared" si="35"/>
        <v>0</v>
      </c>
      <c r="X165">
        <f t="shared" si="44"/>
        <v>1</v>
      </c>
      <c r="Y165">
        <f t="shared" si="45"/>
        <v>0</v>
      </c>
      <c r="Z165">
        <f t="shared" si="36"/>
        <v>10</v>
      </c>
      <c r="AA165">
        <f t="shared" si="37"/>
        <v>5</v>
      </c>
      <c r="AB165">
        <f t="shared" si="38"/>
        <v>5.7142857142857144</v>
      </c>
      <c r="AC165">
        <f t="shared" si="39"/>
        <v>0</v>
      </c>
      <c r="AD165" s="1">
        <f t="shared" si="40"/>
        <v>0</v>
      </c>
      <c r="AE165">
        <f t="shared" si="41"/>
        <v>0</v>
      </c>
      <c r="AF165">
        <f t="shared" si="42"/>
        <v>0</v>
      </c>
      <c r="AG165">
        <f t="shared" si="43"/>
        <v>0</v>
      </c>
    </row>
    <row r="166" spans="1:33" x14ac:dyDescent="0.25">
      <c r="A166" t="s">
        <v>329</v>
      </c>
      <c r="B166" t="s">
        <v>330</v>
      </c>
      <c r="C166">
        <v>168555</v>
      </c>
      <c r="D166">
        <v>168555</v>
      </c>
      <c r="E166">
        <v>30</v>
      </c>
      <c r="F166">
        <v>20</v>
      </c>
      <c r="G166">
        <v>50</v>
      </c>
      <c r="O166">
        <v>100</v>
      </c>
      <c r="S166">
        <f t="shared" si="32"/>
        <v>6.25</v>
      </c>
      <c r="T166">
        <f t="shared" si="33"/>
        <v>0</v>
      </c>
      <c r="U166">
        <f t="shared" si="31"/>
        <v>1</v>
      </c>
      <c r="V166">
        <f t="shared" si="34"/>
        <v>1</v>
      </c>
      <c r="W166">
        <f t="shared" si="35"/>
        <v>0</v>
      </c>
      <c r="X166">
        <f t="shared" si="44"/>
        <v>1</v>
      </c>
      <c r="Y166">
        <f t="shared" si="45"/>
        <v>0</v>
      </c>
      <c r="Z166">
        <f t="shared" si="36"/>
        <v>6</v>
      </c>
      <c r="AA166">
        <f t="shared" si="37"/>
        <v>5</v>
      </c>
      <c r="AB166">
        <f t="shared" si="38"/>
        <v>7.1428571428571432</v>
      </c>
      <c r="AC166">
        <f t="shared" si="39"/>
        <v>0</v>
      </c>
      <c r="AD166" s="1">
        <f t="shared" si="40"/>
        <v>0</v>
      </c>
      <c r="AE166">
        <f t="shared" si="41"/>
        <v>0</v>
      </c>
      <c r="AF166">
        <f t="shared" si="42"/>
        <v>0</v>
      </c>
      <c r="AG166">
        <f t="shared" si="43"/>
        <v>0</v>
      </c>
    </row>
    <row r="167" spans="1:33" x14ac:dyDescent="0.25">
      <c r="A167" t="s">
        <v>331</v>
      </c>
      <c r="B167" t="s">
        <v>332</v>
      </c>
      <c r="C167">
        <v>166801</v>
      </c>
      <c r="D167">
        <v>166801</v>
      </c>
      <c r="E167">
        <v>10</v>
      </c>
      <c r="F167">
        <v>20</v>
      </c>
      <c r="G167">
        <v>30</v>
      </c>
      <c r="O167">
        <v>60</v>
      </c>
      <c r="S167">
        <f t="shared" si="32"/>
        <v>3.75</v>
      </c>
      <c r="T167">
        <f t="shared" si="33"/>
        <v>0</v>
      </c>
      <c r="U167">
        <f t="shared" si="31"/>
        <v>1</v>
      </c>
      <c r="V167">
        <f t="shared" si="34"/>
        <v>1</v>
      </c>
      <c r="W167">
        <f t="shared" si="35"/>
        <v>0</v>
      </c>
      <c r="X167">
        <f t="shared" si="44"/>
        <v>0</v>
      </c>
      <c r="Y167">
        <f t="shared" si="45"/>
        <v>0</v>
      </c>
      <c r="Z167">
        <f t="shared" si="36"/>
        <v>2</v>
      </c>
      <c r="AA167">
        <f t="shared" si="37"/>
        <v>5</v>
      </c>
      <c r="AB167">
        <f t="shared" si="38"/>
        <v>4.2857142857142856</v>
      </c>
      <c r="AC167">
        <f t="shared" si="39"/>
        <v>0</v>
      </c>
      <c r="AD167" s="1">
        <f t="shared" si="40"/>
        <v>0</v>
      </c>
      <c r="AE167">
        <f t="shared" si="41"/>
        <v>0</v>
      </c>
      <c r="AF167">
        <f t="shared" si="42"/>
        <v>0</v>
      </c>
      <c r="AG167">
        <f t="shared" si="43"/>
        <v>0</v>
      </c>
    </row>
    <row r="168" spans="1:33" x14ac:dyDescent="0.25">
      <c r="A168" t="s">
        <v>331</v>
      </c>
      <c r="B168" t="s">
        <v>333</v>
      </c>
      <c r="C168">
        <v>162892</v>
      </c>
      <c r="D168">
        <v>162892</v>
      </c>
      <c r="E168">
        <v>20</v>
      </c>
      <c r="F168">
        <v>30</v>
      </c>
      <c r="G168">
        <v>10</v>
      </c>
      <c r="O168">
        <v>60</v>
      </c>
      <c r="S168">
        <f t="shared" si="32"/>
        <v>3.75</v>
      </c>
      <c r="T168">
        <f t="shared" si="33"/>
        <v>0</v>
      </c>
      <c r="U168">
        <f t="shared" si="31"/>
        <v>1</v>
      </c>
      <c r="V168">
        <f t="shared" si="34"/>
        <v>1</v>
      </c>
      <c r="W168">
        <f t="shared" si="35"/>
        <v>0</v>
      </c>
      <c r="X168">
        <f t="shared" si="44"/>
        <v>0</v>
      </c>
      <c r="Y168">
        <f t="shared" si="45"/>
        <v>0</v>
      </c>
      <c r="Z168">
        <f t="shared" si="36"/>
        <v>4</v>
      </c>
      <c r="AA168">
        <f t="shared" si="37"/>
        <v>7.5</v>
      </c>
      <c r="AB168">
        <f t="shared" si="38"/>
        <v>1.4285714285714286</v>
      </c>
      <c r="AC168">
        <f t="shared" si="39"/>
        <v>0</v>
      </c>
      <c r="AD168" s="1">
        <f t="shared" si="40"/>
        <v>0</v>
      </c>
      <c r="AE168">
        <f t="shared" si="41"/>
        <v>0</v>
      </c>
      <c r="AF168">
        <f t="shared" si="42"/>
        <v>0</v>
      </c>
      <c r="AG168">
        <f t="shared" si="43"/>
        <v>0</v>
      </c>
    </row>
    <row r="169" spans="1:33" x14ac:dyDescent="0.25">
      <c r="A169" t="s">
        <v>334</v>
      </c>
      <c r="B169" t="s">
        <v>197</v>
      </c>
      <c r="C169">
        <v>166857</v>
      </c>
      <c r="D169">
        <v>166857</v>
      </c>
      <c r="S169">
        <f t="shared" si="32"/>
        <v>0</v>
      </c>
      <c r="T169">
        <f t="shared" si="33"/>
        <v>0</v>
      </c>
      <c r="U169">
        <f t="shared" si="31"/>
        <v>0</v>
      </c>
      <c r="V169">
        <f t="shared" si="34"/>
        <v>0</v>
      </c>
      <c r="W169">
        <f t="shared" si="35"/>
        <v>0</v>
      </c>
      <c r="X169">
        <f t="shared" si="44"/>
        <v>0</v>
      </c>
      <c r="Y169">
        <f t="shared" si="45"/>
        <v>0</v>
      </c>
      <c r="Z169">
        <f t="shared" si="36"/>
        <v>0</v>
      </c>
      <c r="AA169">
        <f t="shared" si="37"/>
        <v>0</v>
      </c>
      <c r="AB169">
        <f t="shared" si="38"/>
        <v>0</v>
      </c>
      <c r="AC169">
        <f t="shared" si="39"/>
        <v>0</v>
      </c>
      <c r="AD169" s="1">
        <f t="shared" si="40"/>
        <v>0</v>
      </c>
      <c r="AE169">
        <f t="shared" si="41"/>
        <v>0</v>
      </c>
      <c r="AF169">
        <f t="shared" si="42"/>
        <v>0</v>
      </c>
      <c r="AG169">
        <f t="shared" si="43"/>
        <v>0</v>
      </c>
    </row>
    <row r="170" spans="1:33" x14ac:dyDescent="0.25">
      <c r="A170" t="s">
        <v>335</v>
      </c>
      <c r="B170" t="s">
        <v>336</v>
      </c>
      <c r="C170">
        <v>168320</v>
      </c>
      <c r="D170">
        <v>168320</v>
      </c>
      <c r="E170">
        <v>10</v>
      </c>
      <c r="F170">
        <v>0</v>
      </c>
      <c r="G170">
        <v>20</v>
      </c>
      <c r="O170">
        <v>30</v>
      </c>
      <c r="S170">
        <f t="shared" si="32"/>
        <v>1.875</v>
      </c>
      <c r="T170">
        <f t="shared" si="33"/>
        <v>0</v>
      </c>
      <c r="U170">
        <f t="shared" si="31"/>
        <v>1</v>
      </c>
      <c r="V170">
        <f t="shared" si="34"/>
        <v>1</v>
      </c>
      <c r="W170">
        <f t="shared" si="35"/>
        <v>0</v>
      </c>
      <c r="X170">
        <f t="shared" si="44"/>
        <v>0</v>
      </c>
      <c r="Y170">
        <f t="shared" si="45"/>
        <v>0</v>
      </c>
      <c r="Z170">
        <f t="shared" si="36"/>
        <v>2</v>
      </c>
      <c r="AA170">
        <f t="shared" si="37"/>
        <v>0</v>
      </c>
      <c r="AB170">
        <f t="shared" si="38"/>
        <v>2.8571428571428572</v>
      </c>
      <c r="AC170">
        <f t="shared" si="39"/>
        <v>0</v>
      </c>
      <c r="AD170" s="1">
        <f t="shared" si="40"/>
        <v>0</v>
      </c>
      <c r="AE170">
        <f t="shared" si="41"/>
        <v>0</v>
      </c>
      <c r="AF170">
        <f t="shared" si="42"/>
        <v>0</v>
      </c>
      <c r="AG170">
        <f t="shared" si="43"/>
        <v>0</v>
      </c>
    </row>
    <row r="171" spans="1:33" x14ac:dyDescent="0.25">
      <c r="A171" t="s">
        <v>337</v>
      </c>
      <c r="B171" t="s">
        <v>338</v>
      </c>
      <c r="C171">
        <v>163014</v>
      </c>
      <c r="D171">
        <v>163014</v>
      </c>
      <c r="H171">
        <v>0</v>
      </c>
      <c r="I171">
        <v>20</v>
      </c>
      <c r="J171">
        <v>10</v>
      </c>
      <c r="K171">
        <v>10</v>
      </c>
      <c r="L171">
        <v>0</v>
      </c>
      <c r="M171">
        <v>40</v>
      </c>
      <c r="S171">
        <f t="shared" si="32"/>
        <v>0</v>
      </c>
      <c r="T171">
        <f t="shared" si="33"/>
        <v>3.3333333333333335</v>
      </c>
      <c r="U171">
        <f t="shared" si="31"/>
        <v>1</v>
      </c>
      <c r="V171">
        <f t="shared" si="34"/>
        <v>0</v>
      </c>
      <c r="W171">
        <f t="shared" si="35"/>
        <v>1</v>
      </c>
      <c r="X171">
        <f t="shared" si="44"/>
        <v>0</v>
      </c>
      <c r="Y171">
        <f t="shared" si="45"/>
        <v>0</v>
      </c>
      <c r="Z171">
        <f t="shared" si="36"/>
        <v>0</v>
      </c>
      <c r="AA171">
        <f t="shared" si="37"/>
        <v>0</v>
      </c>
      <c r="AB171">
        <f t="shared" si="38"/>
        <v>0</v>
      </c>
      <c r="AC171">
        <f t="shared" si="39"/>
        <v>0</v>
      </c>
      <c r="AD171" s="1">
        <f t="shared" si="40"/>
        <v>3.3333333333333335</v>
      </c>
      <c r="AE171">
        <f t="shared" si="41"/>
        <v>5</v>
      </c>
      <c r="AF171">
        <f t="shared" si="42"/>
        <v>10</v>
      </c>
      <c r="AG171">
        <f t="shared" si="43"/>
        <v>0</v>
      </c>
    </row>
    <row r="172" spans="1:33" x14ac:dyDescent="0.25">
      <c r="A172" t="s">
        <v>339</v>
      </c>
      <c r="B172" t="s">
        <v>340</v>
      </c>
      <c r="C172">
        <v>168411</v>
      </c>
      <c r="D172">
        <v>168411</v>
      </c>
      <c r="E172">
        <v>0</v>
      </c>
      <c r="F172">
        <v>40</v>
      </c>
      <c r="G172">
        <v>10</v>
      </c>
      <c r="O172">
        <v>50</v>
      </c>
      <c r="S172">
        <f t="shared" si="32"/>
        <v>3.125</v>
      </c>
      <c r="T172">
        <f t="shared" si="33"/>
        <v>0</v>
      </c>
      <c r="U172">
        <f t="shared" si="31"/>
        <v>1</v>
      </c>
      <c r="V172">
        <f t="shared" si="34"/>
        <v>1</v>
      </c>
      <c r="W172">
        <f t="shared" si="35"/>
        <v>0</v>
      </c>
      <c r="X172">
        <f t="shared" si="44"/>
        <v>0</v>
      </c>
      <c r="Y172">
        <f t="shared" si="45"/>
        <v>0</v>
      </c>
      <c r="Z172">
        <f t="shared" si="36"/>
        <v>0</v>
      </c>
      <c r="AA172">
        <f t="shared" si="37"/>
        <v>10</v>
      </c>
      <c r="AB172">
        <f t="shared" si="38"/>
        <v>1.4285714285714286</v>
      </c>
      <c r="AC172">
        <f t="shared" si="39"/>
        <v>0</v>
      </c>
      <c r="AD172" s="1">
        <f t="shared" si="40"/>
        <v>0</v>
      </c>
      <c r="AE172">
        <f t="shared" si="41"/>
        <v>0</v>
      </c>
      <c r="AF172">
        <f t="shared" si="42"/>
        <v>0</v>
      </c>
      <c r="AG172">
        <f t="shared" si="43"/>
        <v>0</v>
      </c>
    </row>
    <row r="173" spans="1:33" x14ac:dyDescent="0.25">
      <c r="A173" t="s">
        <v>341</v>
      </c>
      <c r="B173" t="s">
        <v>342</v>
      </c>
      <c r="C173">
        <v>158526</v>
      </c>
      <c r="D173">
        <v>158526</v>
      </c>
      <c r="E173">
        <v>30</v>
      </c>
      <c r="F173">
        <v>20</v>
      </c>
      <c r="G173">
        <v>10</v>
      </c>
      <c r="O173">
        <v>60</v>
      </c>
      <c r="S173">
        <f t="shared" si="32"/>
        <v>3.75</v>
      </c>
      <c r="T173">
        <f t="shared" si="33"/>
        <v>0</v>
      </c>
      <c r="U173">
        <f t="shared" si="31"/>
        <v>1</v>
      </c>
      <c r="V173">
        <f t="shared" si="34"/>
        <v>1</v>
      </c>
      <c r="W173">
        <f t="shared" si="35"/>
        <v>0</v>
      </c>
      <c r="X173">
        <f t="shared" si="44"/>
        <v>0</v>
      </c>
      <c r="Y173">
        <f t="shared" si="45"/>
        <v>0</v>
      </c>
      <c r="Z173">
        <f t="shared" si="36"/>
        <v>6</v>
      </c>
      <c r="AA173">
        <f t="shared" si="37"/>
        <v>5</v>
      </c>
      <c r="AB173">
        <f t="shared" si="38"/>
        <v>1.4285714285714286</v>
      </c>
      <c r="AC173">
        <f t="shared" si="39"/>
        <v>0</v>
      </c>
      <c r="AD173" s="1">
        <f t="shared" si="40"/>
        <v>0</v>
      </c>
      <c r="AE173">
        <f t="shared" si="41"/>
        <v>0</v>
      </c>
      <c r="AF173">
        <f t="shared" si="42"/>
        <v>0</v>
      </c>
      <c r="AG173">
        <f t="shared" si="43"/>
        <v>0</v>
      </c>
    </row>
    <row r="174" spans="1:33" x14ac:dyDescent="0.25">
      <c r="A174" t="s">
        <v>343</v>
      </c>
      <c r="B174" t="s">
        <v>344</v>
      </c>
      <c r="C174">
        <v>167412</v>
      </c>
      <c r="D174">
        <v>167412</v>
      </c>
      <c r="H174">
        <v>20</v>
      </c>
      <c r="I174">
        <v>30</v>
      </c>
      <c r="J174">
        <v>20</v>
      </c>
      <c r="K174">
        <v>10</v>
      </c>
      <c r="L174">
        <v>10</v>
      </c>
      <c r="M174">
        <v>90</v>
      </c>
      <c r="S174">
        <f t="shared" si="32"/>
        <v>0</v>
      </c>
      <c r="T174">
        <f t="shared" si="33"/>
        <v>7.5</v>
      </c>
      <c r="U174">
        <f t="shared" si="31"/>
        <v>1</v>
      </c>
      <c r="V174">
        <f t="shared" si="34"/>
        <v>0</v>
      </c>
      <c r="W174">
        <f t="shared" si="35"/>
        <v>1</v>
      </c>
      <c r="X174">
        <f t="shared" si="44"/>
        <v>0</v>
      </c>
      <c r="Y174">
        <f t="shared" si="45"/>
        <v>1</v>
      </c>
      <c r="Z174">
        <f t="shared" si="36"/>
        <v>0</v>
      </c>
      <c r="AA174">
        <f t="shared" si="37"/>
        <v>0</v>
      </c>
      <c r="AB174">
        <f t="shared" si="38"/>
        <v>0</v>
      </c>
      <c r="AC174">
        <f t="shared" si="39"/>
        <v>10</v>
      </c>
      <c r="AD174" s="1">
        <f t="shared" si="40"/>
        <v>5</v>
      </c>
      <c r="AE174">
        <f t="shared" si="41"/>
        <v>10</v>
      </c>
      <c r="AF174">
        <f t="shared" si="42"/>
        <v>10</v>
      </c>
      <c r="AG174">
        <f t="shared" si="43"/>
        <v>10</v>
      </c>
    </row>
    <row r="175" spans="1:33" x14ac:dyDescent="0.25">
      <c r="A175" t="s">
        <v>345</v>
      </c>
      <c r="B175" t="s">
        <v>346</v>
      </c>
      <c r="C175">
        <v>168298</v>
      </c>
      <c r="D175">
        <v>168298</v>
      </c>
      <c r="E175">
        <v>10</v>
      </c>
      <c r="F175">
        <v>40</v>
      </c>
      <c r="G175">
        <v>40</v>
      </c>
      <c r="O175">
        <v>90</v>
      </c>
      <c r="S175">
        <f t="shared" si="32"/>
        <v>5.625</v>
      </c>
      <c r="T175">
        <f t="shared" si="33"/>
        <v>0</v>
      </c>
      <c r="U175">
        <f t="shared" si="31"/>
        <v>1</v>
      </c>
      <c r="V175">
        <f t="shared" si="34"/>
        <v>1</v>
      </c>
      <c r="W175">
        <f t="shared" si="35"/>
        <v>0</v>
      </c>
      <c r="X175">
        <f t="shared" si="44"/>
        <v>0</v>
      </c>
      <c r="Y175">
        <f t="shared" si="45"/>
        <v>0</v>
      </c>
      <c r="Z175">
        <f t="shared" si="36"/>
        <v>2</v>
      </c>
      <c r="AA175">
        <f t="shared" si="37"/>
        <v>10</v>
      </c>
      <c r="AB175">
        <f t="shared" si="38"/>
        <v>5.7142857142857144</v>
      </c>
      <c r="AC175">
        <f t="shared" si="39"/>
        <v>0</v>
      </c>
      <c r="AD175" s="1">
        <f t="shared" si="40"/>
        <v>0</v>
      </c>
      <c r="AE175">
        <f t="shared" si="41"/>
        <v>0</v>
      </c>
      <c r="AF175">
        <f t="shared" si="42"/>
        <v>0</v>
      </c>
      <c r="AG175">
        <f t="shared" si="43"/>
        <v>0</v>
      </c>
    </row>
    <row r="176" spans="1:33" x14ac:dyDescent="0.25">
      <c r="A176" t="s">
        <v>347</v>
      </c>
      <c r="B176" t="s">
        <v>348</v>
      </c>
      <c r="C176">
        <v>167000</v>
      </c>
      <c r="D176">
        <v>167000</v>
      </c>
      <c r="E176">
        <v>50</v>
      </c>
      <c r="F176">
        <v>10</v>
      </c>
      <c r="G176">
        <v>40</v>
      </c>
      <c r="O176">
        <v>100</v>
      </c>
      <c r="S176">
        <f t="shared" si="32"/>
        <v>6.25</v>
      </c>
      <c r="T176">
        <f t="shared" si="33"/>
        <v>0</v>
      </c>
      <c r="U176">
        <f t="shared" si="31"/>
        <v>1</v>
      </c>
      <c r="V176">
        <f t="shared" si="34"/>
        <v>1</v>
      </c>
      <c r="W176">
        <f t="shared" si="35"/>
        <v>0</v>
      </c>
      <c r="X176">
        <f t="shared" si="44"/>
        <v>1</v>
      </c>
      <c r="Y176">
        <f t="shared" si="45"/>
        <v>0</v>
      </c>
      <c r="Z176">
        <f t="shared" si="36"/>
        <v>10</v>
      </c>
      <c r="AA176">
        <f t="shared" si="37"/>
        <v>2.5</v>
      </c>
      <c r="AB176">
        <f t="shared" si="38"/>
        <v>5.7142857142857144</v>
      </c>
      <c r="AC176">
        <f t="shared" si="39"/>
        <v>0</v>
      </c>
      <c r="AD176" s="1">
        <f t="shared" si="40"/>
        <v>0</v>
      </c>
      <c r="AE176">
        <f t="shared" si="41"/>
        <v>0</v>
      </c>
      <c r="AF176">
        <f t="shared" si="42"/>
        <v>0</v>
      </c>
      <c r="AG176">
        <f t="shared" si="43"/>
        <v>0</v>
      </c>
    </row>
    <row r="177" spans="1:33" x14ac:dyDescent="0.25">
      <c r="A177" t="s">
        <v>349</v>
      </c>
      <c r="B177" t="s">
        <v>350</v>
      </c>
      <c r="C177">
        <v>167890</v>
      </c>
      <c r="D177">
        <v>167890</v>
      </c>
      <c r="E177">
        <v>30</v>
      </c>
      <c r="F177">
        <v>30</v>
      </c>
      <c r="G177">
        <v>20</v>
      </c>
      <c r="O177">
        <v>80</v>
      </c>
      <c r="S177">
        <f t="shared" si="32"/>
        <v>5</v>
      </c>
      <c r="T177">
        <f t="shared" si="33"/>
        <v>0</v>
      </c>
      <c r="U177">
        <f t="shared" si="31"/>
        <v>1</v>
      </c>
      <c r="V177">
        <f t="shared" si="34"/>
        <v>1</v>
      </c>
      <c r="W177">
        <f t="shared" si="35"/>
        <v>0</v>
      </c>
      <c r="X177">
        <f t="shared" si="44"/>
        <v>0</v>
      </c>
      <c r="Y177">
        <f t="shared" si="45"/>
        <v>0</v>
      </c>
      <c r="Z177">
        <f t="shared" si="36"/>
        <v>6</v>
      </c>
      <c r="AA177">
        <f t="shared" si="37"/>
        <v>7.5</v>
      </c>
      <c r="AB177">
        <f t="shared" si="38"/>
        <v>2.8571428571428572</v>
      </c>
      <c r="AC177">
        <f t="shared" si="39"/>
        <v>0</v>
      </c>
      <c r="AD177" s="1">
        <f t="shared" si="40"/>
        <v>0</v>
      </c>
      <c r="AE177">
        <f t="shared" si="41"/>
        <v>0</v>
      </c>
      <c r="AF177">
        <f t="shared" si="42"/>
        <v>0</v>
      </c>
      <c r="AG177">
        <f t="shared" si="43"/>
        <v>0</v>
      </c>
    </row>
    <row r="178" spans="1:33" x14ac:dyDescent="0.25">
      <c r="A178" t="s">
        <v>351</v>
      </c>
      <c r="B178" t="s">
        <v>352</v>
      </c>
      <c r="C178">
        <v>168566</v>
      </c>
      <c r="D178">
        <v>168566</v>
      </c>
      <c r="S178">
        <f t="shared" si="32"/>
        <v>0</v>
      </c>
      <c r="T178">
        <f t="shared" si="33"/>
        <v>0</v>
      </c>
      <c r="U178">
        <f t="shared" si="31"/>
        <v>0</v>
      </c>
      <c r="V178">
        <f t="shared" si="34"/>
        <v>0</v>
      </c>
      <c r="W178">
        <f t="shared" si="35"/>
        <v>0</v>
      </c>
      <c r="X178">
        <f t="shared" si="44"/>
        <v>0</v>
      </c>
      <c r="Y178">
        <f t="shared" si="45"/>
        <v>0</v>
      </c>
      <c r="Z178">
        <f t="shared" si="36"/>
        <v>0</v>
      </c>
      <c r="AA178">
        <f t="shared" si="37"/>
        <v>0</v>
      </c>
      <c r="AB178">
        <f t="shared" si="38"/>
        <v>0</v>
      </c>
      <c r="AC178">
        <f t="shared" si="39"/>
        <v>0</v>
      </c>
      <c r="AD178" s="1">
        <f t="shared" si="40"/>
        <v>0</v>
      </c>
      <c r="AE178">
        <f t="shared" si="41"/>
        <v>0</v>
      </c>
      <c r="AF178">
        <f t="shared" si="42"/>
        <v>0</v>
      </c>
      <c r="AG178">
        <f t="shared" si="43"/>
        <v>0</v>
      </c>
    </row>
    <row r="179" spans="1:33" x14ac:dyDescent="0.25">
      <c r="A179" t="s">
        <v>353</v>
      </c>
      <c r="B179" t="s">
        <v>354</v>
      </c>
      <c r="C179">
        <v>167599</v>
      </c>
      <c r="D179">
        <v>167599</v>
      </c>
      <c r="H179">
        <v>10</v>
      </c>
      <c r="I179">
        <v>60</v>
      </c>
      <c r="J179">
        <v>10</v>
      </c>
      <c r="K179">
        <v>0</v>
      </c>
      <c r="L179">
        <v>0</v>
      </c>
      <c r="M179">
        <v>80</v>
      </c>
      <c r="S179">
        <f t="shared" si="32"/>
        <v>0</v>
      </c>
      <c r="T179">
        <f t="shared" si="33"/>
        <v>6.666666666666667</v>
      </c>
      <c r="U179">
        <f t="shared" si="31"/>
        <v>1</v>
      </c>
      <c r="V179">
        <f t="shared" si="34"/>
        <v>0</v>
      </c>
      <c r="W179">
        <f t="shared" si="35"/>
        <v>1</v>
      </c>
      <c r="X179">
        <f t="shared" si="44"/>
        <v>0</v>
      </c>
      <c r="Y179">
        <f t="shared" si="45"/>
        <v>1</v>
      </c>
      <c r="Z179">
        <f t="shared" si="36"/>
        <v>0</v>
      </c>
      <c r="AA179">
        <f t="shared" si="37"/>
        <v>0</v>
      </c>
      <c r="AB179">
        <f t="shared" si="38"/>
        <v>0</v>
      </c>
      <c r="AC179">
        <f t="shared" si="39"/>
        <v>5</v>
      </c>
      <c r="AD179" s="1">
        <f t="shared" si="40"/>
        <v>10</v>
      </c>
      <c r="AE179">
        <f t="shared" si="41"/>
        <v>5</v>
      </c>
      <c r="AF179">
        <f t="shared" si="42"/>
        <v>0</v>
      </c>
      <c r="AG179">
        <f t="shared" si="43"/>
        <v>0</v>
      </c>
    </row>
    <row r="180" spans="1:33" x14ac:dyDescent="0.25">
      <c r="A180" t="s">
        <v>355</v>
      </c>
      <c r="B180" t="s">
        <v>87</v>
      </c>
      <c r="C180">
        <v>168294</v>
      </c>
      <c r="D180">
        <v>168294</v>
      </c>
      <c r="H180">
        <v>10</v>
      </c>
      <c r="I180">
        <v>60</v>
      </c>
      <c r="J180">
        <v>10</v>
      </c>
      <c r="K180">
        <v>10</v>
      </c>
      <c r="L180">
        <v>10</v>
      </c>
      <c r="M180">
        <v>100</v>
      </c>
      <c r="S180">
        <f t="shared" si="32"/>
        <v>0</v>
      </c>
      <c r="T180">
        <f t="shared" si="33"/>
        <v>8.3333333333333339</v>
      </c>
      <c r="U180">
        <f t="shared" si="31"/>
        <v>1</v>
      </c>
      <c r="V180">
        <f t="shared" si="34"/>
        <v>0</v>
      </c>
      <c r="W180">
        <f t="shared" si="35"/>
        <v>1</v>
      </c>
      <c r="X180">
        <f t="shared" si="44"/>
        <v>0</v>
      </c>
      <c r="Y180">
        <f t="shared" si="45"/>
        <v>1</v>
      </c>
      <c r="Z180">
        <f t="shared" si="36"/>
        <v>0</v>
      </c>
      <c r="AA180">
        <f t="shared" si="37"/>
        <v>0</v>
      </c>
      <c r="AB180">
        <f t="shared" si="38"/>
        <v>0</v>
      </c>
      <c r="AC180">
        <f t="shared" si="39"/>
        <v>5</v>
      </c>
      <c r="AD180" s="1">
        <f t="shared" si="40"/>
        <v>10</v>
      </c>
      <c r="AE180">
        <f t="shared" si="41"/>
        <v>5</v>
      </c>
      <c r="AF180">
        <f t="shared" si="42"/>
        <v>10</v>
      </c>
      <c r="AG180">
        <f t="shared" si="43"/>
        <v>10</v>
      </c>
    </row>
    <row r="181" spans="1:33" x14ac:dyDescent="0.25">
      <c r="A181" t="s">
        <v>356</v>
      </c>
      <c r="B181" t="s">
        <v>270</v>
      </c>
      <c r="C181">
        <v>160102</v>
      </c>
      <c r="D181">
        <v>160102</v>
      </c>
      <c r="S181">
        <f t="shared" si="32"/>
        <v>0</v>
      </c>
      <c r="T181">
        <f t="shared" si="33"/>
        <v>0</v>
      </c>
      <c r="U181">
        <f t="shared" si="31"/>
        <v>0</v>
      </c>
      <c r="V181">
        <f t="shared" si="34"/>
        <v>0</v>
      </c>
      <c r="W181">
        <f t="shared" si="35"/>
        <v>0</v>
      </c>
      <c r="X181">
        <f t="shared" si="44"/>
        <v>0</v>
      </c>
      <c r="Y181">
        <f t="shared" si="45"/>
        <v>0</v>
      </c>
      <c r="Z181">
        <f t="shared" si="36"/>
        <v>0</v>
      </c>
      <c r="AA181">
        <f t="shared" si="37"/>
        <v>0</v>
      </c>
      <c r="AB181">
        <f t="shared" si="38"/>
        <v>0</v>
      </c>
      <c r="AC181">
        <f t="shared" si="39"/>
        <v>0</v>
      </c>
      <c r="AD181" s="1">
        <f t="shared" si="40"/>
        <v>0</v>
      </c>
      <c r="AE181">
        <f t="shared" si="41"/>
        <v>0</v>
      </c>
      <c r="AF181">
        <f t="shared" si="42"/>
        <v>0</v>
      </c>
      <c r="AG181">
        <f t="shared" si="43"/>
        <v>0</v>
      </c>
    </row>
    <row r="182" spans="1:33" x14ac:dyDescent="0.25">
      <c r="A182" t="s">
        <v>357</v>
      </c>
      <c r="B182" t="s">
        <v>358</v>
      </c>
      <c r="C182">
        <v>166429</v>
      </c>
      <c r="D182">
        <v>166429</v>
      </c>
      <c r="E182">
        <v>30</v>
      </c>
      <c r="F182">
        <v>40</v>
      </c>
      <c r="G182">
        <v>30</v>
      </c>
      <c r="O182">
        <v>100</v>
      </c>
      <c r="S182">
        <f t="shared" si="32"/>
        <v>6.25</v>
      </c>
      <c r="T182">
        <f t="shared" si="33"/>
        <v>0</v>
      </c>
      <c r="U182">
        <f t="shared" si="31"/>
        <v>1</v>
      </c>
      <c r="V182">
        <f t="shared" si="34"/>
        <v>1</v>
      </c>
      <c r="W182">
        <f t="shared" si="35"/>
        <v>0</v>
      </c>
      <c r="X182">
        <f t="shared" si="44"/>
        <v>1</v>
      </c>
      <c r="Y182">
        <f t="shared" si="45"/>
        <v>0</v>
      </c>
      <c r="Z182">
        <f t="shared" si="36"/>
        <v>6</v>
      </c>
      <c r="AA182">
        <f t="shared" si="37"/>
        <v>10</v>
      </c>
      <c r="AB182">
        <f t="shared" si="38"/>
        <v>4.2857142857142856</v>
      </c>
      <c r="AC182">
        <f t="shared" si="39"/>
        <v>0</v>
      </c>
      <c r="AD182" s="1">
        <f t="shared" si="40"/>
        <v>0</v>
      </c>
      <c r="AE182">
        <f t="shared" si="41"/>
        <v>0</v>
      </c>
      <c r="AF182">
        <f t="shared" si="42"/>
        <v>0</v>
      </c>
      <c r="AG182">
        <f t="shared" si="43"/>
        <v>0</v>
      </c>
    </row>
    <row r="183" spans="1:33" x14ac:dyDescent="0.25">
      <c r="A183" t="s">
        <v>359</v>
      </c>
      <c r="B183" t="s">
        <v>79</v>
      </c>
      <c r="C183">
        <v>164198</v>
      </c>
      <c r="D183">
        <v>164198</v>
      </c>
      <c r="S183">
        <f t="shared" si="32"/>
        <v>0</v>
      </c>
      <c r="T183">
        <f t="shared" si="33"/>
        <v>0</v>
      </c>
      <c r="U183">
        <f t="shared" si="31"/>
        <v>0</v>
      </c>
      <c r="V183">
        <f t="shared" si="34"/>
        <v>0</v>
      </c>
      <c r="W183">
        <f t="shared" si="35"/>
        <v>0</v>
      </c>
      <c r="X183">
        <f t="shared" si="44"/>
        <v>0</v>
      </c>
      <c r="Y183">
        <f t="shared" si="45"/>
        <v>0</v>
      </c>
      <c r="Z183">
        <f t="shared" si="36"/>
        <v>0</v>
      </c>
      <c r="AA183">
        <f t="shared" si="37"/>
        <v>0</v>
      </c>
      <c r="AB183">
        <f t="shared" si="38"/>
        <v>0</v>
      </c>
      <c r="AC183">
        <f t="shared" si="39"/>
        <v>0</v>
      </c>
      <c r="AD183" s="1">
        <f t="shared" si="40"/>
        <v>0</v>
      </c>
      <c r="AE183">
        <f t="shared" si="41"/>
        <v>0</v>
      </c>
      <c r="AF183">
        <f t="shared" si="42"/>
        <v>0</v>
      </c>
      <c r="AG183">
        <f t="shared" si="43"/>
        <v>0</v>
      </c>
    </row>
    <row r="184" spans="1:33" x14ac:dyDescent="0.25">
      <c r="A184" t="s">
        <v>360</v>
      </c>
      <c r="B184" t="s">
        <v>361</v>
      </c>
      <c r="C184">
        <v>166854</v>
      </c>
      <c r="D184">
        <v>166854</v>
      </c>
      <c r="E184">
        <v>30</v>
      </c>
      <c r="F184">
        <v>30</v>
      </c>
      <c r="G184">
        <v>40</v>
      </c>
      <c r="O184">
        <v>100</v>
      </c>
      <c r="S184">
        <f t="shared" si="32"/>
        <v>6.25</v>
      </c>
      <c r="T184">
        <f t="shared" si="33"/>
        <v>0</v>
      </c>
      <c r="U184">
        <f t="shared" si="31"/>
        <v>1</v>
      </c>
      <c r="V184">
        <f t="shared" si="34"/>
        <v>1</v>
      </c>
      <c r="W184">
        <f t="shared" si="35"/>
        <v>0</v>
      </c>
      <c r="X184">
        <f t="shared" si="44"/>
        <v>1</v>
      </c>
      <c r="Y184">
        <f t="shared" si="45"/>
        <v>0</v>
      </c>
      <c r="Z184">
        <f t="shared" si="36"/>
        <v>6</v>
      </c>
      <c r="AA184">
        <f t="shared" si="37"/>
        <v>7.5</v>
      </c>
      <c r="AB184">
        <f t="shared" si="38"/>
        <v>5.7142857142857144</v>
      </c>
      <c r="AC184">
        <f t="shared" si="39"/>
        <v>0</v>
      </c>
      <c r="AD184" s="1">
        <f t="shared" si="40"/>
        <v>0</v>
      </c>
      <c r="AE184">
        <f t="shared" si="41"/>
        <v>0</v>
      </c>
      <c r="AF184">
        <f t="shared" si="42"/>
        <v>0</v>
      </c>
      <c r="AG184">
        <f t="shared" si="43"/>
        <v>0</v>
      </c>
    </row>
    <row r="185" spans="1:33" x14ac:dyDescent="0.25">
      <c r="A185" t="s">
        <v>362</v>
      </c>
      <c r="B185" t="s">
        <v>363</v>
      </c>
      <c r="C185">
        <v>166054</v>
      </c>
      <c r="D185">
        <v>166054</v>
      </c>
      <c r="H185">
        <v>10</v>
      </c>
      <c r="I185">
        <v>30</v>
      </c>
      <c r="J185">
        <v>10</v>
      </c>
      <c r="K185">
        <v>0</v>
      </c>
      <c r="L185">
        <v>0</v>
      </c>
      <c r="M185">
        <v>50</v>
      </c>
      <c r="S185">
        <f t="shared" si="32"/>
        <v>0</v>
      </c>
      <c r="T185">
        <f t="shared" si="33"/>
        <v>4.166666666666667</v>
      </c>
      <c r="U185">
        <f t="shared" si="31"/>
        <v>1</v>
      </c>
      <c r="V185">
        <f t="shared" si="34"/>
        <v>0</v>
      </c>
      <c r="W185">
        <f t="shared" si="35"/>
        <v>1</v>
      </c>
      <c r="X185">
        <f t="shared" si="44"/>
        <v>0</v>
      </c>
      <c r="Y185">
        <f t="shared" si="45"/>
        <v>0</v>
      </c>
      <c r="Z185">
        <f t="shared" si="36"/>
        <v>0</v>
      </c>
      <c r="AA185">
        <f t="shared" si="37"/>
        <v>0</v>
      </c>
      <c r="AB185">
        <f t="shared" si="38"/>
        <v>0</v>
      </c>
      <c r="AC185">
        <f t="shared" si="39"/>
        <v>5</v>
      </c>
      <c r="AD185" s="1">
        <f t="shared" si="40"/>
        <v>5</v>
      </c>
      <c r="AE185">
        <f t="shared" si="41"/>
        <v>5</v>
      </c>
      <c r="AF185">
        <f t="shared" si="42"/>
        <v>0</v>
      </c>
      <c r="AG185">
        <f t="shared" si="43"/>
        <v>0</v>
      </c>
    </row>
    <row r="186" spans="1:33" x14ac:dyDescent="0.25">
      <c r="A186" t="s">
        <v>364</v>
      </c>
      <c r="B186" t="s">
        <v>365</v>
      </c>
      <c r="C186">
        <v>168318</v>
      </c>
      <c r="D186">
        <v>168318</v>
      </c>
      <c r="E186">
        <v>10</v>
      </c>
      <c r="F186">
        <v>0</v>
      </c>
      <c r="G186">
        <v>0</v>
      </c>
      <c r="O186">
        <v>10</v>
      </c>
      <c r="R186" t="s">
        <v>20</v>
      </c>
      <c r="S186">
        <f t="shared" si="32"/>
        <v>0.625</v>
      </c>
      <c r="T186">
        <f t="shared" si="33"/>
        <v>0</v>
      </c>
      <c r="U186">
        <f t="shared" si="31"/>
        <v>1</v>
      </c>
      <c r="V186">
        <f t="shared" si="34"/>
        <v>1</v>
      </c>
      <c r="W186">
        <f t="shared" si="35"/>
        <v>0</v>
      </c>
      <c r="X186">
        <f t="shared" si="44"/>
        <v>0</v>
      </c>
      <c r="Y186">
        <f t="shared" si="45"/>
        <v>0</v>
      </c>
      <c r="Z186">
        <f t="shared" si="36"/>
        <v>2</v>
      </c>
      <c r="AA186">
        <f t="shared" si="37"/>
        <v>0</v>
      </c>
      <c r="AB186">
        <f t="shared" si="38"/>
        <v>0</v>
      </c>
      <c r="AC186">
        <f t="shared" si="39"/>
        <v>0</v>
      </c>
      <c r="AD186" s="1">
        <f t="shared" si="40"/>
        <v>0</v>
      </c>
      <c r="AE186">
        <f t="shared" si="41"/>
        <v>0</v>
      </c>
      <c r="AF186">
        <f t="shared" si="42"/>
        <v>0</v>
      </c>
      <c r="AG186">
        <f t="shared" si="43"/>
        <v>0</v>
      </c>
    </row>
    <row r="187" spans="1:33" x14ac:dyDescent="0.25">
      <c r="A187" t="s">
        <v>366</v>
      </c>
      <c r="B187" t="s">
        <v>367</v>
      </c>
      <c r="C187">
        <v>164931</v>
      </c>
      <c r="D187">
        <v>164931</v>
      </c>
      <c r="E187">
        <v>10</v>
      </c>
      <c r="F187">
        <v>20</v>
      </c>
      <c r="G187">
        <v>30</v>
      </c>
      <c r="O187">
        <v>60</v>
      </c>
      <c r="S187">
        <f t="shared" si="32"/>
        <v>3.75</v>
      </c>
      <c r="T187">
        <f t="shared" si="33"/>
        <v>0</v>
      </c>
      <c r="U187">
        <f t="shared" si="31"/>
        <v>1</v>
      </c>
      <c r="V187">
        <f t="shared" si="34"/>
        <v>1</v>
      </c>
      <c r="W187">
        <f t="shared" si="35"/>
        <v>0</v>
      </c>
      <c r="X187">
        <f t="shared" si="44"/>
        <v>0</v>
      </c>
      <c r="Y187">
        <f t="shared" si="45"/>
        <v>0</v>
      </c>
      <c r="Z187">
        <f t="shared" si="36"/>
        <v>2</v>
      </c>
      <c r="AA187">
        <f t="shared" si="37"/>
        <v>5</v>
      </c>
      <c r="AB187">
        <f t="shared" si="38"/>
        <v>4.2857142857142856</v>
      </c>
      <c r="AC187">
        <f t="shared" si="39"/>
        <v>0</v>
      </c>
      <c r="AD187" s="1">
        <f t="shared" si="40"/>
        <v>0</v>
      </c>
      <c r="AE187">
        <f t="shared" si="41"/>
        <v>0</v>
      </c>
      <c r="AF187">
        <f t="shared" si="42"/>
        <v>0</v>
      </c>
      <c r="AG187">
        <f t="shared" si="43"/>
        <v>0</v>
      </c>
    </row>
    <row r="188" spans="1:33" x14ac:dyDescent="0.25">
      <c r="A188" t="s">
        <v>368</v>
      </c>
      <c r="B188" t="s">
        <v>121</v>
      </c>
      <c r="C188">
        <v>166730</v>
      </c>
      <c r="D188">
        <v>166730</v>
      </c>
      <c r="S188">
        <f t="shared" si="32"/>
        <v>0</v>
      </c>
      <c r="T188">
        <f t="shared" si="33"/>
        <v>0</v>
      </c>
      <c r="U188">
        <f t="shared" si="31"/>
        <v>0</v>
      </c>
      <c r="V188">
        <f t="shared" si="34"/>
        <v>0</v>
      </c>
      <c r="W188">
        <f t="shared" si="35"/>
        <v>0</v>
      </c>
      <c r="X188">
        <f t="shared" si="44"/>
        <v>0</v>
      </c>
      <c r="Y188">
        <f t="shared" si="45"/>
        <v>0</v>
      </c>
      <c r="Z188">
        <f t="shared" si="36"/>
        <v>0</v>
      </c>
      <c r="AA188">
        <f t="shared" si="37"/>
        <v>0</v>
      </c>
      <c r="AB188">
        <f t="shared" si="38"/>
        <v>0</v>
      </c>
      <c r="AC188">
        <f t="shared" si="39"/>
        <v>0</v>
      </c>
      <c r="AD188" s="1">
        <f t="shared" si="40"/>
        <v>0</v>
      </c>
      <c r="AE188">
        <f t="shared" si="41"/>
        <v>0</v>
      </c>
      <c r="AF188">
        <f t="shared" si="42"/>
        <v>0</v>
      </c>
      <c r="AG188">
        <f t="shared" si="43"/>
        <v>0</v>
      </c>
    </row>
    <row r="189" spans="1:33" x14ac:dyDescent="0.25">
      <c r="A189" t="s">
        <v>369</v>
      </c>
      <c r="B189" t="s">
        <v>370</v>
      </c>
      <c r="C189">
        <v>167649</v>
      </c>
      <c r="D189">
        <v>167649</v>
      </c>
      <c r="H189">
        <v>0</v>
      </c>
      <c r="I189">
        <v>20</v>
      </c>
      <c r="J189">
        <v>20</v>
      </c>
      <c r="K189">
        <v>10</v>
      </c>
      <c r="L189">
        <v>10</v>
      </c>
      <c r="M189">
        <v>60</v>
      </c>
      <c r="S189">
        <f t="shared" si="32"/>
        <v>0</v>
      </c>
      <c r="T189">
        <f t="shared" si="33"/>
        <v>5</v>
      </c>
      <c r="U189">
        <f t="shared" si="31"/>
        <v>1</v>
      </c>
      <c r="V189">
        <f t="shared" si="34"/>
        <v>0</v>
      </c>
      <c r="W189">
        <f t="shared" si="35"/>
        <v>1</v>
      </c>
      <c r="X189">
        <f t="shared" si="44"/>
        <v>0</v>
      </c>
      <c r="Y189">
        <f t="shared" si="45"/>
        <v>0</v>
      </c>
      <c r="Z189">
        <f t="shared" si="36"/>
        <v>0</v>
      </c>
      <c r="AA189">
        <f t="shared" si="37"/>
        <v>0</v>
      </c>
      <c r="AB189">
        <f t="shared" si="38"/>
        <v>0</v>
      </c>
      <c r="AC189">
        <f t="shared" si="39"/>
        <v>0</v>
      </c>
      <c r="AD189" s="1">
        <f t="shared" si="40"/>
        <v>3.3333333333333335</v>
      </c>
      <c r="AE189">
        <f t="shared" si="41"/>
        <v>10</v>
      </c>
      <c r="AF189">
        <f t="shared" si="42"/>
        <v>10</v>
      </c>
      <c r="AG189">
        <f t="shared" si="43"/>
        <v>10</v>
      </c>
    </row>
    <row r="190" spans="1:33" x14ac:dyDescent="0.25">
      <c r="A190" t="s">
        <v>371</v>
      </c>
      <c r="B190" t="s">
        <v>372</v>
      </c>
      <c r="C190">
        <v>168073</v>
      </c>
      <c r="D190">
        <v>168073</v>
      </c>
      <c r="H190">
        <v>10</v>
      </c>
      <c r="I190">
        <v>50</v>
      </c>
      <c r="J190">
        <v>10</v>
      </c>
      <c r="K190">
        <v>10</v>
      </c>
      <c r="L190">
        <v>10</v>
      </c>
      <c r="M190">
        <v>90</v>
      </c>
      <c r="S190">
        <f t="shared" si="32"/>
        <v>0</v>
      </c>
      <c r="T190">
        <f t="shared" si="33"/>
        <v>7.5</v>
      </c>
      <c r="U190">
        <f t="shared" si="31"/>
        <v>1</v>
      </c>
      <c r="V190">
        <f t="shared" si="34"/>
        <v>0</v>
      </c>
      <c r="W190">
        <f t="shared" si="35"/>
        <v>1</v>
      </c>
      <c r="X190">
        <f t="shared" si="44"/>
        <v>0</v>
      </c>
      <c r="Y190">
        <f t="shared" si="45"/>
        <v>1</v>
      </c>
      <c r="Z190">
        <f t="shared" si="36"/>
        <v>0</v>
      </c>
      <c r="AA190">
        <f t="shared" si="37"/>
        <v>0</v>
      </c>
      <c r="AB190">
        <f t="shared" si="38"/>
        <v>0</v>
      </c>
      <c r="AC190">
        <f t="shared" si="39"/>
        <v>5</v>
      </c>
      <c r="AD190" s="1">
        <f t="shared" si="40"/>
        <v>8.3333333333333339</v>
      </c>
      <c r="AE190">
        <f t="shared" si="41"/>
        <v>5</v>
      </c>
      <c r="AF190">
        <f t="shared" si="42"/>
        <v>10</v>
      </c>
      <c r="AG190">
        <f t="shared" si="43"/>
        <v>10</v>
      </c>
    </row>
    <row r="191" spans="1:33" x14ac:dyDescent="0.25">
      <c r="A191" t="s">
        <v>373</v>
      </c>
      <c r="B191" t="s">
        <v>374</v>
      </c>
      <c r="C191">
        <v>167251</v>
      </c>
      <c r="D191">
        <v>167251</v>
      </c>
      <c r="E191">
        <v>50</v>
      </c>
      <c r="F191">
        <v>30</v>
      </c>
      <c r="G191">
        <v>40</v>
      </c>
      <c r="O191">
        <v>120</v>
      </c>
      <c r="S191">
        <f t="shared" si="32"/>
        <v>7.5</v>
      </c>
      <c r="T191">
        <f t="shared" si="33"/>
        <v>0</v>
      </c>
      <c r="U191">
        <f t="shared" si="31"/>
        <v>1</v>
      </c>
      <c r="V191">
        <f t="shared" si="34"/>
        <v>1</v>
      </c>
      <c r="W191">
        <f t="shared" si="35"/>
        <v>0</v>
      </c>
      <c r="X191">
        <f t="shared" si="44"/>
        <v>1</v>
      </c>
      <c r="Y191">
        <f t="shared" si="45"/>
        <v>0</v>
      </c>
      <c r="Z191">
        <f t="shared" si="36"/>
        <v>10</v>
      </c>
      <c r="AA191">
        <f t="shared" si="37"/>
        <v>7.5</v>
      </c>
      <c r="AB191">
        <f t="shared" si="38"/>
        <v>5.7142857142857144</v>
      </c>
      <c r="AC191">
        <f t="shared" si="39"/>
        <v>0</v>
      </c>
      <c r="AD191" s="1">
        <f t="shared" si="40"/>
        <v>0</v>
      </c>
      <c r="AE191">
        <f t="shared" si="41"/>
        <v>0</v>
      </c>
      <c r="AF191">
        <f t="shared" si="42"/>
        <v>0</v>
      </c>
      <c r="AG191">
        <f t="shared" si="43"/>
        <v>0</v>
      </c>
    </row>
    <row r="192" spans="1:33" x14ac:dyDescent="0.25">
      <c r="A192" t="s">
        <v>375</v>
      </c>
      <c r="B192" t="s">
        <v>197</v>
      </c>
      <c r="C192">
        <v>167753</v>
      </c>
      <c r="D192">
        <v>167753</v>
      </c>
      <c r="E192">
        <v>0</v>
      </c>
      <c r="F192">
        <v>30</v>
      </c>
      <c r="G192">
        <v>40</v>
      </c>
      <c r="O192">
        <v>70</v>
      </c>
      <c r="S192">
        <f t="shared" si="32"/>
        <v>4.375</v>
      </c>
      <c r="T192">
        <f t="shared" si="33"/>
        <v>0</v>
      </c>
      <c r="U192">
        <f t="shared" si="31"/>
        <v>1</v>
      </c>
      <c r="V192">
        <f t="shared" si="34"/>
        <v>1</v>
      </c>
      <c r="W192">
        <f t="shared" si="35"/>
        <v>0</v>
      </c>
      <c r="X192">
        <f t="shared" si="44"/>
        <v>0</v>
      </c>
      <c r="Y192">
        <f t="shared" si="45"/>
        <v>0</v>
      </c>
      <c r="Z192">
        <f t="shared" si="36"/>
        <v>0</v>
      </c>
      <c r="AA192">
        <f t="shared" si="37"/>
        <v>7.5</v>
      </c>
      <c r="AB192">
        <f t="shared" si="38"/>
        <v>5.7142857142857144</v>
      </c>
      <c r="AC192">
        <f t="shared" si="39"/>
        <v>0</v>
      </c>
      <c r="AD192" s="1">
        <f t="shared" si="40"/>
        <v>0</v>
      </c>
      <c r="AE192">
        <f t="shared" si="41"/>
        <v>0</v>
      </c>
      <c r="AF192">
        <f t="shared" si="42"/>
        <v>0</v>
      </c>
      <c r="AG192">
        <f t="shared" si="43"/>
        <v>0</v>
      </c>
    </row>
    <row r="193" spans="1:33" x14ac:dyDescent="0.25">
      <c r="A193" t="s">
        <v>376</v>
      </c>
      <c r="B193" t="s">
        <v>377</v>
      </c>
      <c r="C193">
        <v>166485</v>
      </c>
      <c r="D193">
        <v>166485</v>
      </c>
      <c r="E193">
        <v>30</v>
      </c>
      <c r="F193">
        <v>40</v>
      </c>
      <c r="G193">
        <v>40</v>
      </c>
      <c r="O193">
        <v>110</v>
      </c>
      <c r="S193">
        <f t="shared" si="32"/>
        <v>6.875</v>
      </c>
      <c r="T193">
        <f t="shared" si="33"/>
        <v>0</v>
      </c>
      <c r="U193">
        <f t="shared" si="31"/>
        <v>1</v>
      </c>
      <c r="V193">
        <f t="shared" si="34"/>
        <v>1</v>
      </c>
      <c r="W193">
        <f t="shared" si="35"/>
        <v>0</v>
      </c>
      <c r="X193">
        <f t="shared" si="44"/>
        <v>1</v>
      </c>
      <c r="Y193">
        <f t="shared" si="45"/>
        <v>0</v>
      </c>
      <c r="Z193">
        <f t="shared" si="36"/>
        <v>6</v>
      </c>
      <c r="AA193">
        <f t="shared" si="37"/>
        <v>10</v>
      </c>
      <c r="AB193">
        <f t="shared" si="38"/>
        <v>5.7142857142857144</v>
      </c>
      <c r="AC193">
        <f t="shared" si="39"/>
        <v>0</v>
      </c>
      <c r="AD193" s="1">
        <f t="shared" si="40"/>
        <v>0</v>
      </c>
      <c r="AE193">
        <f t="shared" si="41"/>
        <v>0</v>
      </c>
      <c r="AF193">
        <f t="shared" si="42"/>
        <v>0</v>
      </c>
      <c r="AG193">
        <f t="shared" si="43"/>
        <v>0</v>
      </c>
    </row>
    <row r="194" spans="1:33" x14ac:dyDescent="0.25">
      <c r="A194" t="s">
        <v>378</v>
      </c>
      <c r="B194" t="s">
        <v>379</v>
      </c>
      <c r="C194">
        <v>167483</v>
      </c>
      <c r="D194">
        <v>167483</v>
      </c>
      <c r="E194">
        <v>20</v>
      </c>
      <c r="F194">
        <v>10</v>
      </c>
      <c r="G194">
        <v>20</v>
      </c>
      <c r="O194">
        <v>50</v>
      </c>
      <c r="S194">
        <f t="shared" si="32"/>
        <v>3.125</v>
      </c>
      <c r="T194">
        <f t="shared" si="33"/>
        <v>0</v>
      </c>
      <c r="U194">
        <f t="shared" ref="U194:U257" si="46">IF(AND(E194="",F194="",G194="",H194="",I194="",J194="",K194="",L194="",M194=""),0,1)</f>
        <v>1</v>
      </c>
      <c r="V194">
        <f t="shared" si="34"/>
        <v>1</v>
      </c>
      <c r="W194">
        <f t="shared" si="35"/>
        <v>0</v>
      </c>
      <c r="X194">
        <f t="shared" si="44"/>
        <v>0</v>
      </c>
      <c r="Y194">
        <f t="shared" si="45"/>
        <v>0</v>
      </c>
      <c r="Z194">
        <f t="shared" si="36"/>
        <v>4</v>
      </c>
      <c r="AA194">
        <f t="shared" si="37"/>
        <v>2.5</v>
      </c>
      <c r="AB194">
        <f t="shared" si="38"/>
        <v>2.8571428571428572</v>
      </c>
      <c r="AC194">
        <f t="shared" si="39"/>
        <v>0</v>
      </c>
      <c r="AD194" s="1">
        <f t="shared" si="40"/>
        <v>0</v>
      </c>
      <c r="AE194">
        <f t="shared" si="41"/>
        <v>0</v>
      </c>
      <c r="AF194">
        <f t="shared" si="42"/>
        <v>0</v>
      </c>
      <c r="AG194">
        <f t="shared" si="43"/>
        <v>0</v>
      </c>
    </row>
    <row r="195" spans="1:33" x14ac:dyDescent="0.25">
      <c r="A195" t="s">
        <v>380</v>
      </c>
      <c r="B195" t="s">
        <v>381</v>
      </c>
      <c r="C195">
        <v>165981</v>
      </c>
      <c r="D195">
        <v>165981</v>
      </c>
      <c r="H195">
        <v>10</v>
      </c>
      <c r="I195">
        <v>20</v>
      </c>
      <c r="J195">
        <v>10</v>
      </c>
      <c r="K195">
        <v>0</v>
      </c>
      <c r="L195">
        <v>0</v>
      </c>
      <c r="M195">
        <v>40</v>
      </c>
      <c r="S195">
        <f t="shared" ref="S195:S258" si="47">O195/16</f>
        <v>0</v>
      </c>
      <c r="T195">
        <f t="shared" ref="T195:T258" si="48">M195/12</f>
        <v>3.3333333333333335</v>
      </c>
      <c r="U195">
        <f t="shared" si="46"/>
        <v>1</v>
      </c>
      <c r="V195">
        <f t="shared" ref="V195:V258" si="49">IF(O195="",0,1)</f>
        <v>0</v>
      </c>
      <c r="W195">
        <f t="shared" ref="W195:W258" si="50">IF(M195="",0,1)</f>
        <v>1</v>
      </c>
      <c r="X195">
        <f t="shared" si="44"/>
        <v>0</v>
      </c>
      <c r="Y195">
        <f t="shared" si="45"/>
        <v>0</v>
      </c>
      <c r="Z195">
        <f t="shared" ref="Z195:Z258" si="51">E195/5</f>
        <v>0</v>
      </c>
      <c r="AA195">
        <f t="shared" ref="AA195:AA258" si="52">F195/4</f>
        <v>0</v>
      </c>
      <c r="AB195">
        <f t="shared" ref="AB195:AB258" si="53">G195/7</f>
        <v>0</v>
      </c>
      <c r="AC195">
        <f t="shared" ref="AC195:AC258" si="54">H195/2</f>
        <v>5</v>
      </c>
      <c r="AD195" s="1">
        <f t="shared" ref="AD195:AD258" si="55">I195/6</f>
        <v>3.3333333333333335</v>
      </c>
      <c r="AE195">
        <f t="shared" ref="AE195:AE258" si="56">J195/2</f>
        <v>5</v>
      </c>
      <c r="AF195">
        <f t="shared" ref="AF195:AF258" si="57">K195</f>
        <v>0</v>
      </c>
      <c r="AG195">
        <f t="shared" ref="AG195:AG258" si="58">L195</f>
        <v>0</v>
      </c>
    </row>
    <row r="196" spans="1:33" x14ac:dyDescent="0.25">
      <c r="A196" t="s">
        <v>382</v>
      </c>
      <c r="B196" t="s">
        <v>166</v>
      </c>
      <c r="C196">
        <v>167109</v>
      </c>
      <c r="D196">
        <v>167109</v>
      </c>
      <c r="E196">
        <v>50</v>
      </c>
      <c r="F196">
        <v>30</v>
      </c>
      <c r="G196">
        <v>40</v>
      </c>
      <c r="N196" t="s">
        <v>20</v>
      </c>
      <c r="O196">
        <v>120</v>
      </c>
      <c r="S196">
        <f t="shared" si="47"/>
        <v>7.5</v>
      </c>
      <c r="T196">
        <f t="shared" si="48"/>
        <v>0</v>
      </c>
      <c r="U196">
        <f t="shared" si="46"/>
        <v>1</v>
      </c>
      <c r="V196">
        <f t="shared" si="49"/>
        <v>1</v>
      </c>
      <c r="W196">
        <f t="shared" si="50"/>
        <v>0</v>
      </c>
      <c r="X196">
        <f t="shared" si="44"/>
        <v>1</v>
      </c>
      <c r="Y196">
        <f t="shared" si="45"/>
        <v>0</v>
      </c>
      <c r="Z196">
        <f t="shared" si="51"/>
        <v>10</v>
      </c>
      <c r="AA196">
        <f t="shared" si="52"/>
        <v>7.5</v>
      </c>
      <c r="AB196">
        <f t="shared" si="53"/>
        <v>5.7142857142857144</v>
      </c>
      <c r="AC196">
        <f t="shared" si="54"/>
        <v>0</v>
      </c>
      <c r="AD196" s="1">
        <f t="shared" si="55"/>
        <v>0</v>
      </c>
      <c r="AE196">
        <f t="shared" si="56"/>
        <v>0</v>
      </c>
      <c r="AF196">
        <f t="shared" si="57"/>
        <v>0</v>
      </c>
      <c r="AG196">
        <f t="shared" si="58"/>
        <v>0</v>
      </c>
    </row>
    <row r="197" spans="1:33" x14ac:dyDescent="0.25">
      <c r="A197" t="s">
        <v>383</v>
      </c>
      <c r="B197" t="s">
        <v>130</v>
      </c>
      <c r="C197">
        <v>166315</v>
      </c>
      <c r="D197">
        <v>166315</v>
      </c>
      <c r="E197">
        <v>10</v>
      </c>
      <c r="F197">
        <v>20</v>
      </c>
      <c r="G197">
        <v>50</v>
      </c>
      <c r="O197">
        <v>80</v>
      </c>
      <c r="S197">
        <f t="shared" si="47"/>
        <v>5</v>
      </c>
      <c r="T197">
        <f t="shared" si="48"/>
        <v>0</v>
      </c>
      <c r="U197">
        <f t="shared" si="46"/>
        <v>1</v>
      </c>
      <c r="V197">
        <f t="shared" si="49"/>
        <v>1</v>
      </c>
      <c r="W197">
        <f t="shared" si="50"/>
        <v>0</v>
      </c>
      <c r="X197">
        <f t="shared" ref="X197:X260" si="59">IF(AND(V197=1,S197&gt;6),1,0)</f>
        <v>0</v>
      </c>
      <c r="Y197">
        <f t="shared" ref="Y197:Y260" si="60">IF(AND(W197=1,T197&gt;6),1,0)</f>
        <v>0</v>
      </c>
      <c r="Z197">
        <f t="shared" si="51"/>
        <v>2</v>
      </c>
      <c r="AA197">
        <f t="shared" si="52"/>
        <v>5</v>
      </c>
      <c r="AB197">
        <f t="shared" si="53"/>
        <v>7.1428571428571432</v>
      </c>
      <c r="AC197">
        <f t="shared" si="54"/>
        <v>0</v>
      </c>
      <c r="AD197" s="1">
        <f t="shared" si="55"/>
        <v>0</v>
      </c>
      <c r="AE197">
        <f t="shared" si="56"/>
        <v>0</v>
      </c>
      <c r="AF197">
        <f t="shared" si="57"/>
        <v>0</v>
      </c>
      <c r="AG197">
        <f t="shared" si="58"/>
        <v>0</v>
      </c>
    </row>
    <row r="198" spans="1:33" x14ac:dyDescent="0.25">
      <c r="A198" t="s">
        <v>384</v>
      </c>
      <c r="B198" t="s">
        <v>385</v>
      </c>
      <c r="C198">
        <v>167138</v>
      </c>
      <c r="D198">
        <v>167138</v>
      </c>
      <c r="H198">
        <v>10</v>
      </c>
      <c r="I198">
        <v>60</v>
      </c>
      <c r="J198">
        <v>10</v>
      </c>
      <c r="K198">
        <v>10</v>
      </c>
      <c r="L198">
        <v>10</v>
      </c>
      <c r="M198">
        <v>100</v>
      </c>
      <c r="S198">
        <f t="shared" si="47"/>
        <v>0</v>
      </c>
      <c r="T198">
        <f t="shared" si="48"/>
        <v>8.3333333333333339</v>
      </c>
      <c r="U198">
        <f t="shared" si="46"/>
        <v>1</v>
      </c>
      <c r="V198">
        <f t="shared" si="49"/>
        <v>0</v>
      </c>
      <c r="W198">
        <f t="shared" si="50"/>
        <v>1</v>
      </c>
      <c r="X198">
        <f t="shared" si="59"/>
        <v>0</v>
      </c>
      <c r="Y198">
        <f t="shared" si="60"/>
        <v>1</v>
      </c>
      <c r="Z198">
        <f t="shared" si="51"/>
        <v>0</v>
      </c>
      <c r="AA198">
        <f t="shared" si="52"/>
        <v>0</v>
      </c>
      <c r="AB198">
        <f t="shared" si="53"/>
        <v>0</v>
      </c>
      <c r="AC198">
        <f t="shared" si="54"/>
        <v>5</v>
      </c>
      <c r="AD198" s="1">
        <f t="shared" si="55"/>
        <v>10</v>
      </c>
      <c r="AE198">
        <f t="shared" si="56"/>
        <v>5</v>
      </c>
      <c r="AF198">
        <f t="shared" si="57"/>
        <v>10</v>
      </c>
      <c r="AG198">
        <f t="shared" si="58"/>
        <v>10</v>
      </c>
    </row>
    <row r="199" spans="1:33" x14ac:dyDescent="0.25">
      <c r="A199" t="s">
        <v>386</v>
      </c>
      <c r="B199" t="s">
        <v>387</v>
      </c>
      <c r="C199">
        <v>166352</v>
      </c>
      <c r="D199">
        <v>166352</v>
      </c>
      <c r="H199">
        <v>10</v>
      </c>
      <c r="I199">
        <v>20</v>
      </c>
      <c r="J199">
        <v>10</v>
      </c>
      <c r="K199">
        <v>10</v>
      </c>
      <c r="L199">
        <v>10</v>
      </c>
      <c r="M199">
        <v>60</v>
      </c>
      <c r="S199">
        <f t="shared" si="47"/>
        <v>0</v>
      </c>
      <c r="T199">
        <f t="shared" si="48"/>
        <v>5</v>
      </c>
      <c r="U199">
        <f t="shared" si="46"/>
        <v>1</v>
      </c>
      <c r="V199">
        <f t="shared" si="49"/>
        <v>0</v>
      </c>
      <c r="W199">
        <f t="shared" si="50"/>
        <v>1</v>
      </c>
      <c r="X199">
        <f t="shared" si="59"/>
        <v>0</v>
      </c>
      <c r="Y199">
        <f t="shared" si="60"/>
        <v>0</v>
      </c>
      <c r="Z199">
        <f t="shared" si="51"/>
        <v>0</v>
      </c>
      <c r="AA199">
        <f t="shared" si="52"/>
        <v>0</v>
      </c>
      <c r="AB199">
        <f t="shared" si="53"/>
        <v>0</v>
      </c>
      <c r="AC199">
        <f t="shared" si="54"/>
        <v>5</v>
      </c>
      <c r="AD199" s="1">
        <f t="shared" si="55"/>
        <v>3.3333333333333335</v>
      </c>
      <c r="AE199">
        <f t="shared" si="56"/>
        <v>5</v>
      </c>
      <c r="AF199">
        <f t="shared" si="57"/>
        <v>10</v>
      </c>
      <c r="AG199">
        <f t="shared" si="58"/>
        <v>10</v>
      </c>
    </row>
    <row r="200" spans="1:33" x14ac:dyDescent="0.25">
      <c r="A200" t="s">
        <v>388</v>
      </c>
      <c r="B200" t="s">
        <v>389</v>
      </c>
      <c r="C200">
        <v>167365</v>
      </c>
      <c r="D200">
        <v>167365</v>
      </c>
      <c r="H200">
        <v>20</v>
      </c>
      <c r="I200">
        <v>50</v>
      </c>
      <c r="J200">
        <v>10</v>
      </c>
      <c r="K200">
        <v>10</v>
      </c>
      <c r="L200">
        <v>10</v>
      </c>
      <c r="M200">
        <v>100</v>
      </c>
      <c r="S200">
        <f t="shared" si="47"/>
        <v>0</v>
      </c>
      <c r="T200">
        <f t="shared" si="48"/>
        <v>8.3333333333333339</v>
      </c>
      <c r="U200">
        <f t="shared" si="46"/>
        <v>1</v>
      </c>
      <c r="V200">
        <f t="shared" si="49"/>
        <v>0</v>
      </c>
      <c r="W200">
        <f t="shared" si="50"/>
        <v>1</v>
      </c>
      <c r="X200">
        <f t="shared" si="59"/>
        <v>0</v>
      </c>
      <c r="Y200">
        <f t="shared" si="60"/>
        <v>1</v>
      </c>
      <c r="Z200">
        <f t="shared" si="51"/>
        <v>0</v>
      </c>
      <c r="AA200">
        <f t="shared" si="52"/>
        <v>0</v>
      </c>
      <c r="AB200">
        <f t="shared" si="53"/>
        <v>0</v>
      </c>
      <c r="AC200">
        <f t="shared" si="54"/>
        <v>10</v>
      </c>
      <c r="AD200" s="1">
        <f t="shared" si="55"/>
        <v>8.3333333333333339</v>
      </c>
      <c r="AE200">
        <f t="shared" si="56"/>
        <v>5</v>
      </c>
      <c r="AF200">
        <f t="shared" si="57"/>
        <v>10</v>
      </c>
      <c r="AG200">
        <f t="shared" si="58"/>
        <v>10</v>
      </c>
    </row>
    <row r="201" spans="1:33" x14ac:dyDescent="0.25">
      <c r="A201" t="s">
        <v>390</v>
      </c>
      <c r="B201" t="s">
        <v>391</v>
      </c>
      <c r="C201">
        <v>168693</v>
      </c>
      <c r="D201">
        <v>168693</v>
      </c>
      <c r="H201">
        <v>10</v>
      </c>
      <c r="I201">
        <v>50</v>
      </c>
      <c r="J201">
        <v>10</v>
      </c>
      <c r="K201">
        <v>10</v>
      </c>
      <c r="L201">
        <v>10</v>
      </c>
      <c r="M201">
        <v>90</v>
      </c>
      <c r="S201">
        <f t="shared" si="47"/>
        <v>0</v>
      </c>
      <c r="T201">
        <f t="shared" si="48"/>
        <v>7.5</v>
      </c>
      <c r="U201">
        <f t="shared" si="46"/>
        <v>1</v>
      </c>
      <c r="V201">
        <f t="shared" si="49"/>
        <v>0</v>
      </c>
      <c r="W201">
        <f t="shared" si="50"/>
        <v>1</v>
      </c>
      <c r="X201">
        <f t="shared" si="59"/>
        <v>0</v>
      </c>
      <c r="Y201">
        <f t="shared" si="60"/>
        <v>1</v>
      </c>
      <c r="Z201">
        <f t="shared" si="51"/>
        <v>0</v>
      </c>
      <c r="AA201">
        <f t="shared" si="52"/>
        <v>0</v>
      </c>
      <c r="AB201">
        <f t="shared" si="53"/>
        <v>0</v>
      </c>
      <c r="AC201">
        <f t="shared" si="54"/>
        <v>5</v>
      </c>
      <c r="AD201" s="1">
        <f t="shared" si="55"/>
        <v>8.3333333333333339</v>
      </c>
      <c r="AE201">
        <f t="shared" si="56"/>
        <v>5</v>
      </c>
      <c r="AF201">
        <f t="shared" si="57"/>
        <v>10</v>
      </c>
      <c r="AG201">
        <f t="shared" si="58"/>
        <v>10</v>
      </c>
    </row>
    <row r="202" spans="1:33" x14ac:dyDescent="0.25">
      <c r="A202" t="s">
        <v>392</v>
      </c>
      <c r="B202" t="s">
        <v>393</v>
      </c>
      <c r="C202">
        <v>165426</v>
      </c>
      <c r="D202">
        <v>165426</v>
      </c>
      <c r="E202">
        <v>50</v>
      </c>
      <c r="F202">
        <v>40</v>
      </c>
      <c r="G202">
        <v>30</v>
      </c>
      <c r="O202">
        <v>120</v>
      </c>
      <c r="S202">
        <f t="shared" si="47"/>
        <v>7.5</v>
      </c>
      <c r="T202">
        <f t="shared" si="48"/>
        <v>0</v>
      </c>
      <c r="U202">
        <f t="shared" si="46"/>
        <v>1</v>
      </c>
      <c r="V202">
        <f t="shared" si="49"/>
        <v>1</v>
      </c>
      <c r="W202">
        <f t="shared" si="50"/>
        <v>0</v>
      </c>
      <c r="X202">
        <f t="shared" si="59"/>
        <v>1</v>
      </c>
      <c r="Y202">
        <f t="shared" si="60"/>
        <v>0</v>
      </c>
      <c r="Z202">
        <f t="shared" si="51"/>
        <v>10</v>
      </c>
      <c r="AA202">
        <f t="shared" si="52"/>
        <v>10</v>
      </c>
      <c r="AB202">
        <f t="shared" si="53"/>
        <v>4.2857142857142856</v>
      </c>
      <c r="AC202">
        <f t="shared" si="54"/>
        <v>0</v>
      </c>
      <c r="AD202" s="1">
        <f t="shared" si="55"/>
        <v>0</v>
      </c>
      <c r="AE202">
        <f t="shared" si="56"/>
        <v>0</v>
      </c>
      <c r="AF202">
        <f t="shared" si="57"/>
        <v>0</v>
      </c>
      <c r="AG202">
        <f t="shared" si="58"/>
        <v>0</v>
      </c>
    </row>
    <row r="203" spans="1:33" x14ac:dyDescent="0.25">
      <c r="A203" t="s">
        <v>394</v>
      </c>
      <c r="B203" t="s">
        <v>395</v>
      </c>
      <c r="C203">
        <v>151115</v>
      </c>
      <c r="D203">
        <v>151115</v>
      </c>
      <c r="E203">
        <v>0</v>
      </c>
      <c r="F203">
        <v>10</v>
      </c>
      <c r="G203">
        <v>40</v>
      </c>
      <c r="O203">
        <v>50</v>
      </c>
      <c r="S203">
        <f t="shared" si="47"/>
        <v>3.125</v>
      </c>
      <c r="T203">
        <f t="shared" si="48"/>
        <v>0</v>
      </c>
      <c r="U203">
        <f t="shared" si="46"/>
        <v>1</v>
      </c>
      <c r="V203">
        <f t="shared" si="49"/>
        <v>1</v>
      </c>
      <c r="W203">
        <f t="shared" si="50"/>
        <v>0</v>
      </c>
      <c r="X203">
        <f t="shared" si="59"/>
        <v>0</v>
      </c>
      <c r="Y203">
        <f t="shared" si="60"/>
        <v>0</v>
      </c>
      <c r="Z203">
        <f t="shared" si="51"/>
        <v>0</v>
      </c>
      <c r="AA203">
        <f t="shared" si="52"/>
        <v>2.5</v>
      </c>
      <c r="AB203">
        <f t="shared" si="53"/>
        <v>5.7142857142857144</v>
      </c>
      <c r="AC203">
        <f t="shared" si="54"/>
        <v>0</v>
      </c>
      <c r="AD203" s="1">
        <f t="shared" si="55"/>
        <v>0</v>
      </c>
      <c r="AE203">
        <f t="shared" si="56"/>
        <v>0</v>
      </c>
      <c r="AF203">
        <f t="shared" si="57"/>
        <v>0</v>
      </c>
      <c r="AG203">
        <f t="shared" si="58"/>
        <v>0</v>
      </c>
    </row>
    <row r="204" spans="1:33" x14ac:dyDescent="0.25">
      <c r="A204" t="s">
        <v>394</v>
      </c>
      <c r="B204" t="s">
        <v>396</v>
      </c>
      <c r="C204">
        <v>164885</v>
      </c>
      <c r="D204">
        <v>164885</v>
      </c>
      <c r="E204">
        <v>20</v>
      </c>
      <c r="F204">
        <v>20</v>
      </c>
      <c r="G204">
        <v>30</v>
      </c>
      <c r="O204">
        <v>70</v>
      </c>
      <c r="S204">
        <f t="shared" si="47"/>
        <v>4.375</v>
      </c>
      <c r="T204">
        <f t="shared" si="48"/>
        <v>0</v>
      </c>
      <c r="U204">
        <f t="shared" si="46"/>
        <v>1</v>
      </c>
      <c r="V204">
        <f t="shared" si="49"/>
        <v>1</v>
      </c>
      <c r="W204">
        <f t="shared" si="50"/>
        <v>0</v>
      </c>
      <c r="X204">
        <f t="shared" si="59"/>
        <v>0</v>
      </c>
      <c r="Y204">
        <f t="shared" si="60"/>
        <v>0</v>
      </c>
      <c r="Z204">
        <f t="shared" si="51"/>
        <v>4</v>
      </c>
      <c r="AA204">
        <f t="shared" si="52"/>
        <v>5</v>
      </c>
      <c r="AB204">
        <f t="shared" si="53"/>
        <v>4.2857142857142856</v>
      </c>
      <c r="AC204">
        <f t="shared" si="54"/>
        <v>0</v>
      </c>
      <c r="AD204" s="1">
        <f t="shared" si="55"/>
        <v>0</v>
      </c>
      <c r="AE204">
        <f t="shared" si="56"/>
        <v>0</v>
      </c>
      <c r="AF204">
        <f t="shared" si="57"/>
        <v>0</v>
      </c>
      <c r="AG204">
        <f t="shared" si="58"/>
        <v>0</v>
      </c>
    </row>
    <row r="205" spans="1:33" x14ac:dyDescent="0.25">
      <c r="A205" t="s">
        <v>397</v>
      </c>
      <c r="B205" t="s">
        <v>398</v>
      </c>
      <c r="C205">
        <v>165054</v>
      </c>
      <c r="D205">
        <v>165054</v>
      </c>
      <c r="E205">
        <v>0</v>
      </c>
      <c r="F205">
        <v>20</v>
      </c>
      <c r="G205">
        <v>40</v>
      </c>
      <c r="O205">
        <v>60</v>
      </c>
      <c r="S205">
        <f t="shared" si="47"/>
        <v>3.75</v>
      </c>
      <c r="T205">
        <f t="shared" si="48"/>
        <v>0</v>
      </c>
      <c r="U205">
        <f t="shared" si="46"/>
        <v>1</v>
      </c>
      <c r="V205">
        <f t="shared" si="49"/>
        <v>1</v>
      </c>
      <c r="W205">
        <f t="shared" si="50"/>
        <v>0</v>
      </c>
      <c r="X205">
        <f t="shared" si="59"/>
        <v>0</v>
      </c>
      <c r="Y205">
        <f t="shared" si="60"/>
        <v>0</v>
      </c>
      <c r="Z205">
        <f t="shared" si="51"/>
        <v>0</v>
      </c>
      <c r="AA205">
        <f t="shared" si="52"/>
        <v>5</v>
      </c>
      <c r="AB205">
        <f t="shared" si="53"/>
        <v>5.7142857142857144</v>
      </c>
      <c r="AC205">
        <f t="shared" si="54"/>
        <v>0</v>
      </c>
      <c r="AD205" s="1">
        <f t="shared" si="55"/>
        <v>0</v>
      </c>
      <c r="AE205">
        <f t="shared" si="56"/>
        <v>0</v>
      </c>
      <c r="AF205">
        <f t="shared" si="57"/>
        <v>0</v>
      </c>
      <c r="AG205">
        <f t="shared" si="58"/>
        <v>0</v>
      </c>
    </row>
    <row r="206" spans="1:33" x14ac:dyDescent="0.25">
      <c r="A206" t="s">
        <v>399</v>
      </c>
      <c r="B206" t="s">
        <v>400</v>
      </c>
      <c r="C206">
        <v>168082</v>
      </c>
      <c r="D206">
        <v>168082</v>
      </c>
      <c r="E206">
        <v>40</v>
      </c>
      <c r="F206">
        <v>20</v>
      </c>
      <c r="G206">
        <v>30</v>
      </c>
      <c r="O206">
        <v>90</v>
      </c>
      <c r="S206">
        <f t="shared" si="47"/>
        <v>5.625</v>
      </c>
      <c r="T206">
        <f t="shared" si="48"/>
        <v>0</v>
      </c>
      <c r="U206">
        <f t="shared" si="46"/>
        <v>1</v>
      </c>
      <c r="V206">
        <f t="shared" si="49"/>
        <v>1</v>
      </c>
      <c r="W206">
        <f t="shared" si="50"/>
        <v>0</v>
      </c>
      <c r="X206">
        <f t="shared" si="59"/>
        <v>0</v>
      </c>
      <c r="Y206">
        <f t="shared" si="60"/>
        <v>0</v>
      </c>
      <c r="Z206">
        <f t="shared" si="51"/>
        <v>8</v>
      </c>
      <c r="AA206">
        <f t="shared" si="52"/>
        <v>5</v>
      </c>
      <c r="AB206">
        <f t="shared" si="53"/>
        <v>4.2857142857142856</v>
      </c>
      <c r="AC206">
        <f t="shared" si="54"/>
        <v>0</v>
      </c>
      <c r="AD206" s="1">
        <f t="shared" si="55"/>
        <v>0</v>
      </c>
      <c r="AE206">
        <f t="shared" si="56"/>
        <v>0</v>
      </c>
      <c r="AF206">
        <f t="shared" si="57"/>
        <v>0</v>
      </c>
      <c r="AG206">
        <f t="shared" si="58"/>
        <v>0</v>
      </c>
    </row>
    <row r="207" spans="1:33" x14ac:dyDescent="0.25">
      <c r="A207" t="s">
        <v>401</v>
      </c>
      <c r="B207" t="s">
        <v>402</v>
      </c>
      <c r="C207">
        <v>167445</v>
      </c>
      <c r="D207">
        <v>167445</v>
      </c>
      <c r="H207">
        <v>10</v>
      </c>
      <c r="I207">
        <v>30</v>
      </c>
      <c r="J207">
        <v>10</v>
      </c>
      <c r="K207">
        <v>10</v>
      </c>
      <c r="L207">
        <v>0</v>
      </c>
      <c r="M207">
        <v>60</v>
      </c>
      <c r="S207">
        <f t="shared" si="47"/>
        <v>0</v>
      </c>
      <c r="T207">
        <f t="shared" si="48"/>
        <v>5</v>
      </c>
      <c r="U207">
        <f t="shared" si="46"/>
        <v>1</v>
      </c>
      <c r="V207">
        <f t="shared" si="49"/>
        <v>0</v>
      </c>
      <c r="W207">
        <f t="shared" si="50"/>
        <v>1</v>
      </c>
      <c r="X207">
        <f t="shared" si="59"/>
        <v>0</v>
      </c>
      <c r="Y207">
        <f t="shared" si="60"/>
        <v>0</v>
      </c>
      <c r="Z207">
        <f t="shared" si="51"/>
        <v>0</v>
      </c>
      <c r="AA207">
        <f t="shared" si="52"/>
        <v>0</v>
      </c>
      <c r="AB207">
        <f t="shared" si="53"/>
        <v>0</v>
      </c>
      <c r="AC207">
        <f t="shared" si="54"/>
        <v>5</v>
      </c>
      <c r="AD207" s="1">
        <f t="shared" si="55"/>
        <v>5</v>
      </c>
      <c r="AE207">
        <f t="shared" si="56"/>
        <v>5</v>
      </c>
      <c r="AF207">
        <f t="shared" si="57"/>
        <v>10</v>
      </c>
      <c r="AG207">
        <f t="shared" si="58"/>
        <v>0</v>
      </c>
    </row>
    <row r="208" spans="1:33" x14ac:dyDescent="0.25">
      <c r="A208" t="s">
        <v>403</v>
      </c>
      <c r="B208" t="s">
        <v>404</v>
      </c>
      <c r="C208">
        <v>167773</v>
      </c>
      <c r="D208">
        <v>167773</v>
      </c>
      <c r="S208">
        <f t="shared" si="47"/>
        <v>0</v>
      </c>
      <c r="T208">
        <f t="shared" si="48"/>
        <v>0</v>
      </c>
      <c r="U208">
        <f t="shared" si="46"/>
        <v>0</v>
      </c>
      <c r="V208">
        <f t="shared" si="49"/>
        <v>0</v>
      </c>
      <c r="W208">
        <f t="shared" si="50"/>
        <v>0</v>
      </c>
      <c r="X208">
        <f t="shared" si="59"/>
        <v>0</v>
      </c>
      <c r="Y208">
        <f t="shared" si="60"/>
        <v>0</v>
      </c>
      <c r="Z208">
        <f t="shared" si="51"/>
        <v>0</v>
      </c>
      <c r="AA208">
        <f t="shared" si="52"/>
        <v>0</v>
      </c>
      <c r="AB208">
        <f t="shared" si="53"/>
        <v>0</v>
      </c>
      <c r="AC208">
        <f t="shared" si="54"/>
        <v>0</v>
      </c>
      <c r="AD208" s="1">
        <f t="shared" si="55"/>
        <v>0</v>
      </c>
      <c r="AE208">
        <f t="shared" si="56"/>
        <v>0</v>
      </c>
      <c r="AF208">
        <f t="shared" si="57"/>
        <v>0</v>
      </c>
      <c r="AG208">
        <f t="shared" si="58"/>
        <v>0</v>
      </c>
    </row>
    <row r="209" spans="1:33" x14ac:dyDescent="0.25">
      <c r="A209" t="s">
        <v>405</v>
      </c>
      <c r="B209" t="s">
        <v>406</v>
      </c>
      <c r="C209">
        <v>168886</v>
      </c>
      <c r="D209">
        <v>168886</v>
      </c>
      <c r="H209">
        <v>20</v>
      </c>
      <c r="I209">
        <v>30</v>
      </c>
      <c r="J209">
        <v>10</v>
      </c>
      <c r="K209">
        <v>0</v>
      </c>
      <c r="L209">
        <v>0</v>
      </c>
      <c r="M209">
        <v>60</v>
      </c>
      <c r="S209">
        <f t="shared" si="47"/>
        <v>0</v>
      </c>
      <c r="T209">
        <f t="shared" si="48"/>
        <v>5</v>
      </c>
      <c r="U209">
        <f t="shared" si="46"/>
        <v>1</v>
      </c>
      <c r="V209">
        <f t="shared" si="49"/>
        <v>0</v>
      </c>
      <c r="W209">
        <f t="shared" si="50"/>
        <v>1</v>
      </c>
      <c r="X209">
        <f t="shared" si="59"/>
        <v>0</v>
      </c>
      <c r="Y209">
        <f t="shared" si="60"/>
        <v>0</v>
      </c>
      <c r="Z209">
        <f t="shared" si="51"/>
        <v>0</v>
      </c>
      <c r="AA209">
        <f t="shared" si="52"/>
        <v>0</v>
      </c>
      <c r="AB209">
        <f t="shared" si="53"/>
        <v>0</v>
      </c>
      <c r="AC209">
        <f t="shared" si="54"/>
        <v>10</v>
      </c>
      <c r="AD209" s="1">
        <f t="shared" si="55"/>
        <v>5</v>
      </c>
      <c r="AE209">
        <f t="shared" si="56"/>
        <v>5</v>
      </c>
      <c r="AF209">
        <f t="shared" si="57"/>
        <v>0</v>
      </c>
      <c r="AG209">
        <f t="shared" si="58"/>
        <v>0</v>
      </c>
    </row>
    <row r="210" spans="1:33" x14ac:dyDescent="0.25">
      <c r="A210" t="s">
        <v>407</v>
      </c>
      <c r="B210" t="s">
        <v>408</v>
      </c>
      <c r="C210">
        <v>167868</v>
      </c>
      <c r="D210">
        <v>167868</v>
      </c>
      <c r="E210">
        <v>50</v>
      </c>
      <c r="F210">
        <v>10</v>
      </c>
      <c r="G210">
        <v>40</v>
      </c>
      <c r="O210">
        <v>100</v>
      </c>
      <c r="S210">
        <f t="shared" si="47"/>
        <v>6.25</v>
      </c>
      <c r="T210">
        <f t="shared" si="48"/>
        <v>0</v>
      </c>
      <c r="U210">
        <f t="shared" si="46"/>
        <v>1</v>
      </c>
      <c r="V210">
        <f t="shared" si="49"/>
        <v>1</v>
      </c>
      <c r="W210">
        <f t="shared" si="50"/>
        <v>0</v>
      </c>
      <c r="X210">
        <f t="shared" si="59"/>
        <v>1</v>
      </c>
      <c r="Y210">
        <f t="shared" si="60"/>
        <v>0</v>
      </c>
      <c r="Z210">
        <f t="shared" si="51"/>
        <v>10</v>
      </c>
      <c r="AA210">
        <f t="shared" si="52"/>
        <v>2.5</v>
      </c>
      <c r="AB210">
        <f t="shared" si="53"/>
        <v>5.7142857142857144</v>
      </c>
      <c r="AC210">
        <f t="shared" si="54"/>
        <v>0</v>
      </c>
      <c r="AD210" s="1">
        <f t="shared" si="55"/>
        <v>0</v>
      </c>
      <c r="AE210">
        <f t="shared" si="56"/>
        <v>0</v>
      </c>
      <c r="AF210">
        <f t="shared" si="57"/>
        <v>0</v>
      </c>
      <c r="AG210">
        <f t="shared" si="58"/>
        <v>0</v>
      </c>
    </row>
    <row r="211" spans="1:33" x14ac:dyDescent="0.25">
      <c r="A211" t="s">
        <v>409</v>
      </c>
      <c r="B211" t="s">
        <v>410</v>
      </c>
      <c r="C211">
        <v>168501</v>
      </c>
      <c r="D211">
        <v>168501</v>
      </c>
      <c r="H211">
        <v>10</v>
      </c>
      <c r="I211">
        <v>20</v>
      </c>
      <c r="J211">
        <v>10</v>
      </c>
      <c r="K211">
        <v>0</v>
      </c>
      <c r="L211">
        <v>0</v>
      </c>
      <c r="M211">
        <v>40</v>
      </c>
      <c r="S211">
        <f t="shared" si="47"/>
        <v>0</v>
      </c>
      <c r="T211">
        <f t="shared" si="48"/>
        <v>3.3333333333333335</v>
      </c>
      <c r="U211">
        <f t="shared" si="46"/>
        <v>1</v>
      </c>
      <c r="V211">
        <f t="shared" si="49"/>
        <v>0</v>
      </c>
      <c r="W211">
        <f t="shared" si="50"/>
        <v>1</v>
      </c>
      <c r="X211">
        <f t="shared" si="59"/>
        <v>0</v>
      </c>
      <c r="Y211">
        <f t="shared" si="60"/>
        <v>0</v>
      </c>
      <c r="Z211">
        <f t="shared" si="51"/>
        <v>0</v>
      </c>
      <c r="AA211">
        <f t="shared" si="52"/>
        <v>0</v>
      </c>
      <c r="AB211">
        <f t="shared" si="53"/>
        <v>0</v>
      </c>
      <c r="AC211">
        <f t="shared" si="54"/>
        <v>5</v>
      </c>
      <c r="AD211" s="1">
        <f t="shared" si="55"/>
        <v>3.3333333333333335</v>
      </c>
      <c r="AE211">
        <f t="shared" si="56"/>
        <v>5</v>
      </c>
      <c r="AF211">
        <f t="shared" si="57"/>
        <v>0</v>
      </c>
      <c r="AG211">
        <f t="shared" si="58"/>
        <v>0</v>
      </c>
    </row>
    <row r="212" spans="1:33" x14ac:dyDescent="0.25">
      <c r="A212" t="s">
        <v>411</v>
      </c>
      <c r="B212" t="s">
        <v>412</v>
      </c>
      <c r="C212">
        <v>167371</v>
      </c>
      <c r="D212">
        <v>167371</v>
      </c>
      <c r="E212">
        <v>40</v>
      </c>
      <c r="F212">
        <v>30</v>
      </c>
      <c r="G212">
        <v>50</v>
      </c>
      <c r="O212">
        <v>120</v>
      </c>
      <c r="S212">
        <f t="shared" si="47"/>
        <v>7.5</v>
      </c>
      <c r="T212">
        <f t="shared" si="48"/>
        <v>0</v>
      </c>
      <c r="U212">
        <f t="shared" si="46"/>
        <v>1</v>
      </c>
      <c r="V212">
        <f t="shared" si="49"/>
        <v>1</v>
      </c>
      <c r="W212">
        <f t="shared" si="50"/>
        <v>0</v>
      </c>
      <c r="X212">
        <f t="shared" si="59"/>
        <v>1</v>
      </c>
      <c r="Y212">
        <f t="shared" si="60"/>
        <v>0</v>
      </c>
      <c r="Z212">
        <f t="shared" si="51"/>
        <v>8</v>
      </c>
      <c r="AA212">
        <f t="shared" si="52"/>
        <v>7.5</v>
      </c>
      <c r="AB212">
        <f t="shared" si="53"/>
        <v>7.1428571428571432</v>
      </c>
      <c r="AC212">
        <f t="shared" si="54"/>
        <v>0</v>
      </c>
      <c r="AD212" s="1">
        <f t="shared" si="55"/>
        <v>0</v>
      </c>
      <c r="AE212">
        <f t="shared" si="56"/>
        <v>0</v>
      </c>
      <c r="AF212">
        <f t="shared" si="57"/>
        <v>0</v>
      </c>
      <c r="AG212">
        <f t="shared" si="58"/>
        <v>0</v>
      </c>
    </row>
    <row r="213" spans="1:33" x14ac:dyDescent="0.25">
      <c r="A213" t="s">
        <v>413</v>
      </c>
      <c r="B213" t="s">
        <v>414</v>
      </c>
      <c r="C213">
        <v>166421</v>
      </c>
      <c r="D213">
        <v>166421</v>
      </c>
      <c r="H213">
        <v>20</v>
      </c>
      <c r="I213">
        <v>30</v>
      </c>
      <c r="J213">
        <v>10</v>
      </c>
      <c r="K213">
        <v>10</v>
      </c>
      <c r="L213">
        <v>0</v>
      </c>
      <c r="M213">
        <v>70</v>
      </c>
      <c r="S213">
        <f t="shared" si="47"/>
        <v>0</v>
      </c>
      <c r="T213">
        <f t="shared" si="48"/>
        <v>5.833333333333333</v>
      </c>
      <c r="U213">
        <f t="shared" si="46"/>
        <v>1</v>
      </c>
      <c r="V213">
        <f t="shared" si="49"/>
        <v>0</v>
      </c>
      <c r="W213">
        <f t="shared" si="50"/>
        <v>1</v>
      </c>
      <c r="X213">
        <f t="shared" si="59"/>
        <v>0</v>
      </c>
      <c r="Y213">
        <f t="shared" si="60"/>
        <v>0</v>
      </c>
      <c r="Z213">
        <f t="shared" si="51"/>
        <v>0</v>
      </c>
      <c r="AA213">
        <f t="shared" si="52"/>
        <v>0</v>
      </c>
      <c r="AB213">
        <f t="shared" si="53"/>
        <v>0</v>
      </c>
      <c r="AC213">
        <f t="shared" si="54"/>
        <v>10</v>
      </c>
      <c r="AD213" s="1">
        <f t="shared" si="55"/>
        <v>5</v>
      </c>
      <c r="AE213">
        <f t="shared" si="56"/>
        <v>5</v>
      </c>
      <c r="AF213">
        <f t="shared" si="57"/>
        <v>10</v>
      </c>
      <c r="AG213">
        <f t="shared" si="58"/>
        <v>0</v>
      </c>
    </row>
    <row r="214" spans="1:33" x14ac:dyDescent="0.25">
      <c r="A214" t="s">
        <v>415</v>
      </c>
      <c r="B214" t="s">
        <v>416</v>
      </c>
      <c r="C214">
        <v>168378</v>
      </c>
      <c r="D214">
        <v>168378</v>
      </c>
      <c r="E214">
        <v>40</v>
      </c>
      <c r="F214">
        <v>30</v>
      </c>
      <c r="G214">
        <v>50</v>
      </c>
      <c r="O214">
        <v>120</v>
      </c>
      <c r="S214">
        <f t="shared" si="47"/>
        <v>7.5</v>
      </c>
      <c r="T214">
        <f t="shared" si="48"/>
        <v>0</v>
      </c>
      <c r="U214">
        <f t="shared" si="46"/>
        <v>1</v>
      </c>
      <c r="V214">
        <f t="shared" si="49"/>
        <v>1</v>
      </c>
      <c r="W214">
        <f t="shared" si="50"/>
        <v>0</v>
      </c>
      <c r="X214">
        <f t="shared" si="59"/>
        <v>1</v>
      </c>
      <c r="Y214">
        <f t="shared" si="60"/>
        <v>0</v>
      </c>
      <c r="Z214">
        <f t="shared" si="51"/>
        <v>8</v>
      </c>
      <c r="AA214">
        <f t="shared" si="52"/>
        <v>7.5</v>
      </c>
      <c r="AB214">
        <f t="shared" si="53"/>
        <v>7.1428571428571432</v>
      </c>
      <c r="AC214">
        <f t="shared" si="54"/>
        <v>0</v>
      </c>
      <c r="AD214" s="1">
        <f t="shared" si="55"/>
        <v>0</v>
      </c>
      <c r="AE214">
        <f t="shared" si="56"/>
        <v>0</v>
      </c>
      <c r="AF214">
        <f t="shared" si="57"/>
        <v>0</v>
      </c>
      <c r="AG214">
        <f t="shared" si="58"/>
        <v>0</v>
      </c>
    </row>
    <row r="215" spans="1:33" x14ac:dyDescent="0.25">
      <c r="A215" t="s">
        <v>417</v>
      </c>
      <c r="B215" t="s">
        <v>418</v>
      </c>
      <c r="C215">
        <v>162288</v>
      </c>
      <c r="D215">
        <v>162288</v>
      </c>
      <c r="E215">
        <v>50</v>
      </c>
      <c r="F215">
        <v>30</v>
      </c>
      <c r="G215">
        <v>20</v>
      </c>
      <c r="O215">
        <v>100</v>
      </c>
      <c r="S215">
        <f t="shared" si="47"/>
        <v>6.25</v>
      </c>
      <c r="T215">
        <f t="shared" si="48"/>
        <v>0</v>
      </c>
      <c r="U215">
        <f t="shared" si="46"/>
        <v>1</v>
      </c>
      <c r="V215">
        <f t="shared" si="49"/>
        <v>1</v>
      </c>
      <c r="W215">
        <f t="shared" si="50"/>
        <v>0</v>
      </c>
      <c r="X215">
        <f t="shared" si="59"/>
        <v>1</v>
      </c>
      <c r="Y215">
        <f t="shared" si="60"/>
        <v>0</v>
      </c>
      <c r="Z215">
        <f t="shared" si="51"/>
        <v>10</v>
      </c>
      <c r="AA215">
        <f t="shared" si="52"/>
        <v>7.5</v>
      </c>
      <c r="AB215">
        <f t="shared" si="53"/>
        <v>2.8571428571428572</v>
      </c>
      <c r="AC215">
        <f t="shared" si="54"/>
        <v>0</v>
      </c>
      <c r="AD215" s="1">
        <f t="shared" si="55"/>
        <v>0</v>
      </c>
      <c r="AE215">
        <f t="shared" si="56"/>
        <v>0</v>
      </c>
      <c r="AF215">
        <f t="shared" si="57"/>
        <v>0</v>
      </c>
      <c r="AG215">
        <f t="shared" si="58"/>
        <v>0</v>
      </c>
    </row>
    <row r="216" spans="1:33" x14ac:dyDescent="0.25">
      <c r="A216" t="s">
        <v>419</v>
      </c>
      <c r="B216" t="s">
        <v>93</v>
      </c>
      <c r="C216">
        <v>166286</v>
      </c>
      <c r="D216">
        <v>166286</v>
      </c>
      <c r="H216">
        <v>0</v>
      </c>
      <c r="I216">
        <v>10</v>
      </c>
      <c r="J216">
        <v>10</v>
      </c>
      <c r="K216">
        <v>0</v>
      </c>
      <c r="L216">
        <v>0</v>
      </c>
      <c r="M216">
        <v>20</v>
      </c>
      <c r="S216">
        <f t="shared" si="47"/>
        <v>0</v>
      </c>
      <c r="T216">
        <f t="shared" si="48"/>
        <v>1.6666666666666667</v>
      </c>
      <c r="U216">
        <f t="shared" si="46"/>
        <v>1</v>
      </c>
      <c r="V216">
        <f t="shared" si="49"/>
        <v>0</v>
      </c>
      <c r="W216">
        <f t="shared" si="50"/>
        <v>1</v>
      </c>
      <c r="X216">
        <f t="shared" si="59"/>
        <v>0</v>
      </c>
      <c r="Y216">
        <f t="shared" si="60"/>
        <v>0</v>
      </c>
      <c r="Z216">
        <f t="shared" si="51"/>
        <v>0</v>
      </c>
      <c r="AA216">
        <f t="shared" si="52"/>
        <v>0</v>
      </c>
      <c r="AB216">
        <f t="shared" si="53"/>
        <v>0</v>
      </c>
      <c r="AC216">
        <f t="shared" si="54"/>
        <v>0</v>
      </c>
      <c r="AD216" s="1">
        <f t="shared" si="55"/>
        <v>1.6666666666666667</v>
      </c>
      <c r="AE216">
        <f t="shared" si="56"/>
        <v>5</v>
      </c>
      <c r="AF216">
        <f t="shared" si="57"/>
        <v>0</v>
      </c>
      <c r="AG216">
        <f t="shared" si="58"/>
        <v>0</v>
      </c>
    </row>
    <row r="217" spans="1:33" x14ac:dyDescent="0.25">
      <c r="A217" t="s">
        <v>420</v>
      </c>
      <c r="B217" t="s">
        <v>421</v>
      </c>
      <c r="C217">
        <v>166518</v>
      </c>
      <c r="D217">
        <v>166518</v>
      </c>
      <c r="E217">
        <v>40</v>
      </c>
      <c r="F217">
        <v>40</v>
      </c>
      <c r="G217">
        <v>40</v>
      </c>
      <c r="O217">
        <v>120</v>
      </c>
      <c r="S217">
        <f t="shared" si="47"/>
        <v>7.5</v>
      </c>
      <c r="T217">
        <f t="shared" si="48"/>
        <v>0</v>
      </c>
      <c r="U217">
        <f t="shared" si="46"/>
        <v>1</v>
      </c>
      <c r="V217">
        <f t="shared" si="49"/>
        <v>1</v>
      </c>
      <c r="W217">
        <f t="shared" si="50"/>
        <v>0</v>
      </c>
      <c r="X217">
        <f t="shared" si="59"/>
        <v>1</v>
      </c>
      <c r="Y217">
        <f t="shared" si="60"/>
        <v>0</v>
      </c>
      <c r="Z217">
        <f t="shared" si="51"/>
        <v>8</v>
      </c>
      <c r="AA217">
        <f t="shared" si="52"/>
        <v>10</v>
      </c>
      <c r="AB217">
        <f t="shared" si="53"/>
        <v>5.7142857142857144</v>
      </c>
      <c r="AC217">
        <f t="shared" si="54"/>
        <v>0</v>
      </c>
      <c r="AD217" s="1">
        <f t="shared" si="55"/>
        <v>0</v>
      </c>
      <c r="AE217">
        <f t="shared" si="56"/>
        <v>0</v>
      </c>
      <c r="AF217">
        <f t="shared" si="57"/>
        <v>0</v>
      </c>
      <c r="AG217">
        <f t="shared" si="58"/>
        <v>0</v>
      </c>
    </row>
    <row r="218" spans="1:33" x14ac:dyDescent="0.25">
      <c r="A218" t="s">
        <v>422</v>
      </c>
      <c r="B218" t="s">
        <v>423</v>
      </c>
      <c r="C218">
        <v>168910</v>
      </c>
      <c r="D218">
        <v>168910</v>
      </c>
      <c r="E218">
        <v>20</v>
      </c>
      <c r="F218">
        <v>0</v>
      </c>
      <c r="G218">
        <v>20</v>
      </c>
      <c r="O218">
        <v>40</v>
      </c>
      <c r="S218">
        <f t="shared" si="47"/>
        <v>2.5</v>
      </c>
      <c r="T218">
        <f t="shared" si="48"/>
        <v>0</v>
      </c>
      <c r="U218">
        <f t="shared" si="46"/>
        <v>1</v>
      </c>
      <c r="V218">
        <f t="shared" si="49"/>
        <v>1</v>
      </c>
      <c r="W218">
        <f t="shared" si="50"/>
        <v>0</v>
      </c>
      <c r="X218">
        <f t="shared" si="59"/>
        <v>0</v>
      </c>
      <c r="Y218">
        <f t="shared" si="60"/>
        <v>0</v>
      </c>
      <c r="Z218">
        <f t="shared" si="51"/>
        <v>4</v>
      </c>
      <c r="AA218">
        <f t="shared" si="52"/>
        <v>0</v>
      </c>
      <c r="AB218">
        <f t="shared" si="53"/>
        <v>2.8571428571428572</v>
      </c>
      <c r="AC218">
        <f t="shared" si="54"/>
        <v>0</v>
      </c>
      <c r="AD218" s="1">
        <f t="shared" si="55"/>
        <v>0</v>
      </c>
      <c r="AE218">
        <f t="shared" si="56"/>
        <v>0</v>
      </c>
      <c r="AF218">
        <f t="shared" si="57"/>
        <v>0</v>
      </c>
      <c r="AG218">
        <f t="shared" si="58"/>
        <v>0</v>
      </c>
    </row>
    <row r="219" spans="1:33" x14ac:dyDescent="0.25">
      <c r="A219" t="s">
        <v>424</v>
      </c>
      <c r="B219" t="s">
        <v>425</v>
      </c>
      <c r="C219">
        <v>168077</v>
      </c>
      <c r="D219">
        <v>168077</v>
      </c>
      <c r="S219">
        <f t="shared" si="47"/>
        <v>0</v>
      </c>
      <c r="T219">
        <f t="shared" si="48"/>
        <v>0</v>
      </c>
      <c r="U219">
        <f t="shared" si="46"/>
        <v>0</v>
      </c>
      <c r="V219">
        <f t="shared" si="49"/>
        <v>0</v>
      </c>
      <c r="W219">
        <f t="shared" si="50"/>
        <v>0</v>
      </c>
      <c r="X219">
        <f t="shared" si="59"/>
        <v>0</v>
      </c>
      <c r="Y219">
        <f t="shared" si="60"/>
        <v>0</v>
      </c>
      <c r="Z219">
        <f t="shared" si="51"/>
        <v>0</v>
      </c>
      <c r="AA219">
        <f t="shared" si="52"/>
        <v>0</v>
      </c>
      <c r="AB219">
        <f t="shared" si="53"/>
        <v>0</v>
      </c>
      <c r="AC219">
        <f t="shared" si="54"/>
        <v>0</v>
      </c>
      <c r="AD219" s="1">
        <f t="shared" si="55"/>
        <v>0</v>
      </c>
      <c r="AE219">
        <f t="shared" si="56"/>
        <v>0</v>
      </c>
      <c r="AF219">
        <f t="shared" si="57"/>
        <v>0</v>
      </c>
      <c r="AG219">
        <f t="shared" si="58"/>
        <v>0</v>
      </c>
    </row>
    <row r="220" spans="1:33" x14ac:dyDescent="0.25">
      <c r="A220" t="s">
        <v>424</v>
      </c>
      <c r="B220" t="s">
        <v>426</v>
      </c>
      <c r="C220">
        <v>168078</v>
      </c>
      <c r="D220">
        <v>168078</v>
      </c>
      <c r="E220">
        <v>10</v>
      </c>
      <c r="F220">
        <v>20</v>
      </c>
      <c r="G220">
        <v>40</v>
      </c>
      <c r="O220">
        <v>70</v>
      </c>
      <c r="S220">
        <f t="shared" si="47"/>
        <v>4.375</v>
      </c>
      <c r="T220">
        <f t="shared" si="48"/>
        <v>0</v>
      </c>
      <c r="U220">
        <f t="shared" si="46"/>
        <v>1</v>
      </c>
      <c r="V220">
        <f t="shared" si="49"/>
        <v>1</v>
      </c>
      <c r="W220">
        <f t="shared" si="50"/>
        <v>0</v>
      </c>
      <c r="X220">
        <f t="shared" si="59"/>
        <v>0</v>
      </c>
      <c r="Y220">
        <f t="shared" si="60"/>
        <v>0</v>
      </c>
      <c r="Z220">
        <f t="shared" si="51"/>
        <v>2</v>
      </c>
      <c r="AA220">
        <f t="shared" si="52"/>
        <v>5</v>
      </c>
      <c r="AB220">
        <f t="shared" si="53"/>
        <v>5.7142857142857144</v>
      </c>
      <c r="AC220">
        <f t="shared" si="54"/>
        <v>0</v>
      </c>
      <c r="AD220" s="1">
        <f t="shared" si="55"/>
        <v>0</v>
      </c>
      <c r="AE220">
        <f t="shared" si="56"/>
        <v>0</v>
      </c>
      <c r="AF220">
        <f t="shared" si="57"/>
        <v>0</v>
      </c>
      <c r="AG220">
        <f t="shared" si="58"/>
        <v>0</v>
      </c>
    </row>
    <row r="221" spans="1:33" x14ac:dyDescent="0.25">
      <c r="A221" t="s">
        <v>427</v>
      </c>
      <c r="B221" t="s">
        <v>428</v>
      </c>
      <c r="C221">
        <v>167188</v>
      </c>
      <c r="D221">
        <v>167188</v>
      </c>
      <c r="S221">
        <f t="shared" si="47"/>
        <v>0</v>
      </c>
      <c r="T221">
        <f t="shared" si="48"/>
        <v>0</v>
      </c>
      <c r="U221">
        <f t="shared" si="46"/>
        <v>0</v>
      </c>
      <c r="V221">
        <f t="shared" si="49"/>
        <v>0</v>
      </c>
      <c r="W221">
        <f t="shared" si="50"/>
        <v>0</v>
      </c>
      <c r="X221">
        <f t="shared" si="59"/>
        <v>0</v>
      </c>
      <c r="Y221">
        <f t="shared" si="60"/>
        <v>0</v>
      </c>
      <c r="Z221">
        <f t="shared" si="51"/>
        <v>0</v>
      </c>
      <c r="AA221">
        <f t="shared" si="52"/>
        <v>0</v>
      </c>
      <c r="AB221">
        <f t="shared" si="53"/>
        <v>0</v>
      </c>
      <c r="AC221">
        <f t="shared" si="54"/>
        <v>0</v>
      </c>
      <c r="AD221" s="1">
        <f t="shared" si="55"/>
        <v>0</v>
      </c>
      <c r="AE221">
        <f t="shared" si="56"/>
        <v>0</v>
      </c>
      <c r="AF221">
        <f t="shared" si="57"/>
        <v>0</v>
      </c>
      <c r="AG221">
        <f t="shared" si="58"/>
        <v>0</v>
      </c>
    </row>
    <row r="222" spans="1:33" x14ac:dyDescent="0.25">
      <c r="A222" t="s">
        <v>429</v>
      </c>
      <c r="B222" t="s">
        <v>430</v>
      </c>
      <c r="C222">
        <v>165666</v>
      </c>
      <c r="D222">
        <v>165666</v>
      </c>
      <c r="E222">
        <v>10</v>
      </c>
      <c r="F222">
        <v>20</v>
      </c>
      <c r="G222">
        <v>50</v>
      </c>
      <c r="O222">
        <v>80</v>
      </c>
      <c r="S222">
        <f t="shared" si="47"/>
        <v>5</v>
      </c>
      <c r="T222">
        <f t="shared" si="48"/>
        <v>0</v>
      </c>
      <c r="U222">
        <f t="shared" si="46"/>
        <v>1</v>
      </c>
      <c r="V222">
        <f t="shared" si="49"/>
        <v>1</v>
      </c>
      <c r="W222">
        <f t="shared" si="50"/>
        <v>0</v>
      </c>
      <c r="X222">
        <f t="shared" si="59"/>
        <v>0</v>
      </c>
      <c r="Y222">
        <f t="shared" si="60"/>
        <v>0</v>
      </c>
      <c r="Z222">
        <f t="shared" si="51"/>
        <v>2</v>
      </c>
      <c r="AA222">
        <f t="shared" si="52"/>
        <v>5</v>
      </c>
      <c r="AB222">
        <f t="shared" si="53"/>
        <v>7.1428571428571432</v>
      </c>
      <c r="AC222">
        <f t="shared" si="54"/>
        <v>0</v>
      </c>
      <c r="AD222" s="1">
        <f t="shared" si="55"/>
        <v>0</v>
      </c>
      <c r="AE222">
        <f t="shared" si="56"/>
        <v>0</v>
      </c>
      <c r="AF222">
        <f t="shared" si="57"/>
        <v>0</v>
      </c>
      <c r="AG222">
        <f t="shared" si="58"/>
        <v>0</v>
      </c>
    </row>
    <row r="223" spans="1:33" x14ac:dyDescent="0.25">
      <c r="A223" t="s">
        <v>431</v>
      </c>
      <c r="B223" t="s">
        <v>432</v>
      </c>
      <c r="C223">
        <v>158995</v>
      </c>
      <c r="D223">
        <v>158995</v>
      </c>
      <c r="S223">
        <f t="shared" si="47"/>
        <v>0</v>
      </c>
      <c r="T223">
        <f t="shared" si="48"/>
        <v>0</v>
      </c>
      <c r="U223">
        <f t="shared" si="46"/>
        <v>0</v>
      </c>
      <c r="V223">
        <f t="shared" si="49"/>
        <v>0</v>
      </c>
      <c r="W223">
        <f t="shared" si="50"/>
        <v>0</v>
      </c>
      <c r="X223">
        <f t="shared" si="59"/>
        <v>0</v>
      </c>
      <c r="Y223">
        <f t="shared" si="60"/>
        <v>0</v>
      </c>
      <c r="Z223">
        <f t="shared" si="51"/>
        <v>0</v>
      </c>
      <c r="AA223">
        <f t="shared" si="52"/>
        <v>0</v>
      </c>
      <c r="AB223">
        <f t="shared" si="53"/>
        <v>0</v>
      </c>
      <c r="AC223">
        <f t="shared" si="54"/>
        <v>0</v>
      </c>
      <c r="AD223" s="1">
        <f t="shared" si="55"/>
        <v>0</v>
      </c>
      <c r="AE223">
        <f t="shared" si="56"/>
        <v>0</v>
      </c>
      <c r="AF223">
        <f t="shared" si="57"/>
        <v>0</v>
      </c>
      <c r="AG223">
        <f t="shared" si="58"/>
        <v>0</v>
      </c>
    </row>
    <row r="224" spans="1:33" x14ac:dyDescent="0.25">
      <c r="A224" t="s">
        <v>433</v>
      </c>
      <c r="B224" t="s">
        <v>434</v>
      </c>
      <c r="C224">
        <v>167701</v>
      </c>
      <c r="D224">
        <v>167701</v>
      </c>
      <c r="H224">
        <v>20</v>
      </c>
      <c r="I224">
        <v>60</v>
      </c>
      <c r="J224">
        <v>10</v>
      </c>
      <c r="K224">
        <v>10</v>
      </c>
      <c r="L224">
        <v>10</v>
      </c>
      <c r="M224">
        <v>110</v>
      </c>
      <c r="S224">
        <f t="shared" si="47"/>
        <v>0</v>
      </c>
      <c r="T224">
        <f t="shared" si="48"/>
        <v>9.1666666666666661</v>
      </c>
      <c r="U224">
        <f t="shared" si="46"/>
        <v>1</v>
      </c>
      <c r="V224">
        <f t="shared" si="49"/>
        <v>0</v>
      </c>
      <c r="W224">
        <f t="shared" si="50"/>
        <v>1</v>
      </c>
      <c r="X224">
        <f t="shared" si="59"/>
        <v>0</v>
      </c>
      <c r="Y224">
        <f t="shared" si="60"/>
        <v>1</v>
      </c>
      <c r="Z224">
        <f t="shared" si="51"/>
        <v>0</v>
      </c>
      <c r="AA224">
        <f t="shared" si="52"/>
        <v>0</v>
      </c>
      <c r="AB224">
        <f t="shared" si="53"/>
        <v>0</v>
      </c>
      <c r="AC224">
        <f t="shared" si="54"/>
        <v>10</v>
      </c>
      <c r="AD224" s="1">
        <f t="shared" si="55"/>
        <v>10</v>
      </c>
      <c r="AE224">
        <f t="shared" si="56"/>
        <v>5</v>
      </c>
      <c r="AF224">
        <f t="shared" si="57"/>
        <v>10</v>
      </c>
      <c r="AG224">
        <f t="shared" si="58"/>
        <v>10</v>
      </c>
    </row>
    <row r="225" spans="1:33" x14ac:dyDescent="0.25">
      <c r="A225" t="s">
        <v>435</v>
      </c>
      <c r="B225" t="s">
        <v>166</v>
      </c>
      <c r="C225">
        <v>167698</v>
      </c>
      <c r="D225">
        <v>167698</v>
      </c>
      <c r="E225">
        <v>40</v>
      </c>
      <c r="F225">
        <v>0</v>
      </c>
      <c r="G225">
        <v>10</v>
      </c>
      <c r="O225">
        <v>50</v>
      </c>
      <c r="S225">
        <f t="shared" si="47"/>
        <v>3.125</v>
      </c>
      <c r="T225">
        <f t="shared" si="48"/>
        <v>0</v>
      </c>
      <c r="U225">
        <f t="shared" si="46"/>
        <v>1</v>
      </c>
      <c r="V225">
        <f t="shared" si="49"/>
        <v>1</v>
      </c>
      <c r="W225">
        <f t="shared" si="50"/>
        <v>0</v>
      </c>
      <c r="X225">
        <f t="shared" si="59"/>
        <v>0</v>
      </c>
      <c r="Y225">
        <f t="shared" si="60"/>
        <v>0</v>
      </c>
      <c r="Z225">
        <f t="shared" si="51"/>
        <v>8</v>
      </c>
      <c r="AA225">
        <f t="shared" si="52"/>
        <v>0</v>
      </c>
      <c r="AB225">
        <f t="shared" si="53"/>
        <v>1.4285714285714286</v>
      </c>
      <c r="AC225">
        <f t="shared" si="54"/>
        <v>0</v>
      </c>
      <c r="AD225" s="1">
        <f t="shared" si="55"/>
        <v>0</v>
      </c>
      <c r="AE225">
        <f t="shared" si="56"/>
        <v>0</v>
      </c>
      <c r="AF225">
        <f t="shared" si="57"/>
        <v>0</v>
      </c>
      <c r="AG225">
        <f t="shared" si="58"/>
        <v>0</v>
      </c>
    </row>
    <row r="226" spans="1:33" x14ac:dyDescent="0.25">
      <c r="A226" t="s">
        <v>436</v>
      </c>
      <c r="B226" t="s">
        <v>437</v>
      </c>
      <c r="C226">
        <v>166714</v>
      </c>
      <c r="D226">
        <v>166714</v>
      </c>
      <c r="E226">
        <v>20</v>
      </c>
      <c r="F226">
        <v>10</v>
      </c>
      <c r="G226">
        <v>30</v>
      </c>
      <c r="O226">
        <v>60</v>
      </c>
      <c r="S226">
        <f t="shared" si="47"/>
        <v>3.75</v>
      </c>
      <c r="T226">
        <f t="shared" si="48"/>
        <v>0</v>
      </c>
      <c r="U226">
        <f t="shared" si="46"/>
        <v>1</v>
      </c>
      <c r="V226">
        <f t="shared" si="49"/>
        <v>1</v>
      </c>
      <c r="W226">
        <f t="shared" si="50"/>
        <v>0</v>
      </c>
      <c r="X226">
        <f t="shared" si="59"/>
        <v>0</v>
      </c>
      <c r="Y226">
        <f t="shared" si="60"/>
        <v>0</v>
      </c>
      <c r="Z226">
        <f t="shared" si="51"/>
        <v>4</v>
      </c>
      <c r="AA226">
        <f t="shared" si="52"/>
        <v>2.5</v>
      </c>
      <c r="AB226">
        <f t="shared" si="53"/>
        <v>4.2857142857142856</v>
      </c>
      <c r="AC226">
        <f t="shared" si="54"/>
        <v>0</v>
      </c>
      <c r="AD226" s="1">
        <f t="shared" si="55"/>
        <v>0</v>
      </c>
      <c r="AE226">
        <f t="shared" si="56"/>
        <v>0</v>
      </c>
      <c r="AF226">
        <f t="shared" si="57"/>
        <v>0</v>
      </c>
      <c r="AG226">
        <f t="shared" si="58"/>
        <v>0</v>
      </c>
    </row>
    <row r="227" spans="1:33" x14ac:dyDescent="0.25">
      <c r="A227" t="s">
        <v>438</v>
      </c>
      <c r="B227" t="s">
        <v>439</v>
      </c>
      <c r="C227">
        <v>167642</v>
      </c>
      <c r="D227">
        <v>167642</v>
      </c>
      <c r="H227">
        <v>0</v>
      </c>
      <c r="I227">
        <v>20</v>
      </c>
      <c r="J227">
        <v>10</v>
      </c>
      <c r="K227">
        <v>10</v>
      </c>
      <c r="L227">
        <v>10</v>
      </c>
      <c r="M227">
        <v>50</v>
      </c>
      <c r="S227">
        <f t="shared" si="47"/>
        <v>0</v>
      </c>
      <c r="T227">
        <f t="shared" si="48"/>
        <v>4.166666666666667</v>
      </c>
      <c r="U227">
        <f t="shared" si="46"/>
        <v>1</v>
      </c>
      <c r="V227">
        <f t="shared" si="49"/>
        <v>0</v>
      </c>
      <c r="W227">
        <f t="shared" si="50"/>
        <v>1</v>
      </c>
      <c r="X227">
        <f t="shared" si="59"/>
        <v>0</v>
      </c>
      <c r="Y227">
        <f t="shared" si="60"/>
        <v>0</v>
      </c>
      <c r="Z227">
        <f t="shared" si="51"/>
        <v>0</v>
      </c>
      <c r="AA227">
        <f t="shared" si="52"/>
        <v>0</v>
      </c>
      <c r="AB227">
        <f t="shared" si="53"/>
        <v>0</v>
      </c>
      <c r="AC227">
        <f t="shared" si="54"/>
        <v>0</v>
      </c>
      <c r="AD227" s="1">
        <f t="shared" si="55"/>
        <v>3.3333333333333335</v>
      </c>
      <c r="AE227">
        <f t="shared" si="56"/>
        <v>5</v>
      </c>
      <c r="AF227">
        <f t="shared" si="57"/>
        <v>10</v>
      </c>
      <c r="AG227">
        <f t="shared" si="58"/>
        <v>10</v>
      </c>
    </row>
    <row r="228" spans="1:33" x14ac:dyDescent="0.25">
      <c r="A228" t="s">
        <v>440</v>
      </c>
      <c r="B228" t="s">
        <v>441</v>
      </c>
      <c r="C228">
        <v>168645</v>
      </c>
      <c r="D228">
        <v>168645</v>
      </c>
      <c r="E228">
        <v>50</v>
      </c>
      <c r="F228">
        <v>30</v>
      </c>
      <c r="G228">
        <v>40</v>
      </c>
      <c r="O228">
        <v>120</v>
      </c>
      <c r="S228">
        <f t="shared" si="47"/>
        <v>7.5</v>
      </c>
      <c r="T228">
        <f t="shared" si="48"/>
        <v>0</v>
      </c>
      <c r="U228">
        <f t="shared" si="46"/>
        <v>1</v>
      </c>
      <c r="V228">
        <f t="shared" si="49"/>
        <v>1</v>
      </c>
      <c r="W228">
        <f t="shared" si="50"/>
        <v>0</v>
      </c>
      <c r="X228">
        <f t="shared" si="59"/>
        <v>1</v>
      </c>
      <c r="Y228">
        <f t="shared" si="60"/>
        <v>0</v>
      </c>
      <c r="Z228">
        <f t="shared" si="51"/>
        <v>10</v>
      </c>
      <c r="AA228">
        <f t="shared" si="52"/>
        <v>7.5</v>
      </c>
      <c r="AB228">
        <f t="shared" si="53"/>
        <v>5.7142857142857144</v>
      </c>
      <c r="AC228">
        <f t="shared" si="54"/>
        <v>0</v>
      </c>
      <c r="AD228" s="1">
        <f t="shared" si="55"/>
        <v>0</v>
      </c>
      <c r="AE228">
        <f t="shared" si="56"/>
        <v>0</v>
      </c>
      <c r="AF228">
        <f t="shared" si="57"/>
        <v>0</v>
      </c>
      <c r="AG228">
        <f t="shared" si="58"/>
        <v>0</v>
      </c>
    </row>
    <row r="229" spans="1:33" x14ac:dyDescent="0.25">
      <c r="A229" t="s">
        <v>442</v>
      </c>
      <c r="B229" t="s">
        <v>443</v>
      </c>
      <c r="C229">
        <v>168066</v>
      </c>
      <c r="D229">
        <v>168066</v>
      </c>
      <c r="E229">
        <v>30</v>
      </c>
      <c r="F229">
        <v>20</v>
      </c>
      <c r="G229">
        <v>50</v>
      </c>
      <c r="O229">
        <v>100</v>
      </c>
      <c r="S229">
        <f t="shared" si="47"/>
        <v>6.25</v>
      </c>
      <c r="T229">
        <f t="shared" si="48"/>
        <v>0</v>
      </c>
      <c r="U229">
        <f t="shared" si="46"/>
        <v>1</v>
      </c>
      <c r="V229">
        <f t="shared" si="49"/>
        <v>1</v>
      </c>
      <c r="W229">
        <f t="shared" si="50"/>
        <v>0</v>
      </c>
      <c r="X229">
        <f t="shared" si="59"/>
        <v>1</v>
      </c>
      <c r="Y229">
        <f t="shared" si="60"/>
        <v>0</v>
      </c>
      <c r="Z229">
        <f t="shared" si="51"/>
        <v>6</v>
      </c>
      <c r="AA229">
        <f t="shared" si="52"/>
        <v>5</v>
      </c>
      <c r="AB229">
        <f t="shared" si="53"/>
        <v>7.1428571428571432</v>
      </c>
      <c r="AC229">
        <f t="shared" si="54"/>
        <v>0</v>
      </c>
      <c r="AD229" s="1">
        <f t="shared" si="55"/>
        <v>0</v>
      </c>
      <c r="AE229">
        <f t="shared" si="56"/>
        <v>0</v>
      </c>
      <c r="AF229">
        <f t="shared" si="57"/>
        <v>0</v>
      </c>
      <c r="AG229">
        <f t="shared" si="58"/>
        <v>0</v>
      </c>
    </row>
    <row r="230" spans="1:33" x14ac:dyDescent="0.25">
      <c r="A230" t="s">
        <v>444</v>
      </c>
      <c r="B230" t="s">
        <v>197</v>
      </c>
      <c r="C230">
        <v>168382</v>
      </c>
      <c r="D230">
        <v>168382</v>
      </c>
      <c r="H230">
        <v>20</v>
      </c>
      <c r="I230">
        <v>50</v>
      </c>
      <c r="J230">
        <v>10</v>
      </c>
      <c r="K230">
        <v>10</v>
      </c>
      <c r="L230">
        <v>10</v>
      </c>
      <c r="M230">
        <v>100</v>
      </c>
      <c r="S230">
        <f t="shared" si="47"/>
        <v>0</v>
      </c>
      <c r="T230">
        <f t="shared" si="48"/>
        <v>8.3333333333333339</v>
      </c>
      <c r="U230">
        <f t="shared" si="46"/>
        <v>1</v>
      </c>
      <c r="V230">
        <f t="shared" si="49"/>
        <v>0</v>
      </c>
      <c r="W230">
        <f t="shared" si="50"/>
        <v>1</v>
      </c>
      <c r="X230">
        <f t="shared" si="59"/>
        <v>0</v>
      </c>
      <c r="Y230">
        <f t="shared" si="60"/>
        <v>1</v>
      </c>
      <c r="Z230">
        <f t="shared" si="51"/>
        <v>0</v>
      </c>
      <c r="AA230">
        <f t="shared" si="52"/>
        <v>0</v>
      </c>
      <c r="AB230">
        <f t="shared" si="53"/>
        <v>0</v>
      </c>
      <c r="AC230">
        <f t="shared" si="54"/>
        <v>10</v>
      </c>
      <c r="AD230" s="1">
        <f t="shared" si="55"/>
        <v>8.3333333333333339</v>
      </c>
      <c r="AE230">
        <f t="shared" si="56"/>
        <v>5</v>
      </c>
      <c r="AF230">
        <f t="shared" si="57"/>
        <v>10</v>
      </c>
      <c r="AG230">
        <f t="shared" si="58"/>
        <v>10</v>
      </c>
    </row>
    <row r="231" spans="1:33" x14ac:dyDescent="0.25">
      <c r="A231" t="s">
        <v>445</v>
      </c>
      <c r="B231" t="s">
        <v>446</v>
      </c>
      <c r="C231">
        <v>165841</v>
      </c>
      <c r="D231">
        <v>165841</v>
      </c>
      <c r="E231">
        <v>50</v>
      </c>
      <c r="F231">
        <v>40</v>
      </c>
      <c r="G231">
        <v>60</v>
      </c>
      <c r="O231">
        <v>150</v>
      </c>
      <c r="S231">
        <f t="shared" si="47"/>
        <v>9.375</v>
      </c>
      <c r="T231">
        <f t="shared" si="48"/>
        <v>0</v>
      </c>
      <c r="U231">
        <f t="shared" si="46"/>
        <v>1</v>
      </c>
      <c r="V231">
        <f t="shared" si="49"/>
        <v>1</v>
      </c>
      <c r="W231">
        <f t="shared" si="50"/>
        <v>0</v>
      </c>
      <c r="X231">
        <f t="shared" si="59"/>
        <v>1</v>
      </c>
      <c r="Y231">
        <f t="shared" si="60"/>
        <v>0</v>
      </c>
      <c r="Z231">
        <f t="shared" si="51"/>
        <v>10</v>
      </c>
      <c r="AA231">
        <f t="shared" si="52"/>
        <v>10</v>
      </c>
      <c r="AB231">
        <f t="shared" si="53"/>
        <v>8.5714285714285712</v>
      </c>
      <c r="AC231">
        <f t="shared" si="54"/>
        <v>0</v>
      </c>
      <c r="AD231" s="1">
        <f t="shared" si="55"/>
        <v>0</v>
      </c>
      <c r="AE231">
        <f t="shared" si="56"/>
        <v>0</v>
      </c>
      <c r="AF231">
        <f t="shared" si="57"/>
        <v>0</v>
      </c>
      <c r="AG231">
        <f t="shared" si="58"/>
        <v>0</v>
      </c>
    </row>
    <row r="232" spans="1:33" x14ac:dyDescent="0.25">
      <c r="A232" t="s">
        <v>447</v>
      </c>
      <c r="B232" t="s">
        <v>448</v>
      </c>
      <c r="C232">
        <v>165053</v>
      </c>
      <c r="D232">
        <v>165053</v>
      </c>
      <c r="H232">
        <v>10</v>
      </c>
      <c r="I232">
        <v>50</v>
      </c>
      <c r="J232">
        <v>20</v>
      </c>
      <c r="K232">
        <v>10</v>
      </c>
      <c r="L232">
        <v>10</v>
      </c>
      <c r="M232">
        <v>100</v>
      </c>
      <c r="S232">
        <f t="shared" si="47"/>
        <v>0</v>
      </c>
      <c r="T232">
        <f t="shared" si="48"/>
        <v>8.3333333333333339</v>
      </c>
      <c r="U232">
        <f t="shared" si="46"/>
        <v>1</v>
      </c>
      <c r="V232">
        <f t="shared" si="49"/>
        <v>0</v>
      </c>
      <c r="W232">
        <f t="shared" si="50"/>
        <v>1</v>
      </c>
      <c r="X232">
        <f t="shared" si="59"/>
        <v>0</v>
      </c>
      <c r="Y232">
        <f t="shared" si="60"/>
        <v>1</v>
      </c>
      <c r="Z232">
        <f t="shared" si="51"/>
        <v>0</v>
      </c>
      <c r="AA232">
        <f t="shared" si="52"/>
        <v>0</v>
      </c>
      <c r="AB232">
        <f t="shared" si="53"/>
        <v>0</v>
      </c>
      <c r="AC232">
        <f t="shared" si="54"/>
        <v>5</v>
      </c>
      <c r="AD232" s="1">
        <f t="shared" si="55"/>
        <v>8.3333333333333339</v>
      </c>
      <c r="AE232">
        <f t="shared" si="56"/>
        <v>10</v>
      </c>
      <c r="AF232">
        <f t="shared" si="57"/>
        <v>10</v>
      </c>
      <c r="AG232">
        <f t="shared" si="58"/>
        <v>10</v>
      </c>
    </row>
    <row r="233" spans="1:33" x14ac:dyDescent="0.25">
      <c r="A233" t="s">
        <v>449</v>
      </c>
      <c r="B233" t="s">
        <v>450</v>
      </c>
      <c r="C233">
        <v>166057</v>
      </c>
      <c r="D233">
        <v>166057</v>
      </c>
      <c r="H233">
        <v>20</v>
      </c>
      <c r="I233">
        <v>10</v>
      </c>
      <c r="J233">
        <v>10</v>
      </c>
      <c r="K233">
        <v>0</v>
      </c>
      <c r="L233">
        <v>0</v>
      </c>
      <c r="M233">
        <v>40</v>
      </c>
      <c r="S233">
        <f t="shared" si="47"/>
        <v>0</v>
      </c>
      <c r="T233">
        <f t="shared" si="48"/>
        <v>3.3333333333333335</v>
      </c>
      <c r="U233">
        <f t="shared" si="46"/>
        <v>1</v>
      </c>
      <c r="V233">
        <f t="shared" si="49"/>
        <v>0</v>
      </c>
      <c r="W233">
        <f t="shared" si="50"/>
        <v>1</v>
      </c>
      <c r="X233">
        <f t="shared" si="59"/>
        <v>0</v>
      </c>
      <c r="Y233">
        <f t="shared" si="60"/>
        <v>0</v>
      </c>
      <c r="Z233">
        <f t="shared" si="51"/>
        <v>0</v>
      </c>
      <c r="AA233">
        <f t="shared" si="52"/>
        <v>0</v>
      </c>
      <c r="AB233">
        <f t="shared" si="53"/>
        <v>0</v>
      </c>
      <c r="AC233">
        <f t="shared" si="54"/>
        <v>10</v>
      </c>
      <c r="AD233" s="1">
        <f t="shared" si="55"/>
        <v>1.6666666666666667</v>
      </c>
      <c r="AE233">
        <f t="shared" si="56"/>
        <v>5</v>
      </c>
      <c r="AF233">
        <f t="shared" si="57"/>
        <v>0</v>
      </c>
      <c r="AG233">
        <f t="shared" si="58"/>
        <v>0</v>
      </c>
    </row>
    <row r="234" spans="1:33" x14ac:dyDescent="0.25">
      <c r="A234" t="s">
        <v>451</v>
      </c>
      <c r="B234" t="s">
        <v>452</v>
      </c>
      <c r="C234">
        <v>165423</v>
      </c>
      <c r="D234">
        <v>165423</v>
      </c>
      <c r="E234">
        <v>40</v>
      </c>
      <c r="F234">
        <v>40</v>
      </c>
      <c r="G234">
        <v>30</v>
      </c>
      <c r="O234">
        <v>110</v>
      </c>
      <c r="S234">
        <f t="shared" si="47"/>
        <v>6.875</v>
      </c>
      <c r="T234">
        <f t="shared" si="48"/>
        <v>0</v>
      </c>
      <c r="U234">
        <f t="shared" si="46"/>
        <v>1</v>
      </c>
      <c r="V234">
        <f t="shared" si="49"/>
        <v>1</v>
      </c>
      <c r="W234">
        <f t="shared" si="50"/>
        <v>0</v>
      </c>
      <c r="X234">
        <f t="shared" si="59"/>
        <v>1</v>
      </c>
      <c r="Y234">
        <f t="shared" si="60"/>
        <v>0</v>
      </c>
      <c r="Z234">
        <f t="shared" si="51"/>
        <v>8</v>
      </c>
      <c r="AA234">
        <f t="shared" si="52"/>
        <v>10</v>
      </c>
      <c r="AB234">
        <f t="shared" si="53"/>
        <v>4.2857142857142856</v>
      </c>
      <c r="AC234">
        <f t="shared" si="54"/>
        <v>0</v>
      </c>
      <c r="AD234" s="1">
        <f t="shared" si="55"/>
        <v>0</v>
      </c>
      <c r="AE234">
        <f t="shared" si="56"/>
        <v>0</v>
      </c>
      <c r="AF234">
        <f t="shared" si="57"/>
        <v>0</v>
      </c>
      <c r="AG234">
        <f t="shared" si="58"/>
        <v>0</v>
      </c>
    </row>
    <row r="235" spans="1:33" x14ac:dyDescent="0.25">
      <c r="A235" t="s">
        <v>453</v>
      </c>
      <c r="B235" t="s">
        <v>367</v>
      </c>
      <c r="C235">
        <v>166865</v>
      </c>
      <c r="D235">
        <v>166865</v>
      </c>
      <c r="H235">
        <v>0</v>
      </c>
      <c r="I235">
        <v>20</v>
      </c>
      <c r="J235">
        <v>20</v>
      </c>
      <c r="K235">
        <v>0</v>
      </c>
      <c r="L235">
        <v>10</v>
      </c>
      <c r="M235">
        <v>50</v>
      </c>
      <c r="S235">
        <f t="shared" si="47"/>
        <v>0</v>
      </c>
      <c r="T235">
        <f t="shared" si="48"/>
        <v>4.166666666666667</v>
      </c>
      <c r="U235">
        <f t="shared" si="46"/>
        <v>1</v>
      </c>
      <c r="V235">
        <f t="shared" si="49"/>
        <v>0</v>
      </c>
      <c r="W235">
        <f t="shared" si="50"/>
        <v>1</v>
      </c>
      <c r="X235">
        <f t="shared" si="59"/>
        <v>0</v>
      </c>
      <c r="Y235">
        <f t="shared" si="60"/>
        <v>0</v>
      </c>
      <c r="Z235">
        <f t="shared" si="51"/>
        <v>0</v>
      </c>
      <c r="AA235">
        <f t="shared" si="52"/>
        <v>0</v>
      </c>
      <c r="AB235">
        <f t="shared" si="53"/>
        <v>0</v>
      </c>
      <c r="AC235">
        <f t="shared" si="54"/>
        <v>0</v>
      </c>
      <c r="AD235" s="1">
        <f t="shared" si="55"/>
        <v>3.3333333333333335</v>
      </c>
      <c r="AE235">
        <f t="shared" si="56"/>
        <v>10</v>
      </c>
      <c r="AF235">
        <f t="shared" si="57"/>
        <v>0</v>
      </c>
      <c r="AG235">
        <f t="shared" si="58"/>
        <v>10</v>
      </c>
    </row>
    <row r="236" spans="1:33" x14ac:dyDescent="0.25">
      <c r="A236" t="s">
        <v>454</v>
      </c>
      <c r="B236" t="s">
        <v>455</v>
      </c>
      <c r="C236">
        <v>168309</v>
      </c>
      <c r="D236">
        <v>168309</v>
      </c>
      <c r="E236">
        <v>0</v>
      </c>
      <c r="O236">
        <v>0</v>
      </c>
      <c r="S236">
        <f t="shared" si="47"/>
        <v>0</v>
      </c>
      <c r="T236">
        <f t="shared" si="48"/>
        <v>0</v>
      </c>
      <c r="U236">
        <f t="shared" si="46"/>
        <v>1</v>
      </c>
      <c r="V236">
        <f t="shared" si="49"/>
        <v>1</v>
      </c>
      <c r="W236">
        <f t="shared" si="50"/>
        <v>0</v>
      </c>
      <c r="X236">
        <f t="shared" si="59"/>
        <v>0</v>
      </c>
      <c r="Y236">
        <f t="shared" si="60"/>
        <v>0</v>
      </c>
      <c r="Z236">
        <f t="shared" si="51"/>
        <v>0</v>
      </c>
      <c r="AA236">
        <f t="shared" si="52"/>
        <v>0</v>
      </c>
      <c r="AB236">
        <f t="shared" si="53"/>
        <v>0</v>
      </c>
      <c r="AC236">
        <f t="shared" si="54"/>
        <v>0</v>
      </c>
      <c r="AD236" s="1">
        <f t="shared" si="55"/>
        <v>0</v>
      </c>
      <c r="AE236">
        <f t="shared" si="56"/>
        <v>0</v>
      </c>
      <c r="AF236">
        <f t="shared" si="57"/>
        <v>0</v>
      </c>
      <c r="AG236">
        <f t="shared" si="58"/>
        <v>0</v>
      </c>
    </row>
    <row r="237" spans="1:33" x14ac:dyDescent="0.25">
      <c r="A237" t="s">
        <v>456</v>
      </c>
      <c r="B237" t="s">
        <v>457</v>
      </c>
      <c r="C237">
        <v>166296</v>
      </c>
      <c r="D237">
        <v>166296</v>
      </c>
      <c r="H237">
        <v>20</v>
      </c>
      <c r="I237">
        <v>0</v>
      </c>
      <c r="J237">
        <v>0</v>
      </c>
      <c r="K237">
        <v>0</v>
      </c>
      <c r="L237">
        <v>0</v>
      </c>
      <c r="M237">
        <v>20</v>
      </c>
      <c r="S237">
        <f t="shared" si="47"/>
        <v>0</v>
      </c>
      <c r="T237">
        <f t="shared" si="48"/>
        <v>1.6666666666666667</v>
      </c>
      <c r="U237">
        <f t="shared" si="46"/>
        <v>1</v>
      </c>
      <c r="V237">
        <f t="shared" si="49"/>
        <v>0</v>
      </c>
      <c r="W237">
        <f t="shared" si="50"/>
        <v>1</v>
      </c>
      <c r="X237">
        <f t="shared" si="59"/>
        <v>0</v>
      </c>
      <c r="Y237">
        <f t="shared" si="60"/>
        <v>0</v>
      </c>
      <c r="Z237">
        <f t="shared" si="51"/>
        <v>0</v>
      </c>
      <c r="AA237">
        <f t="shared" si="52"/>
        <v>0</v>
      </c>
      <c r="AB237">
        <f t="shared" si="53"/>
        <v>0</v>
      </c>
      <c r="AC237">
        <f t="shared" si="54"/>
        <v>10</v>
      </c>
      <c r="AD237" s="1">
        <f t="shared" si="55"/>
        <v>0</v>
      </c>
      <c r="AE237">
        <f t="shared" si="56"/>
        <v>0</v>
      </c>
      <c r="AF237">
        <f t="shared" si="57"/>
        <v>0</v>
      </c>
      <c r="AG237">
        <f t="shared" si="58"/>
        <v>0</v>
      </c>
    </row>
    <row r="238" spans="1:33" x14ac:dyDescent="0.25">
      <c r="A238" t="s">
        <v>458</v>
      </c>
      <c r="B238" t="s">
        <v>67</v>
      </c>
      <c r="C238">
        <v>164585</v>
      </c>
      <c r="D238">
        <v>164585</v>
      </c>
      <c r="S238">
        <f t="shared" si="47"/>
        <v>0</v>
      </c>
      <c r="T238">
        <f t="shared" si="48"/>
        <v>0</v>
      </c>
      <c r="U238">
        <f t="shared" si="46"/>
        <v>0</v>
      </c>
      <c r="V238">
        <f t="shared" si="49"/>
        <v>0</v>
      </c>
      <c r="W238">
        <f t="shared" si="50"/>
        <v>0</v>
      </c>
      <c r="X238">
        <f t="shared" si="59"/>
        <v>0</v>
      </c>
      <c r="Y238">
        <f t="shared" si="60"/>
        <v>0</v>
      </c>
      <c r="Z238">
        <f t="shared" si="51"/>
        <v>0</v>
      </c>
      <c r="AA238">
        <f t="shared" si="52"/>
        <v>0</v>
      </c>
      <c r="AB238">
        <f t="shared" si="53"/>
        <v>0</v>
      </c>
      <c r="AC238">
        <f t="shared" si="54"/>
        <v>0</v>
      </c>
      <c r="AD238" s="1">
        <f t="shared" si="55"/>
        <v>0</v>
      </c>
      <c r="AE238">
        <f t="shared" si="56"/>
        <v>0</v>
      </c>
      <c r="AF238">
        <f t="shared" si="57"/>
        <v>0</v>
      </c>
      <c r="AG238">
        <f t="shared" si="58"/>
        <v>0</v>
      </c>
    </row>
    <row r="239" spans="1:33" x14ac:dyDescent="0.25">
      <c r="A239" t="s">
        <v>459</v>
      </c>
      <c r="B239" t="s">
        <v>460</v>
      </c>
      <c r="C239">
        <v>168539</v>
      </c>
      <c r="D239">
        <v>168539</v>
      </c>
      <c r="H239">
        <v>0</v>
      </c>
      <c r="I239">
        <v>20</v>
      </c>
      <c r="J239">
        <v>0</v>
      </c>
      <c r="K239">
        <v>10</v>
      </c>
      <c r="L239">
        <v>10</v>
      </c>
      <c r="M239">
        <v>40</v>
      </c>
      <c r="S239">
        <f t="shared" si="47"/>
        <v>0</v>
      </c>
      <c r="T239">
        <f t="shared" si="48"/>
        <v>3.3333333333333335</v>
      </c>
      <c r="U239">
        <f t="shared" si="46"/>
        <v>1</v>
      </c>
      <c r="V239">
        <f t="shared" si="49"/>
        <v>0</v>
      </c>
      <c r="W239">
        <f t="shared" si="50"/>
        <v>1</v>
      </c>
      <c r="X239">
        <f t="shared" si="59"/>
        <v>0</v>
      </c>
      <c r="Y239">
        <f t="shared" si="60"/>
        <v>0</v>
      </c>
      <c r="Z239">
        <f t="shared" si="51"/>
        <v>0</v>
      </c>
      <c r="AA239">
        <f t="shared" si="52"/>
        <v>0</v>
      </c>
      <c r="AB239">
        <f t="shared" si="53"/>
        <v>0</v>
      </c>
      <c r="AC239">
        <f t="shared" si="54"/>
        <v>0</v>
      </c>
      <c r="AD239" s="1">
        <f t="shared" si="55"/>
        <v>3.3333333333333335</v>
      </c>
      <c r="AE239">
        <f t="shared" si="56"/>
        <v>0</v>
      </c>
      <c r="AF239">
        <f t="shared" si="57"/>
        <v>10</v>
      </c>
      <c r="AG239">
        <f t="shared" si="58"/>
        <v>10</v>
      </c>
    </row>
    <row r="240" spans="1:33" x14ac:dyDescent="0.25">
      <c r="A240" t="s">
        <v>461</v>
      </c>
      <c r="B240" t="s">
        <v>462</v>
      </c>
      <c r="C240">
        <v>164360</v>
      </c>
      <c r="D240">
        <v>164360</v>
      </c>
      <c r="E240">
        <v>30</v>
      </c>
      <c r="F240">
        <v>40</v>
      </c>
      <c r="G240">
        <v>30</v>
      </c>
      <c r="O240">
        <v>100</v>
      </c>
      <c r="S240">
        <f t="shared" si="47"/>
        <v>6.25</v>
      </c>
      <c r="T240">
        <f t="shared" si="48"/>
        <v>0</v>
      </c>
      <c r="U240">
        <f t="shared" si="46"/>
        <v>1</v>
      </c>
      <c r="V240">
        <f t="shared" si="49"/>
        <v>1</v>
      </c>
      <c r="W240">
        <f t="shared" si="50"/>
        <v>0</v>
      </c>
      <c r="X240">
        <f t="shared" si="59"/>
        <v>1</v>
      </c>
      <c r="Y240">
        <f t="shared" si="60"/>
        <v>0</v>
      </c>
      <c r="Z240">
        <f t="shared" si="51"/>
        <v>6</v>
      </c>
      <c r="AA240">
        <f t="shared" si="52"/>
        <v>10</v>
      </c>
      <c r="AB240">
        <f t="shared" si="53"/>
        <v>4.2857142857142856</v>
      </c>
      <c r="AC240">
        <f t="shared" si="54"/>
        <v>0</v>
      </c>
      <c r="AD240" s="1">
        <f t="shared" si="55"/>
        <v>0</v>
      </c>
      <c r="AE240">
        <f t="shared" si="56"/>
        <v>0</v>
      </c>
      <c r="AF240">
        <f t="shared" si="57"/>
        <v>0</v>
      </c>
      <c r="AG240">
        <f t="shared" si="58"/>
        <v>0</v>
      </c>
    </row>
    <row r="241" spans="1:33" x14ac:dyDescent="0.25">
      <c r="A241" t="s">
        <v>463</v>
      </c>
      <c r="B241" t="s">
        <v>166</v>
      </c>
      <c r="C241">
        <v>163279</v>
      </c>
      <c r="D241">
        <v>163279</v>
      </c>
      <c r="H241">
        <v>10</v>
      </c>
      <c r="I241">
        <v>50</v>
      </c>
      <c r="J241">
        <v>20</v>
      </c>
      <c r="K241">
        <v>10</v>
      </c>
      <c r="L241">
        <v>0</v>
      </c>
      <c r="M241">
        <v>90</v>
      </c>
      <c r="S241">
        <f t="shared" si="47"/>
        <v>0</v>
      </c>
      <c r="T241">
        <f t="shared" si="48"/>
        <v>7.5</v>
      </c>
      <c r="U241">
        <f t="shared" si="46"/>
        <v>1</v>
      </c>
      <c r="V241">
        <f t="shared" si="49"/>
        <v>0</v>
      </c>
      <c r="W241">
        <f t="shared" si="50"/>
        <v>1</v>
      </c>
      <c r="X241">
        <f t="shared" si="59"/>
        <v>0</v>
      </c>
      <c r="Y241">
        <f t="shared" si="60"/>
        <v>1</v>
      </c>
      <c r="Z241">
        <f t="shared" si="51"/>
        <v>0</v>
      </c>
      <c r="AA241">
        <f t="shared" si="52"/>
        <v>0</v>
      </c>
      <c r="AB241">
        <f t="shared" si="53"/>
        <v>0</v>
      </c>
      <c r="AC241">
        <f t="shared" si="54"/>
        <v>5</v>
      </c>
      <c r="AD241" s="1">
        <f t="shared" si="55"/>
        <v>8.3333333333333339</v>
      </c>
      <c r="AE241">
        <f t="shared" si="56"/>
        <v>10</v>
      </c>
      <c r="AF241">
        <f t="shared" si="57"/>
        <v>10</v>
      </c>
      <c r="AG241">
        <f t="shared" si="58"/>
        <v>0</v>
      </c>
    </row>
    <row r="242" spans="1:33" x14ac:dyDescent="0.25">
      <c r="A242" t="s">
        <v>464</v>
      </c>
      <c r="B242" t="s">
        <v>465</v>
      </c>
      <c r="C242">
        <v>167281</v>
      </c>
      <c r="D242">
        <v>167281</v>
      </c>
      <c r="H242">
        <v>10</v>
      </c>
      <c r="I242">
        <v>40</v>
      </c>
      <c r="J242">
        <v>10</v>
      </c>
      <c r="K242">
        <v>0</v>
      </c>
      <c r="L242">
        <v>10</v>
      </c>
      <c r="M242">
        <v>70</v>
      </c>
      <c r="S242">
        <f t="shared" si="47"/>
        <v>0</v>
      </c>
      <c r="T242">
        <f t="shared" si="48"/>
        <v>5.833333333333333</v>
      </c>
      <c r="U242">
        <f t="shared" si="46"/>
        <v>1</v>
      </c>
      <c r="V242">
        <f t="shared" si="49"/>
        <v>0</v>
      </c>
      <c r="W242">
        <f t="shared" si="50"/>
        <v>1</v>
      </c>
      <c r="X242">
        <f t="shared" si="59"/>
        <v>0</v>
      </c>
      <c r="Y242">
        <f t="shared" si="60"/>
        <v>0</v>
      </c>
      <c r="Z242">
        <f t="shared" si="51"/>
        <v>0</v>
      </c>
      <c r="AA242">
        <f t="shared" si="52"/>
        <v>0</v>
      </c>
      <c r="AB242">
        <f t="shared" si="53"/>
        <v>0</v>
      </c>
      <c r="AC242">
        <f t="shared" si="54"/>
        <v>5</v>
      </c>
      <c r="AD242" s="1">
        <f t="shared" si="55"/>
        <v>6.666666666666667</v>
      </c>
      <c r="AE242">
        <f t="shared" si="56"/>
        <v>5</v>
      </c>
      <c r="AF242">
        <f t="shared" si="57"/>
        <v>0</v>
      </c>
      <c r="AG242">
        <f t="shared" si="58"/>
        <v>10</v>
      </c>
    </row>
    <row r="243" spans="1:33" x14ac:dyDescent="0.25">
      <c r="A243" t="s">
        <v>466</v>
      </c>
      <c r="B243" t="s">
        <v>467</v>
      </c>
      <c r="C243">
        <v>167633</v>
      </c>
      <c r="D243">
        <v>167633</v>
      </c>
      <c r="H243">
        <v>20</v>
      </c>
      <c r="I243">
        <v>30</v>
      </c>
      <c r="J243">
        <v>10</v>
      </c>
      <c r="K243">
        <v>10</v>
      </c>
      <c r="L243">
        <v>10</v>
      </c>
      <c r="M243">
        <v>80</v>
      </c>
      <c r="S243">
        <f t="shared" si="47"/>
        <v>0</v>
      </c>
      <c r="T243">
        <f t="shared" si="48"/>
        <v>6.666666666666667</v>
      </c>
      <c r="U243">
        <f t="shared" si="46"/>
        <v>1</v>
      </c>
      <c r="V243">
        <f t="shared" si="49"/>
        <v>0</v>
      </c>
      <c r="W243">
        <f t="shared" si="50"/>
        <v>1</v>
      </c>
      <c r="X243">
        <f t="shared" si="59"/>
        <v>0</v>
      </c>
      <c r="Y243">
        <f t="shared" si="60"/>
        <v>1</v>
      </c>
      <c r="Z243">
        <f t="shared" si="51"/>
        <v>0</v>
      </c>
      <c r="AA243">
        <f t="shared" si="52"/>
        <v>0</v>
      </c>
      <c r="AB243">
        <f t="shared" si="53"/>
        <v>0</v>
      </c>
      <c r="AC243">
        <f t="shared" si="54"/>
        <v>10</v>
      </c>
      <c r="AD243" s="1">
        <f t="shared" si="55"/>
        <v>5</v>
      </c>
      <c r="AE243">
        <f t="shared" si="56"/>
        <v>5</v>
      </c>
      <c r="AF243">
        <f t="shared" si="57"/>
        <v>10</v>
      </c>
      <c r="AG243">
        <f t="shared" si="58"/>
        <v>10</v>
      </c>
    </row>
    <row r="244" spans="1:33" x14ac:dyDescent="0.25">
      <c r="A244" t="s">
        <v>468</v>
      </c>
      <c r="B244" t="s">
        <v>469</v>
      </c>
      <c r="C244">
        <v>166436</v>
      </c>
      <c r="D244">
        <v>166436</v>
      </c>
      <c r="H244">
        <v>10</v>
      </c>
      <c r="I244">
        <v>40</v>
      </c>
      <c r="J244">
        <v>10</v>
      </c>
      <c r="K244">
        <v>0</v>
      </c>
      <c r="L244">
        <v>0</v>
      </c>
      <c r="M244">
        <v>60</v>
      </c>
      <c r="S244">
        <f t="shared" si="47"/>
        <v>0</v>
      </c>
      <c r="T244">
        <f t="shared" si="48"/>
        <v>5</v>
      </c>
      <c r="U244">
        <f t="shared" si="46"/>
        <v>1</v>
      </c>
      <c r="V244">
        <f t="shared" si="49"/>
        <v>0</v>
      </c>
      <c r="W244">
        <f t="shared" si="50"/>
        <v>1</v>
      </c>
      <c r="X244">
        <f t="shared" si="59"/>
        <v>0</v>
      </c>
      <c r="Y244">
        <f t="shared" si="60"/>
        <v>0</v>
      </c>
      <c r="Z244">
        <f t="shared" si="51"/>
        <v>0</v>
      </c>
      <c r="AA244">
        <f t="shared" si="52"/>
        <v>0</v>
      </c>
      <c r="AB244">
        <f t="shared" si="53"/>
        <v>0</v>
      </c>
      <c r="AC244">
        <f t="shared" si="54"/>
        <v>5</v>
      </c>
      <c r="AD244" s="1">
        <f t="shared" si="55"/>
        <v>6.666666666666667</v>
      </c>
      <c r="AE244">
        <f t="shared" si="56"/>
        <v>5</v>
      </c>
      <c r="AF244">
        <f t="shared" si="57"/>
        <v>0</v>
      </c>
      <c r="AG244">
        <f t="shared" si="58"/>
        <v>0</v>
      </c>
    </row>
    <row r="245" spans="1:33" x14ac:dyDescent="0.25">
      <c r="A245" t="s">
        <v>470</v>
      </c>
      <c r="B245" t="s">
        <v>471</v>
      </c>
      <c r="C245">
        <v>165772</v>
      </c>
      <c r="D245">
        <v>165772</v>
      </c>
      <c r="H245">
        <v>10</v>
      </c>
      <c r="I245">
        <v>40</v>
      </c>
      <c r="J245">
        <v>10</v>
      </c>
      <c r="K245">
        <v>0</v>
      </c>
      <c r="L245">
        <v>10</v>
      </c>
      <c r="M245">
        <v>70</v>
      </c>
      <c r="S245">
        <f t="shared" si="47"/>
        <v>0</v>
      </c>
      <c r="T245">
        <f t="shared" si="48"/>
        <v>5.833333333333333</v>
      </c>
      <c r="U245">
        <f t="shared" si="46"/>
        <v>1</v>
      </c>
      <c r="V245">
        <f t="shared" si="49"/>
        <v>0</v>
      </c>
      <c r="W245">
        <f t="shared" si="50"/>
        <v>1</v>
      </c>
      <c r="X245">
        <f t="shared" si="59"/>
        <v>0</v>
      </c>
      <c r="Y245">
        <f t="shared" si="60"/>
        <v>0</v>
      </c>
      <c r="Z245">
        <f t="shared" si="51"/>
        <v>0</v>
      </c>
      <c r="AA245">
        <f t="shared" si="52"/>
        <v>0</v>
      </c>
      <c r="AB245">
        <f t="shared" si="53"/>
        <v>0</v>
      </c>
      <c r="AC245">
        <f t="shared" si="54"/>
        <v>5</v>
      </c>
      <c r="AD245" s="1">
        <f t="shared" si="55"/>
        <v>6.666666666666667</v>
      </c>
      <c r="AE245">
        <f t="shared" si="56"/>
        <v>5</v>
      </c>
      <c r="AF245">
        <f t="shared" si="57"/>
        <v>0</v>
      </c>
      <c r="AG245">
        <f t="shared" si="58"/>
        <v>10</v>
      </c>
    </row>
    <row r="246" spans="1:33" x14ac:dyDescent="0.25">
      <c r="A246" t="s">
        <v>472</v>
      </c>
      <c r="B246" t="s">
        <v>473</v>
      </c>
      <c r="C246">
        <v>166105</v>
      </c>
      <c r="D246">
        <v>166105</v>
      </c>
      <c r="E246">
        <v>50</v>
      </c>
      <c r="F246">
        <v>40</v>
      </c>
      <c r="G246">
        <v>50</v>
      </c>
      <c r="O246">
        <v>140</v>
      </c>
      <c r="S246">
        <f t="shared" si="47"/>
        <v>8.75</v>
      </c>
      <c r="T246">
        <f t="shared" si="48"/>
        <v>0</v>
      </c>
      <c r="U246">
        <f t="shared" si="46"/>
        <v>1</v>
      </c>
      <c r="V246">
        <f t="shared" si="49"/>
        <v>1</v>
      </c>
      <c r="W246">
        <f t="shared" si="50"/>
        <v>0</v>
      </c>
      <c r="X246">
        <f t="shared" si="59"/>
        <v>1</v>
      </c>
      <c r="Y246">
        <f t="shared" si="60"/>
        <v>0</v>
      </c>
      <c r="Z246">
        <f t="shared" si="51"/>
        <v>10</v>
      </c>
      <c r="AA246">
        <f t="shared" si="52"/>
        <v>10</v>
      </c>
      <c r="AB246">
        <f t="shared" si="53"/>
        <v>7.1428571428571432</v>
      </c>
      <c r="AC246">
        <f t="shared" si="54"/>
        <v>0</v>
      </c>
      <c r="AD246" s="1">
        <f t="shared" si="55"/>
        <v>0</v>
      </c>
      <c r="AE246">
        <f t="shared" si="56"/>
        <v>0</v>
      </c>
      <c r="AF246">
        <f t="shared" si="57"/>
        <v>0</v>
      </c>
      <c r="AG246">
        <f t="shared" si="58"/>
        <v>0</v>
      </c>
    </row>
    <row r="247" spans="1:33" x14ac:dyDescent="0.25">
      <c r="A247" t="s">
        <v>474</v>
      </c>
      <c r="B247" t="s">
        <v>475</v>
      </c>
      <c r="C247">
        <v>168464</v>
      </c>
      <c r="D247">
        <v>168464</v>
      </c>
      <c r="E247">
        <v>50</v>
      </c>
      <c r="F247">
        <v>20</v>
      </c>
      <c r="G247">
        <v>50</v>
      </c>
      <c r="O247">
        <v>120</v>
      </c>
      <c r="S247">
        <f t="shared" si="47"/>
        <v>7.5</v>
      </c>
      <c r="T247">
        <f t="shared" si="48"/>
        <v>0</v>
      </c>
      <c r="U247">
        <f t="shared" si="46"/>
        <v>1</v>
      </c>
      <c r="V247">
        <f t="shared" si="49"/>
        <v>1</v>
      </c>
      <c r="W247">
        <f t="shared" si="50"/>
        <v>0</v>
      </c>
      <c r="X247">
        <f t="shared" si="59"/>
        <v>1</v>
      </c>
      <c r="Y247">
        <f t="shared" si="60"/>
        <v>0</v>
      </c>
      <c r="Z247">
        <f t="shared" si="51"/>
        <v>10</v>
      </c>
      <c r="AA247">
        <f t="shared" si="52"/>
        <v>5</v>
      </c>
      <c r="AB247">
        <f t="shared" si="53"/>
        <v>7.1428571428571432</v>
      </c>
      <c r="AC247">
        <f t="shared" si="54"/>
        <v>0</v>
      </c>
      <c r="AD247" s="1">
        <f t="shared" si="55"/>
        <v>0</v>
      </c>
      <c r="AE247">
        <f t="shared" si="56"/>
        <v>0</v>
      </c>
      <c r="AF247">
        <f t="shared" si="57"/>
        <v>0</v>
      </c>
      <c r="AG247">
        <f t="shared" si="58"/>
        <v>0</v>
      </c>
    </row>
    <row r="248" spans="1:33" x14ac:dyDescent="0.25">
      <c r="A248" t="s">
        <v>476</v>
      </c>
      <c r="B248" t="s">
        <v>477</v>
      </c>
      <c r="C248">
        <v>157881</v>
      </c>
      <c r="D248">
        <v>157881</v>
      </c>
      <c r="S248">
        <f t="shared" si="47"/>
        <v>0</v>
      </c>
      <c r="T248">
        <f t="shared" si="48"/>
        <v>0</v>
      </c>
      <c r="U248">
        <f t="shared" si="46"/>
        <v>0</v>
      </c>
      <c r="V248">
        <f t="shared" si="49"/>
        <v>0</v>
      </c>
      <c r="W248">
        <f t="shared" si="50"/>
        <v>0</v>
      </c>
      <c r="X248">
        <f t="shared" si="59"/>
        <v>0</v>
      </c>
      <c r="Y248">
        <f t="shared" si="60"/>
        <v>0</v>
      </c>
      <c r="Z248">
        <f t="shared" si="51"/>
        <v>0</v>
      </c>
      <c r="AA248">
        <f t="shared" si="52"/>
        <v>0</v>
      </c>
      <c r="AB248">
        <f t="shared" si="53"/>
        <v>0</v>
      </c>
      <c r="AC248">
        <f t="shared" si="54"/>
        <v>0</v>
      </c>
      <c r="AD248" s="1">
        <f t="shared" si="55"/>
        <v>0</v>
      </c>
      <c r="AE248">
        <f t="shared" si="56"/>
        <v>0</v>
      </c>
      <c r="AF248">
        <f t="shared" si="57"/>
        <v>0</v>
      </c>
      <c r="AG248">
        <f t="shared" si="58"/>
        <v>0</v>
      </c>
    </row>
    <row r="249" spans="1:33" x14ac:dyDescent="0.25">
      <c r="A249" t="s">
        <v>478</v>
      </c>
      <c r="B249" t="s">
        <v>479</v>
      </c>
      <c r="C249">
        <v>166119</v>
      </c>
      <c r="D249">
        <v>166119</v>
      </c>
      <c r="E249">
        <v>20</v>
      </c>
      <c r="F249">
        <v>40</v>
      </c>
      <c r="G249">
        <v>50</v>
      </c>
      <c r="O249">
        <v>110</v>
      </c>
      <c r="S249">
        <f t="shared" si="47"/>
        <v>6.875</v>
      </c>
      <c r="T249">
        <f t="shared" si="48"/>
        <v>0</v>
      </c>
      <c r="U249">
        <f t="shared" si="46"/>
        <v>1</v>
      </c>
      <c r="V249">
        <f t="shared" si="49"/>
        <v>1</v>
      </c>
      <c r="W249">
        <f t="shared" si="50"/>
        <v>0</v>
      </c>
      <c r="X249">
        <f t="shared" si="59"/>
        <v>1</v>
      </c>
      <c r="Y249">
        <f t="shared" si="60"/>
        <v>0</v>
      </c>
      <c r="Z249">
        <f t="shared" si="51"/>
        <v>4</v>
      </c>
      <c r="AA249">
        <f t="shared" si="52"/>
        <v>10</v>
      </c>
      <c r="AB249">
        <f t="shared" si="53"/>
        <v>7.1428571428571432</v>
      </c>
      <c r="AC249">
        <f t="shared" si="54"/>
        <v>0</v>
      </c>
      <c r="AD249" s="1">
        <f t="shared" si="55"/>
        <v>0</v>
      </c>
      <c r="AE249">
        <f t="shared" si="56"/>
        <v>0</v>
      </c>
      <c r="AF249">
        <f t="shared" si="57"/>
        <v>0</v>
      </c>
      <c r="AG249">
        <f t="shared" si="58"/>
        <v>0</v>
      </c>
    </row>
    <row r="250" spans="1:33" x14ac:dyDescent="0.25">
      <c r="A250" t="s">
        <v>480</v>
      </c>
      <c r="B250" t="s">
        <v>481</v>
      </c>
      <c r="C250">
        <v>168038</v>
      </c>
      <c r="D250">
        <v>168038</v>
      </c>
      <c r="H250">
        <v>10</v>
      </c>
      <c r="I250">
        <v>40</v>
      </c>
      <c r="J250">
        <v>0</v>
      </c>
      <c r="K250">
        <v>0</v>
      </c>
      <c r="L250">
        <v>10</v>
      </c>
      <c r="M250">
        <v>60</v>
      </c>
      <c r="S250">
        <f t="shared" si="47"/>
        <v>0</v>
      </c>
      <c r="T250">
        <f t="shared" si="48"/>
        <v>5</v>
      </c>
      <c r="U250">
        <f t="shared" si="46"/>
        <v>1</v>
      </c>
      <c r="V250">
        <f t="shared" si="49"/>
        <v>0</v>
      </c>
      <c r="W250">
        <f t="shared" si="50"/>
        <v>1</v>
      </c>
      <c r="X250">
        <f t="shared" si="59"/>
        <v>0</v>
      </c>
      <c r="Y250">
        <f t="shared" si="60"/>
        <v>0</v>
      </c>
      <c r="Z250">
        <f t="shared" si="51"/>
        <v>0</v>
      </c>
      <c r="AA250">
        <f t="shared" si="52"/>
        <v>0</v>
      </c>
      <c r="AB250">
        <f t="shared" si="53"/>
        <v>0</v>
      </c>
      <c r="AC250">
        <f t="shared" si="54"/>
        <v>5</v>
      </c>
      <c r="AD250" s="1">
        <f t="shared" si="55"/>
        <v>6.666666666666667</v>
      </c>
      <c r="AE250">
        <f t="shared" si="56"/>
        <v>0</v>
      </c>
      <c r="AF250">
        <f t="shared" si="57"/>
        <v>0</v>
      </c>
      <c r="AG250">
        <f t="shared" si="58"/>
        <v>10</v>
      </c>
    </row>
    <row r="251" spans="1:33" x14ac:dyDescent="0.25">
      <c r="A251" t="s">
        <v>482</v>
      </c>
      <c r="B251" t="s">
        <v>483</v>
      </c>
      <c r="C251">
        <v>167134</v>
      </c>
      <c r="D251">
        <v>167134</v>
      </c>
      <c r="H251">
        <v>10</v>
      </c>
      <c r="I251">
        <v>50</v>
      </c>
      <c r="J251">
        <v>20</v>
      </c>
      <c r="K251">
        <v>10</v>
      </c>
      <c r="L251">
        <v>10</v>
      </c>
      <c r="M251">
        <v>100</v>
      </c>
      <c r="S251">
        <f t="shared" si="47"/>
        <v>0</v>
      </c>
      <c r="T251">
        <f t="shared" si="48"/>
        <v>8.3333333333333339</v>
      </c>
      <c r="U251">
        <f t="shared" si="46"/>
        <v>1</v>
      </c>
      <c r="V251">
        <f t="shared" si="49"/>
        <v>0</v>
      </c>
      <c r="W251">
        <f t="shared" si="50"/>
        <v>1</v>
      </c>
      <c r="X251">
        <f t="shared" si="59"/>
        <v>0</v>
      </c>
      <c r="Y251">
        <f t="shared" si="60"/>
        <v>1</v>
      </c>
      <c r="Z251">
        <f t="shared" si="51"/>
        <v>0</v>
      </c>
      <c r="AA251">
        <f t="shared" si="52"/>
        <v>0</v>
      </c>
      <c r="AB251">
        <f t="shared" si="53"/>
        <v>0</v>
      </c>
      <c r="AC251">
        <f t="shared" si="54"/>
        <v>5</v>
      </c>
      <c r="AD251" s="1">
        <f t="shared" si="55"/>
        <v>8.3333333333333339</v>
      </c>
      <c r="AE251">
        <f t="shared" si="56"/>
        <v>10</v>
      </c>
      <c r="AF251">
        <f t="shared" si="57"/>
        <v>10</v>
      </c>
      <c r="AG251">
        <f t="shared" si="58"/>
        <v>10</v>
      </c>
    </row>
    <row r="252" spans="1:33" x14ac:dyDescent="0.25">
      <c r="A252" t="s">
        <v>484</v>
      </c>
      <c r="B252" t="s">
        <v>408</v>
      </c>
      <c r="C252">
        <v>143794</v>
      </c>
      <c r="D252">
        <v>143794</v>
      </c>
      <c r="E252">
        <v>30</v>
      </c>
      <c r="F252">
        <v>10</v>
      </c>
      <c r="G252">
        <v>20</v>
      </c>
      <c r="O252">
        <v>60</v>
      </c>
      <c r="S252">
        <f t="shared" si="47"/>
        <v>3.75</v>
      </c>
      <c r="T252">
        <f t="shared" si="48"/>
        <v>0</v>
      </c>
      <c r="U252">
        <f t="shared" si="46"/>
        <v>1</v>
      </c>
      <c r="V252">
        <f t="shared" si="49"/>
        <v>1</v>
      </c>
      <c r="W252">
        <f t="shared" si="50"/>
        <v>0</v>
      </c>
      <c r="X252">
        <f t="shared" si="59"/>
        <v>0</v>
      </c>
      <c r="Y252">
        <f t="shared" si="60"/>
        <v>0</v>
      </c>
      <c r="Z252">
        <f t="shared" si="51"/>
        <v>6</v>
      </c>
      <c r="AA252">
        <f t="shared" si="52"/>
        <v>2.5</v>
      </c>
      <c r="AB252">
        <f t="shared" si="53"/>
        <v>2.8571428571428572</v>
      </c>
      <c r="AC252">
        <f t="shared" si="54"/>
        <v>0</v>
      </c>
      <c r="AD252" s="1">
        <f t="shared" si="55"/>
        <v>0</v>
      </c>
      <c r="AE252">
        <f t="shared" si="56"/>
        <v>0</v>
      </c>
      <c r="AF252">
        <f t="shared" si="57"/>
        <v>0</v>
      </c>
      <c r="AG252">
        <f t="shared" si="58"/>
        <v>0</v>
      </c>
    </row>
    <row r="253" spans="1:33" x14ac:dyDescent="0.25">
      <c r="A253" t="s">
        <v>485</v>
      </c>
      <c r="B253" t="s">
        <v>486</v>
      </c>
      <c r="C253">
        <v>166243</v>
      </c>
      <c r="D253">
        <v>166243</v>
      </c>
      <c r="S253">
        <f t="shared" si="47"/>
        <v>0</v>
      </c>
      <c r="T253">
        <f t="shared" si="48"/>
        <v>0</v>
      </c>
      <c r="U253">
        <f t="shared" si="46"/>
        <v>0</v>
      </c>
      <c r="V253">
        <f t="shared" si="49"/>
        <v>0</v>
      </c>
      <c r="W253">
        <f t="shared" si="50"/>
        <v>0</v>
      </c>
      <c r="X253">
        <f t="shared" si="59"/>
        <v>0</v>
      </c>
      <c r="Y253">
        <f t="shared" si="60"/>
        <v>0</v>
      </c>
      <c r="Z253">
        <f t="shared" si="51"/>
        <v>0</v>
      </c>
      <c r="AA253">
        <f t="shared" si="52"/>
        <v>0</v>
      </c>
      <c r="AB253">
        <f t="shared" si="53"/>
        <v>0</v>
      </c>
      <c r="AC253">
        <f t="shared" si="54"/>
        <v>0</v>
      </c>
      <c r="AD253" s="1">
        <f t="shared" si="55"/>
        <v>0</v>
      </c>
      <c r="AE253">
        <f t="shared" si="56"/>
        <v>0</v>
      </c>
      <c r="AF253">
        <f t="shared" si="57"/>
        <v>0</v>
      </c>
      <c r="AG253">
        <f t="shared" si="58"/>
        <v>0</v>
      </c>
    </row>
    <row r="254" spans="1:33" x14ac:dyDescent="0.25">
      <c r="A254" t="s">
        <v>487</v>
      </c>
      <c r="B254" t="s">
        <v>248</v>
      </c>
      <c r="C254">
        <v>167465</v>
      </c>
      <c r="D254">
        <v>167465</v>
      </c>
      <c r="E254">
        <v>20</v>
      </c>
      <c r="F254">
        <v>20</v>
      </c>
      <c r="G254">
        <v>20</v>
      </c>
      <c r="O254">
        <v>60</v>
      </c>
      <c r="S254">
        <f t="shared" si="47"/>
        <v>3.75</v>
      </c>
      <c r="T254">
        <f t="shared" si="48"/>
        <v>0</v>
      </c>
      <c r="U254">
        <f t="shared" si="46"/>
        <v>1</v>
      </c>
      <c r="V254">
        <f t="shared" si="49"/>
        <v>1</v>
      </c>
      <c r="W254">
        <f t="shared" si="50"/>
        <v>0</v>
      </c>
      <c r="X254">
        <f t="shared" si="59"/>
        <v>0</v>
      </c>
      <c r="Y254">
        <f t="shared" si="60"/>
        <v>0</v>
      </c>
      <c r="Z254">
        <f t="shared" si="51"/>
        <v>4</v>
      </c>
      <c r="AA254">
        <f t="shared" si="52"/>
        <v>5</v>
      </c>
      <c r="AB254">
        <f t="shared" si="53"/>
        <v>2.8571428571428572</v>
      </c>
      <c r="AC254">
        <f t="shared" si="54"/>
        <v>0</v>
      </c>
      <c r="AD254" s="1">
        <f t="shared" si="55"/>
        <v>0</v>
      </c>
      <c r="AE254">
        <f t="shared" si="56"/>
        <v>0</v>
      </c>
      <c r="AF254">
        <f t="shared" si="57"/>
        <v>0</v>
      </c>
      <c r="AG254">
        <f t="shared" si="58"/>
        <v>0</v>
      </c>
    </row>
    <row r="255" spans="1:33" x14ac:dyDescent="0.25">
      <c r="A255" t="s">
        <v>488</v>
      </c>
      <c r="B255" t="s">
        <v>489</v>
      </c>
      <c r="C255">
        <v>167670</v>
      </c>
      <c r="D255">
        <v>167670</v>
      </c>
      <c r="S255">
        <f t="shared" si="47"/>
        <v>0</v>
      </c>
      <c r="T255">
        <f t="shared" si="48"/>
        <v>0</v>
      </c>
      <c r="U255">
        <f t="shared" si="46"/>
        <v>0</v>
      </c>
      <c r="V255">
        <f t="shared" si="49"/>
        <v>0</v>
      </c>
      <c r="W255">
        <f t="shared" si="50"/>
        <v>0</v>
      </c>
      <c r="X255">
        <f t="shared" si="59"/>
        <v>0</v>
      </c>
      <c r="Y255">
        <f t="shared" si="60"/>
        <v>0</v>
      </c>
      <c r="Z255">
        <f t="shared" si="51"/>
        <v>0</v>
      </c>
      <c r="AA255">
        <f t="shared" si="52"/>
        <v>0</v>
      </c>
      <c r="AB255">
        <f t="shared" si="53"/>
        <v>0</v>
      </c>
      <c r="AC255">
        <f t="shared" si="54"/>
        <v>0</v>
      </c>
      <c r="AD255" s="1">
        <f t="shared" si="55"/>
        <v>0</v>
      </c>
      <c r="AE255">
        <f t="shared" si="56"/>
        <v>0</v>
      </c>
      <c r="AF255">
        <f t="shared" si="57"/>
        <v>0</v>
      </c>
      <c r="AG255">
        <f t="shared" si="58"/>
        <v>0</v>
      </c>
    </row>
    <row r="256" spans="1:33" x14ac:dyDescent="0.25">
      <c r="A256" t="s">
        <v>490</v>
      </c>
      <c r="B256" t="s">
        <v>491</v>
      </c>
      <c r="C256">
        <v>159185</v>
      </c>
      <c r="D256">
        <v>159185</v>
      </c>
      <c r="S256">
        <f t="shared" si="47"/>
        <v>0</v>
      </c>
      <c r="T256">
        <f t="shared" si="48"/>
        <v>0</v>
      </c>
      <c r="U256">
        <f t="shared" si="46"/>
        <v>0</v>
      </c>
      <c r="V256">
        <f t="shared" si="49"/>
        <v>0</v>
      </c>
      <c r="W256">
        <f t="shared" si="50"/>
        <v>0</v>
      </c>
      <c r="X256">
        <f t="shared" si="59"/>
        <v>0</v>
      </c>
      <c r="Y256">
        <f t="shared" si="60"/>
        <v>0</v>
      </c>
      <c r="Z256">
        <f t="shared" si="51"/>
        <v>0</v>
      </c>
      <c r="AA256">
        <f t="shared" si="52"/>
        <v>0</v>
      </c>
      <c r="AB256">
        <f t="shared" si="53"/>
        <v>0</v>
      </c>
      <c r="AC256">
        <f t="shared" si="54"/>
        <v>0</v>
      </c>
      <c r="AD256" s="1">
        <f t="shared" si="55"/>
        <v>0</v>
      </c>
      <c r="AE256">
        <f t="shared" si="56"/>
        <v>0</v>
      </c>
      <c r="AF256">
        <f t="shared" si="57"/>
        <v>0</v>
      </c>
      <c r="AG256">
        <f t="shared" si="58"/>
        <v>0</v>
      </c>
    </row>
    <row r="257" spans="1:33" x14ac:dyDescent="0.25">
      <c r="A257" t="s">
        <v>492</v>
      </c>
      <c r="B257" t="s">
        <v>493</v>
      </c>
      <c r="C257">
        <v>165934</v>
      </c>
      <c r="D257">
        <v>165934</v>
      </c>
      <c r="E257">
        <v>10</v>
      </c>
      <c r="F257">
        <v>40</v>
      </c>
      <c r="G257">
        <v>30</v>
      </c>
      <c r="O257">
        <v>80</v>
      </c>
      <c r="S257">
        <f t="shared" si="47"/>
        <v>5</v>
      </c>
      <c r="T257">
        <f t="shared" si="48"/>
        <v>0</v>
      </c>
      <c r="U257">
        <f t="shared" si="46"/>
        <v>1</v>
      </c>
      <c r="V257">
        <f t="shared" si="49"/>
        <v>1</v>
      </c>
      <c r="W257">
        <f t="shared" si="50"/>
        <v>0</v>
      </c>
      <c r="X257">
        <f t="shared" si="59"/>
        <v>0</v>
      </c>
      <c r="Y257">
        <f t="shared" si="60"/>
        <v>0</v>
      </c>
      <c r="Z257">
        <f t="shared" si="51"/>
        <v>2</v>
      </c>
      <c r="AA257">
        <f t="shared" si="52"/>
        <v>10</v>
      </c>
      <c r="AB257">
        <f t="shared" si="53"/>
        <v>4.2857142857142856</v>
      </c>
      <c r="AC257">
        <f t="shared" si="54"/>
        <v>0</v>
      </c>
      <c r="AD257" s="1">
        <f t="shared" si="55"/>
        <v>0</v>
      </c>
      <c r="AE257">
        <f t="shared" si="56"/>
        <v>0</v>
      </c>
      <c r="AF257">
        <f t="shared" si="57"/>
        <v>0</v>
      </c>
      <c r="AG257">
        <f t="shared" si="58"/>
        <v>0</v>
      </c>
    </row>
    <row r="258" spans="1:33" x14ac:dyDescent="0.25">
      <c r="A258" t="s">
        <v>494</v>
      </c>
      <c r="B258" t="s">
        <v>495</v>
      </c>
      <c r="C258">
        <v>168418</v>
      </c>
      <c r="D258">
        <v>168418</v>
      </c>
      <c r="H258">
        <v>10</v>
      </c>
      <c r="I258">
        <v>40</v>
      </c>
      <c r="J258">
        <v>20</v>
      </c>
      <c r="K258">
        <v>0</v>
      </c>
      <c r="L258">
        <v>10</v>
      </c>
      <c r="M258">
        <v>80</v>
      </c>
      <c r="S258">
        <f t="shared" si="47"/>
        <v>0</v>
      </c>
      <c r="T258">
        <f t="shared" si="48"/>
        <v>6.666666666666667</v>
      </c>
      <c r="U258">
        <f t="shared" ref="U258:U321" si="61">IF(AND(E258="",F258="",G258="",H258="",I258="",J258="",K258="",L258="",M258=""),0,1)</f>
        <v>1</v>
      </c>
      <c r="V258">
        <f t="shared" si="49"/>
        <v>0</v>
      </c>
      <c r="W258">
        <f t="shared" si="50"/>
        <v>1</v>
      </c>
      <c r="X258">
        <f t="shared" si="59"/>
        <v>0</v>
      </c>
      <c r="Y258">
        <f t="shared" si="60"/>
        <v>1</v>
      </c>
      <c r="Z258">
        <f t="shared" si="51"/>
        <v>0</v>
      </c>
      <c r="AA258">
        <f t="shared" si="52"/>
        <v>0</v>
      </c>
      <c r="AB258">
        <f t="shared" si="53"/>
        <v>0</v>
      </c>
      <c r="AC258">
        <f t="shared" si="54"/>
        <v>5</v>
      </c>
      <c r="AD258" s="1">
        <f t="shared" si="55"/>
        <v>6.666666666666667</v>
      </c>
      <c r="AE258">
        <f t="shared" si="56"/>
        <v>10</v>
      </c>
      <c r="AF258">
        <f t="shared" si="57"/>
        <v>0</v>
      </c>
      <c r="AG258">
        <f t="shared" si="58"/>
        <v>10</v>
      </c>
    </row>
    <row r="259" spans="1:33" x14ac:dyDescent="0.25">
      <c r="A259" t="s">
        <v>496</v>
      </c>
      <c r="B259" t="s">
        <v>166</v>
      </c>
      <c r="C259">
        <v>167103</v>
      </c>
      <c r="D259">
        <v>167103</v>
      </c>
      <c r="H259">
        <v>20</v>
      </c>
      <c r="I259">
        <v>30</v>
      </c>
      <c r="J259">
        <v>20</v>
      </c>
      <c r="K259">
        <v>10</v>
      </c>
      <c r="L259">
        <v>10</v>
      </c>
      <c r="M259">
        <v>90</v>
      </c>
      <c r="S259">
        <f t="shared" ref="S259:S322" si="62">O259/16</f>
        <v>0</v>
      </c>
      <c r="T259">
        <f t="shared" ref="T259:T322" si="63">M259/12</f>
        <v>7.5</v>
      </c>
      <c r="U259">
        <f t="shared" si="61"/>
        <v>1</v>
      </c>
      <c r="V259">
        <f t="shared" ref="V259:V322" si="64">IF(O259="",0,1)</f>
        <v>0</v>
      </c>
      <c r="W259">
        <f t="shared" ref="W259:W322" si="65">IF(M259="",0,1)</f>
        <v>1</v>
      </c>
      <c r="X259">
        <f t="shared" si="59"/>
        <v>0</v>
      </c>
      <c r="Y259">
        <f t="shared" si="60"/>
        <v>1</v>
      </c>
      <c r="Z259">
        <f t="shared" ref="Z259:Z322" si="66">E259/5</f>
        <v>0</v>
      </c>
      <c r="AA259">
        <f t="shared" ref="AA259:AA322" si="67">F259/4</f>
        <v>0</v>
      </c>
      <c r="AB259">
        <f t="shared" ref="AB259:AB322" si="68">G259/7</f>
        <v>0</v>
      </c>
      <c r="AC259">
        <f t="shared" ref="AC259:AC322" si="69">H259/2</f>
        <v>10</v>
      </c>
      <c r="AD259" s="1">
        <f t="shared" ref="AD259:AD322" si="70">I259/6</f>
        <v>5</v>
      </c>
      <c r="AE259">
        <f t="shared" ref="AE259:AE322" si="71">J259/2</f>
        <v>10</v>
      </c>
      <c r="AF259">
        <f t="shared" ref="AF259:AF322" si="72">K259</f>
        <v>10</v>
      </c>
      <c r="AG259">
        <f t="shared" ref="AG259:AG322" si="73">L259</f>
        <v>10</v>
      </c>
    </row>
    <row r="260" spans="1:33" x14ac:dyDescent="0.25">
      <c r="A260" t="s">
        <v>497</v>
      </c>
      <c r="B260" t="s">
        <v>498</v>
      </c>
      <c r="C260">
        <v>168070</v>
      </c>
      <c r="D260">
        <v>168070</v>
      </c>
      <c r="R260">
        <v>10</v>
      </c>
      <c r="S260">
        <f t="shared" si="62"/>
        <v>0</v>
      </c>
      <c r="T260">
        <f t="shared" si="63"/>
        <v>0</v>
      </c>
      <c r="U260">
        <f t="shared" si="61"/>
        <v>0</v>
      </c>
      <c r="V260">
        <f t="shared" si="64"/>
        <v>0</v>
      </c>
      <c r="W260">
        <f t="shared" si="65"/>
        <v>0</v>
      </c>
      <c r="X260">
        <f t="shared" si="59"/>
        <v>0</v>
      </c>
      <c r="Y260">
        <f t="shared" si="60"/>
        <v>0</v>
      </c>
      <c r="Z260">
        <f t="shared" si="66"/>
        <v>0</v>
      </c>
      <c r="AA260">
        <f t="shared" si="67"/>
        <v>0</v>
      </c>
      <c r="AB260">
        <f t="shared" si="68"/>
        <v>0</v>
      </c>
      <c r="AC260">
        <f t="shared" si="69"/>
        <v>0</v>
      </c>
      <c r="AD260" s="1">
        <f t="shared" si="70"/>
        <v>0</v>
      </c>
      <c r="AE260">
        <f t="shared" si="71"/>
        <v>0</v>
      </c>
      <c r="AF260">
        <f t="shared" si="72"/>
        <v>0</v>
      </c>
      <c r="AG260">
        <f t="shared" si="73"/>
        <v>0</v>
      </c>
    </row>
    <row r="261" spans="1:33" x14ac:dyDescent="0.25">
      <c r="A261" t="s">
        <v>499</v>
      </c>
      <c r="B261" t="s">
        <v>500</v>
      </c>
      <c r="C261">
        <v>166006</v>
      </c>
      <c r="D261">
        <v>166006</v>
      </c>
      <c r="S261">
        <f t="shared" si="62"/>
        <v>0</v>
      </c>
      <c r="T261">
        <f t="shared" si="63"/>
        <v>0</v>
      </c>
      <c r="U261">
        <f t="shared" si="61"/>
        <v>0</v>
      </c>
      <c r="V261">
        <f t="shared" si="64"/>
        <v>0</v>
      </c>
      <c r="W261">
        <f t="shared" si="65"/>
        <v>0</v>
      </c>
      <c r="X261">
        <f t="shared" ref="X261:X324" si="74">IF(AND(V261=1,S261&gt;6),1,0)</f>
        <v>0</v>
      </c>
      <c r="Y261">
        <f t="shared" ref="Y261:Y324" si="75">IF(AND(W261=1,T261&gt;6),1,0)</f>
        <v>0</v>
      </c>
      <c r="Z261">
        <f t="shared" si="66"/>
        <v>0</v>
      </c>
      <c r="AA261">
        <f t="shared" si="67"/>
        <v>0</v>
      </c>
      <c r="AB261">
        <f t="shared" si="68"/>
        <v>0</v>
      </c>
      <c r="AC261">
        <f t="shared" si="69"/>
        <v>0</v>
      </c>
      <c r="AD261" s="1">
        <f t="shared" si="70"/>
        <v>0</v>
      </c>
      <c r="AE261">
        <f t="shared" si="71"/>
        <v>0</v>
      </c>
      <c r="AF261">
        <f t="shared" si="72"/>
        <v>0</v>
      </c>
      <c r="AG261">
        <f t="shared" si="73"/>
        <v>0</v>
      </c>
    </row>
    <row r="262" spans="1:33" x14ac:dyDescent="0.25">
      <c r="A262" t="s">
        <v>501</v>
      </c>
      <c r="B262" t="s">
        <v>502</v>
      </c>
      <c r="C262">
        <v>166757</v>
      </c>
      <c r="D262">
        <v>166757</v>
      </c>
      <c r="H262">
        <v>10</v>
      </c>
      <c r="I262">
        <v>20</v>
      </c>
      <c r="J262">
        <v>10</v>
      </c>
      <c r="K262">
        <v>0</v>
      </c>
      <c r="L262">
        <v>0</v>
      </c>
      <c r="M262">
        <v>40</v>
      </c>
      <c r="S262">
        <f t="shared" si="62"/>
        <v>0</v>
      </c>
      <c r="T262">
        <f t="shared" si="63"/>
        <v>3.3333333333333335</v>
      </c>
      <c r="U262">
        <f t="shared" si="61"/>
        <v>1</v>
      </c>
      <c r="V262">
        <f t="shared" si="64"/>
        <v>0</v>
      </c>
      <c r="W262">
        <f t="shared" si="65"/>
        <v>1</v>
      </c>
      <c r="X262">
        <f t="shared" si="74"/>
        <v>0</v>
      </c>
      <c r="Y262">
        <f t="shared" si="75"/>
        <v>0</v>
      </c>
      <c r="Z262">
        <f t="shared" si="66"/>
        <v>0</v>
      </c>
      <c r="AA262">
        <f t="shared" si="67"/>
        <v>0</v>
      </c>
      <c r="AB262">
        <f t="shared" si="68"/>
        <v>0</v>
      </c>
      <c r="AC262">
        <f t="shared" si="69"/>
        <v>5</v>
      </c>
      <c r="AD262" s="1">
        <f t="shared" si="70"/>
        <v>3.3333333333333335</v>
      </c>
      <c r="AE262">
        <f t="shared" si="71"/>
        <v>5</v>
      </c>
      <c r="AF262">
        <f t="shared" si="72"/>
        <v>0</v>
      </c>
      <c r="AG262">
        <f t="shared" si="73"/>
        <v>0</v>
      </c>
    </row>
    <row r="263" spans="1:33" x14ac:dyDescent="0.25">
      <c r="A263" t="s">
        <v>503</v>
      </c>
      <c r="B263" t="s">
        <v>504</v>
      </c>
      <c r="C263">
        <v>168457</v>
      </c>
      <c r="D263">
        <v>168457</v>
      </c>
      <c r="H263">
        <v>20</v>
      </c>
      <c r="I263">
        <v>40</v>
      </c>
      <c r="J263">
        <v>20</v>
      </c>
      <c r="K263">
        <v>10</v>
      </c>
      <c r="L263">
        <v>10</v>
      </c>
      <c r="M263">
        <v>100</v>
      </c>
      <c r="S263">
        <f t="shared" si="62"/>
        <v>0</v>
      </c>
      <c r="T263">
        <f t="shared" si="63"/>
        <v>8.3333333333333339</v>
      </c>
      <c r="U263">
        <f t="shared" si="61"/>
        <v>1</v>
      </c>
      <c r="V263">
        <f t="shared" si="64"/>
        <v>0</v>
      </c>
      <c r="W263">
        <f t="shared" si="65"/>
        <v>1</v>
      </c>
      <c r="X263">
        <f t="shared" si="74"/>
        <v>0</v>
      </c>
      <c r="Y263">
        <f t="shared" si="75"/>
        <v>1</v>
      </c>
      <c r="Z263">
        <f t="shared" si="66"/>
        <v>0</v>
      </c>
      <c r="AA263">
        <f t="shared" si="67"/>
        <v>0</v>
      </c>
      <c r="AB263">
        <f t="shared" si="68"/>
        <v>0</v>
      </c>
      <c r="AC263">
        <f t="shared" si="69"/>
        <v>10</v>
      </c>
      <c r="AD263" s="1">
        <f t="shared" si="70"/>
        <v>6.666666666666667</v>
      </c>
      <c r="AE263">
        <f t="shared" si="71"/>
        <v>10</v>
      </c>
      <c r="AF263">
        <f t="shared" si="72"/>
        <v>10</v>
      </c>
      <c r="AG263">
        <f t="shared" si="73"/>
        <v>10</v>
      </c>
    </row>
    <row r="264" spans="1:33" x14ac:dyDescent="0.25">
      <c r="A264" t="s">
        <v>505</v>
      </c>
      <c r="B264" t="s">
        <v>506</v>
      </c>
      <c r="C264">
        <v>167440</v>
      </c>
      <c r="D264">
        <v>167440</v>
      </c>
      <c r="H264">
        <v>20</v>
      </c>
      <c r="I264">
        <v>40</v>
      </c>
      <c r="J264">
        <v>10</v>
      </c>
      <c r="K264">
        <v>10</v>
      </c>
      <c r="L264">
        <v>10</v>
      </c>
      <c r="M264">
        <v>90</v>
      </c>
      <c r="S264">
        <f t="shared" si="62"/>
        <v>0</v>
      </c>
      <c r="T264">
        <f t="shared" si="63"/>
        <v>7.5</v>
      </c>
      <c r="U264">
        <f t="shared" si="61"/>
        <v>1</v>
      </c>
      <c r="V264">
        <f t="shared" si="64"/>
        <v>0</v>
      </c>
      <c r="W264">
        <f t="shared" si="65"/>
        <v>1</v>
      </c>
      <c r="X264">
        <f t="shared" si="74"/>
        <v>0</v>
      </c>
      <c r="Y264">
        <f t="shared" si="75"/>
        <v>1</v>
      </c>
      <c r="Z264">
        <f t="shared" si="66"/>
        <v>0</v>
      </c>
      <c r="AA264">
        <f t="shared" si="67"/>
        <v>0</v>
      </c>
      <c r="AB264">
        <f t="shared" si="68"/>
        <v>0</v>
      </c>
      <c r="AC264">
        <f t="shared" si="69"/>
        <v>10</v>
      </c>
      <c r="AD264" s="1">
        <f t="shared" si="70"/>
        <v>6.666666666666667</v>
      </c>
      <c r="AE264">
        <f t="shared" si="71"/>
        <v>5</v>
      </c>
      <c r="AF264">
        <f t="shared" si="72"/>
        <v>10</v>
      </c>
      <c r="AG264">
        <f t="shared" si="73"/>
        <v>10</v>
      </c>
    </row>
    <row r="265" spans="1:33" x14ac:dyDescent="0.25">
      <c r="A265" t="s">
        <v>507</v>
      </c>
      <c r="B265" t="s">
        <v>508</v>
      </c>
      <c r="C265">
        <v>165872</v>
      </c>
      <c r="D265">
        <v>165872</v>
      </c>
      <c r="E265">
        <v>0</v>
      </c>
      <c r="F265">
        <v>20</v>
      </c>
      <c r="G265">
        <v>20</v>
      </c>
      <c r="O265">
        <v>40</v>
      </c>
      <c r="S265">
        <f t="shared" si="62"/>
        <v>2.5</v>
      </c>
      <c r="T265">
        <f t="shared" si="63"/>
        <v>0</v>
      </c>
      <c r="U265">
        <f t="shared" si="61"/>
        <v>1</v>
      </c>
      <c r="V265">
        <f t="shared" si="64"/>
        <v>1</v>
      </c>
      <c r="W265">
        <f t="shared" si="65"/>
        <v>0</v>
      </c>
      <c r="X265">
        <f t="shared" si="74"/>
        <v>0</v>
      </c>
      <c r="Y265">
        <f t="shared" si="75"/>
        <v>0</v>
      </c>
      <c r="Z265">
        <f t="shared" si="66"/>
        <v>0</v>
      </c>
      <c r="AA265">
        <f t="shared" si="67"/>
        <v>5</v>
      </c>
      <c r="AB265">
        <f t="shared" si="68"/>
        <v>2.8571428571428572</v>
      </c>
      <c r="AC265">
        <f t="shared" si="69"/>
        <v>0</v>
      </c>
      <c r="AD265" s="1">
        <f t="shared" si="70"/>
        <v>0</v>
      </c>
      <c r="AE265">
        <f t="shared" si="71"/>
        <v>0</v>
      </c>
      <c r="AF265">
        <f t="shared" si="72"/>
        <v>0</v>
      </c>
      <c r="AG265">
        <f t="shared" si="73"/>
        <v>0</v>
      </c>
    </row>
    <row r="266" spans="1:33" x14ac:dyDescent="0.25">
      <c r="A266" t="s">
        <v>509</v>
      </c>
      <c r="B266" t="s">
        <v>510</v>
      </c>
      <c r="C266">
        <v>162949</v>
      </c>
      <c r="D266">
        <v>162949</v>
      </c>
      <c r="E266">
        <v>50</v>
      </c>
      <c r="F266">
        <v>30</v>
      </c>
      <c r="G266">
        <v>70</v>
      </c>
      <c r="O266">
        <v>150</v>
      </c>
      <c r="S266">
        <f t="shared" si="62"/>
        <v>9.375</v>
      </c>
      <c r="T266">
        <f t="shared" si="63"/>
        <v>0</v>
      </c>
      <c r="U266">
        <f t="shared" si="61"/>
        <v>1</v>
      </c>
      <c r="V266">
        <f t="shared" si="64"/>
        <v>1</v>
      </c>
      <c r="W266">
        <f t="shared" si="65"/>
        <v>0</v>
      </c>
      <c r="X266">
        <f t="shared" si="74"/>
        <v>1</v>
      </c>
      <c r="Y266">
        <f t="shared" si="75"/>
        <v>0</v>
      </c>
      <c r="Z266">
        <f t="shared" si="66"/>
        <v>10</v>
      </c>
      <c r="AA266">
        <f t="shared" si="67"/>
        <v>7.5</v>
      </c>
      <c r="AB266">
        <f t="shared" si="68"/>
        <v>10</v>
      </c>
      <c r="AC266">
        <f t="shared" si="69"/>
        <v>0</v>
      </c>
      <c r="AD266" s="1">
        <f t="shared" si="70"/>
        <v>0</v>
      </c>
      <c r="AE266">
        <f t="shared" si="71"/>
        <v>0</v>
      </c>
      <c r="AF266">
        <f t="shared" si="72"/>
        <v>0</v>
      </c>
      <c r="AG266">
        <f t="shared" si="73"/>
        <v>0</v>
      </c>
    </row>
    <row r="267" spans="1:33" x14ac:dyDescent="0.25">
      <c r="A267" t="s">
        <v>511</v>
      </c>
      <c r="B267" t="s">
        <v>512</v>
      </c>
      <c r="C267">
        <v>166793</v>
      </c>
      <c r="D267">
        <v>166793</v>
      </c>
      <c r="H267">
        <v>20</v>
      </c>
      <c r="I267">
        <v>50</v>
      </c>
      <c r="J267">
        <v>20</v>
      </c>
      <c r="K267">
        <v>10</v>
      </c>
      <c r="L267">
        <v>10</v>
      </c>
      <c r="M267">
        <v>110</v>
      </c>
      <c r="S267">
        <f t="shared" si="62"/>
        <v>0</v>
      </c>
      <c r="T267">
        <f t="shared" si="63"/>
        <v>9.1666666666666661</v>
      </c>
      <c r="U267">
        <f t="shared" si="61"/>
        <v>1</v>
      </c>
      <c r="V267">
        <f t="shared" si="64"/>
        <v>0</v>
      </c>
      <c r="W267">
        <f t="shared" si="65"/>
        <v>1</v>
      </c>
      <c r="X267">
        <f t="shared" si="74"/>
        <v>0</v>
      </c>
      <c r="Y267">
        <f t="shared" si="75"/>
        <v>1</v>
      </c>
      <c r="Z267">
        <f t="shared" si="66"/>
        <v>0</v>
      </c>
      <c r="AA267">
        <f t="shared" si="67"/>
        <v>0</v>
      </c>
      <c r="AB267">
        <f t="shared" si="68"/>
        <v>0</v>
      </c>
      <c r="AC267">
        <f t="shared" si="69"/>
        <v>10</v>
      </c>
      <c r="AD267" s="1">
        <f t="shared" si="70"/>
        <v>8.3333333333333339</v>
      </c>
      <c r="AE267">
        <f t="shared" si="71"/>
        <v>10</v>
      </c>
      <c r="AF267">
        <f t="shared" si="72"/>
        <v>10</v>
      </c>
      <c r="AG267">
        <f t="shared" si="73"/>
        <v>10</v>
      </c>
    </row>
    <row r="268" spans="1:33" x14ac:dyDescent="0.25">
      <c r="A268" t="s">
        <v>513</v>
      </c>
      <c r="B268" t="s">
        <v>126</v>
      </c>
      <c r="C268">
        <v>168345</v>
      </c>
      <c r="D268">
        <v>168345</v>
      </c>
      <c r="H268">
        <v>0</v>
      </c>
      <c r="I268">
        <v>20</v>
      </c>
      <c r="J268">
        <v>0</v>
      </c>
      <c r="K268">
        <v>10</v>
      </c>
      <c r="L268">
        <v>0</v>
      </c>
      <c r="M268">
        <v>30</v>
      </c>
      <c r="S268">
        <f t="shared" si="62"/>
        <v>0</v>
      </c>
      <c r="T268">
        <f t="shared" si="63"/>
        <v>2.5</v>
      </c>
      <c r="U268">
        <f t="shared" si="61"/>
        <v>1</v>
      </c>
      <c r="V268">
        <f t="shared" si="64"/>
        <v>0</v>
      </c>
      <c r="W268">
        <f t="shared" si="65"/>
        <v>1</v>
      </c>
      <c r="X268">
        <f t="shared" si="74"/>
        <v>0</v>
      </c>
      <c r="Y268">
        <f t="shared" si="75"/>
        <v>0</v>
      </c>
      <c r="Z268">
        <f t="shared" si="66"/>
        <v>0</v>
      </c>
      <c r="AA268">
        <f t="shared" si="67"/>
        <v>0</v>
      </c>
      <c r="AB268">
        <f t="shared" si="68"/>
        <v>0</v>
      </c>
      <c r="AC268">
        <f t="shared" si="69"/>
        <v>0</v>
      </c>
      <c r="AD268" s="1">
        <f t="shared" si="70"/>
        <v>3.3333333333333335</v>
      </c>
      <c r="AE268">
        <f t="shared" si="71"/>
        <v>0</v>
      </c>
      <c r="AF268">
        <f t="shared" si="72"/>
        <v>10</v>
      </c>
      <c r="AG268">
        <f t="shared" si="73"/>
        <v>0</v>
      </c>
    </row>
    <row r="269" spans="1:33" x14ac:dyDescent="0.25">
      <c r="A269" t="s">
        <v>514</v>
      </c>
      <c r="B269" t="s">
        <v>515</v>
      </c>
      <c r="C269">
        <v>161943</v>
      </c>
      <c r="D269">
        <v>161943</v>
      </c>
      <c r="E269">
        <v>30</v>
      </c>
      <c r="F269">
        <v>20</v>
      </c>
      <c r="G269">
        <v>30</v>
      </c>
      <c r="O269">
        <v>80</v>
      </c>
      <c r="S269">
        <f t="shared" si="62"/>
        <v>5</v>
      </c>
      <c r="T269">
        <f t="shared" si="63"/>
        <v>0</v>
      </c>
      <c r="U269">
        <f t="shared" si="61"/>
        <v>1</v>
      </c>
      <c r="V269">
        <f t="shared" si="64"/>
        <v>1</v>
      </c>
      <c r="W269">
        <f t="shared" si="65"/>
        <v>0</v>
      </c>
      <c r="X269">
        <f t="shared" si="74"/>
        <v>0</v>
      </c>
      <c r="Y269">
        <f t="shared" si="75"/>
        <v>0</v>
      </c>
      <c r="Z269">
        <f t="shared" si="66"/>
        <v>6</v>
      </c>
      <c r="AA269">
        <f t="shared" si="67"/>
        <v>5</v>
      </c>
      <c r="AB269">
        <f t="shared" si="68"/>
        <v>4.2857142857142856</v>
      </c>
      <c r="AC269">
        <f t="shared" si="69"/>
        <v>0</v>
      </c>
      <c r="AD269" s="1">
        <f t="shared" si="70"/>
        <v>0</v>
      </c>
      <c r="AE269">
        <f t="shared" si="71"/>
        <v>0</v>
      </c>
      <c r="AF269">
        <f t="shared" si="72"/>
        <v>0</v>
      </c>
      <c r="AG269">
        <f t="shared" si="73"/>
        <v>0</v>
      </c>
    </row>
    <row r="270" spans="1:33" x14ac:dyDescent="0.25">
      <c r="A270" t="s">
        <v>516</v>
      </c>
      <c r="B270" t="s">
        <v>517</v>
      </c>
      <c r="C270">
        <v>165001</v>
      </c>
      <c r="D270">
        <v>165001</v>
      </c>
      <c r="E270">
        <v>0</v>
      </c>
      <c r="F270">
        <v>30</v>
      </c>
      <c r="G270">
        <v>10</v>
      </c>
      <c r="O270">
        <v>40</v>
      </c>
      <c r="S270">
        <f t="shared" si="62"/>
        <v>2.5</v>
      </c>
      <c r="T270">
        <f t="shared" si="63"/>
        <v>0</v>
      </c>
      <c r="U270">
        <f t="shared" si="61"/>
        <v>1</v>
      </c>
      <c r="V270">
        <f t="shared" si="64"/>
        <v>1</v>
      </c>
      <c r="W270">
        <f t="shared" si="65"/>
        <v>0</v>
      </c>
      <c r="X270">
        <f t="shared" si="74"/>
        <v>0</v>
      </c>
      <c r="Y270">
        <f t="shared" si="75"/>
        <v>0</v>
      </c>
      <c r="Z270">
        <f t="shared" si="66"/>
        <v>0</v>
      </c>
      <c r="AA270">
        <f t="shared" si="67"/>
        <v>7.5</v>
      </c>
      <c r="AB270">
        <f t="shared" si="68"/>
        <v>1.4285714285714286</v>
      </c>
      <c r="AC270">
        <f t="shared" si="69"/>
        <v>0</v>
      </c>
      <c r="AD270" s="1">
        <f t="shared" si="70"/>
        <v>0</v>
      </c>
      <c r="AE270">
        <f t="shared" si="71"/>
        <v>0</v>
      </c>
      <c r="AF270">
        <f t="shared" si="72"/>
        <v>0</v>
      </c>
      <c r="AG270">
        <f t="shared" si="73"/>
        <v>0</v>
      </c>
    </row>
    <row r="271" spans="1:33" x14ac:dyDescent="0.25">
      <c r="A271" t="s">
        <v>518</v>
      </c>
      <c r="B271" t="s">
        <v>519</v>
      </c>
      <c r="C271">
        <v>166313</v>
      </c>
      <c r="D271">
        <v>166313</v>
      </c>
      <c r="E271">
        <v>50</v>
      </c>
      <c r="F271">
        <v>30</v>
      </c>
      <c r="G271">
        <v>30</v>
      </c>
      <c r="O271">
        <v>110</v>
      </c>
      <c r="S271">
        <f t="shared" si="62"/>
        <v>6.875</v>
      </c>
      <c r="T271">
        <f t="shared" si="63"/>
        <v>0</v>
      </c>
      <c r="U271">
        <f t="shared" si="61"/>
        <v>1</v>
      </c>
      <c r="V271">
        <f t="shared" si="64"/>
        <v>1</v>
      </c>
      <c r="W271">
        <f t="shared" si="65"/>
        <v>0</v>
      </c>
      <c r="X271">
        <f t="shared" si="74"/>
        <v>1</v>
      </c>
      <c r="Y271">
        <f t="shared" si="75"/>
        <v>0</v>
      </c>
      <c r="Z271">
        <f t="shared" si="66"/>
        <v>10</v>
      </c>
      <c r="AA271">
        <f t="shared" si="67"/>
        <v>7.5</v>
      </c>
      <c r="AB271">
        <f t="shared" si="68"/>
        <v>4.2857142857142856</v>
      </c>
      <c r="AC271">
        <f t="shared" si="69"/>
        <v>0</v>
      </c>
      <c r="AD271" s="1">
        <f t="shared" si="70"/>
        <v>0</v>
      </c>
      <c r="AE271">
        <f t="shared" si="71"/>
        <v>0</v>
      </c>
      <c r="AF271">
        <f t="shared" si="72"/>
        <v>0</v>
      </c>
      <c r="AG271">
        <f t="shared" si="73"/>
        <v>0</v>
      </c>
    </row>
    <row r="272" spans="1:33" x14ac:dyDescent="0.25">
      <c r="A272" t="s">
        <v>520</v>
      </c>
      <c r="B272" t="s">
        <v>521</v>
      </c>
      <c r="C272">
        <v>166307</v>
      </c>
      <c r="D272">
        <v>166307</v>
      </c>
      <c r="H272">
        <v>10</v>
      </c>
      <c r="I272">
        <v>30</v>
      </c>
      <c r="J272">
        <v>20</v>
      </c>
      <c r="K272">
        <v>10</v>
      </c>
      <c r="L272">
        <v>0</v>
      </c>
      <c r="M272">
        <v>70</v>
      </c>
      <c r="S272">
        <f t="shared" si="62"/>
        <v>0</v>
      </c>
      <c r="T272">
        <f t="shared" si="63"/>
        <v>5.833333333333333</v>
      </c>
      <c r="U272">
        <f t="shared" si="61"/>
        <v>1</v>
      </c>
      <c r="V272">
        <f t="shared" si="64"/>
        <v>0</v>
      </c>
      <c r="W272">
        <f t="shared" si="65"/>
        <v>1</v>
      </c>
      <c r="X272">
        <f t="shared" si="74"/>
        <v>0</v>
      </c>
      <c r="Y272">
        <f t="shared" si="75"/>
        <v>0</v>
      </c>
      <c r="Z272">
        <f t="shared" si="66"/>
        <v>0</v>
      </c>
      <c r="AA272">
        <f t="shared" si="67"/>
        <v>0</v>
      </c>
      <c r="AB272">
        <f t="shared" si="68"/>
        <v>0</v>
      </c>
      <c r="AC272">
        <f t="shared" si="69"/>
        <v>5</v>
      </c>
      <c r="AD272" s="1">
        <f t="shared" si="70"/>
        <v>5</v>
      </c>
      <c r="AE272">
        <f t="shared" si="71"/>
        <v>10</v>
      </c>
      <c r="AF272">
        <f t="shared" si="72"/>
        <v>10</v>
      </c>
      <c r="AG272">
        <f t="shared" si="73"/>
        <v>0</v>
      </c>
    </row>
    <row r="273" spans="1:33" x14ac:dyDescent="0.25">
      <c r="A273" t="s">
        <v>522</v>
      </c>
      <c r="B273" t="s">
        <v>367</v>
      </c>
      <c r="C273">
        <v>166931</v>
      </c>
      <c r="D273">
        <v>166931</v>
      </c>
      <c r="H273">
        <v>10</v>
      </c>
      <c r="I273">
        <v>30</v>
      </c>
      <c r="J273">
        <v>0</v>
      </c>
      <c r="K273">
        <v>0</v>
      </c>
      <c r="L273">
        <v>0</v>
      </c>
      <c r="M273">
        <v>40</v>
      </c>
      <c r="R273">
        <v>10</v>
      </c>
      <c r="S273">
        <f t="shared" si="62"/>
        <v>0</v>
      </c>
      <c r="T273">
        <f t="shared" si="63"/>
        <v>3.3333333333333335</v>
      </c>
      <c r="U273">
        <f t="shared" si="61"/>
        <v>1</v>
      </c>
      <c r="V273">
        <f t="shared" si="64"/>
        <v>0</v>
      </c>
      <c r="W273">
        <f t="shared" si="65"/>
        <v>1</v>
      </c>
      <c r="X273">
        <f t="shared" si="74"/>
        <v>0</v>
      </c>
      <c r="Y273">
        <f t="shared" si="75"/>
        <v>0</v>
      </c>
      <c r="Z273">
        <f t="shared" si="66"/>
        <v>0</v>
      </c>
      <c r="AA273">
        <f t="shared" si="67"/>
        <v>0</v>
      </c>
      <c r="AB273">
        <f t="shared" si="68"/>
        <v>0</v>
      </c>
      <c r="AC273">
        <f t="shared" si="69"/>
        <v>5</v>
      </c>
      <c r="AD273" s="1">
        <f t="shared" si="70"/>
        <v>5</v>
      </c>
      <c r="AE273">
        <f t="shared" si="71"/>
        <v>0</v>
      </c>
      <c r="AF273">
        <f t="shared" si="72"/>
        <v>0</v>
      </c>
      <c r="AG273">
        <f t="shared" si="73"/>
        <v>0</v>
      </c>
    </row>
    <row r="274" spans="1:33" x14ac:dyDescent="0.25">
      <c r="A274" t="s">
        <v>523</v>
      </c>
      <c r="B274" t="s">
        <v>524</v>
      </c>
      <c r="C274">
        <v>168238</v>
      </c>
      <c r="D274">
        <v>168238</v>
      </c>
      <c r="S274">
        <f t="shared" si="62"/>
        <v>0</v>
      </c>
      <c r="T274">
        <f t="shared" si="63"/>
        <v>0</v>
      </c>
      <c r="U274">
        <f t="shared" si="61"/>
        <v>0</v>
      </c>
      <c r="V274">
        <f t="shared" si="64"/>
        <v>0</v>
      </c>
      <c r="W274">
        <f t="shared" si="65"/>
        <v>0</v>
      </c>
      <c r="X274">
        <f t="shared" si="74"/>
        <v>0</v>
      </c>
      <c r="Y274">
        <f t="shared" si="75"/>
        <v>0</v>
      </c>
      <c r="Z274">
        <f t="shared" si="66"/>
        <v>0</v>
      </c>
      <c r="AA274">
        <f t="shared" si="67"/>
        <v>0</v>
      </c>
      <c r="AB274">
        <f t="shared" si="68"/>
        <v>0</v>
      </c>
      <c r="AC274">
        <f t="shared" si="69"/>
        <v>0</v>
      </c>
      <c r="AD274" s="1">
        <f t="shared" si="70"/>
        <v>0</v>
      </c>
      <c r="AE274">
        <f t="shared" si="71"/>
        <v>0</v>
      </c>
      <c r="AF274">
        <f t="shared" si="72"/>
        <v>0</v>
      </c>
      <c r="AG274">
        <f t="shared" si="73"/>
        <v>0</v>
      </c>
    </row>
    <row r="275" spans="1:33" x14ac:dyDescent="0.25">
      <c r="A275" t="s">
        <v>525</v>
      </c>
      <c r="B275" t="s">
        <v>498</v>
      </c>
      <c r="C275">
        <v>167858</v>
      </c>
      <c r="D275">
        <v>167858</v>
      </c>
      <c r="E275">
        <v>40</v>
      </c>
      <c r="F275">
        <v>10</v>
      </c>
      <c r="G275">
        <v>50</v>
      </c>
      <c r="O275">
        <v>100</v>
      </c>
      <c r="S275">
        <f t="shared" si="62"/>
        <v>6.25</v>
      </c>
      <c r="T275">
        <f t="shared" si="63"/>
        <v>0</v>
      </c>
      <c r="U275">
        <f t="shared" si="61"/>
        <v>1</v>
      </c>
      <c r="V275">
        <f t="shared" si="64"/>
        <v>1</v>
      </c>
      <c r="W275">
        <f t="shared" si="65"/>
        <v>0</v>
      </c>
      <c r="X275">
        <f t="shared" si="74"/>
        <v>1</v>
      </c>
      <c r="Y275">
        <f t="shared" si="75"/>
        <v>0</v>
      </c>
      <c r="Z275">
        <f t="shared" si="66"/>
        <v>8</v>
      </c>
      <c r="AA275">
        <f t="shared" si="67"/>
        <v>2.5</v>
      </c>
      <c r="AB275">
        <f t="shared" si="68"/>
        <v>7.1428571428571432</v>
      </c>
      <c r="AC275">
        <f t="shared" si="69"/>
        <v>0</v>
      </c>
      <c r="AD275" s="1">
        <f t="shared" si="70"/>
        <v>0</v>
      </c>
      <c r="AE275">
        <f t="shared" si="71"/>
        <v>0</v>
      </c>
      <c r="AF275">
        <f t="shared" si="72"/>
        <v>0</v>
      </c>
      <c r="AG275">
        <f t="shared" si="73"/>
        <v>0</v>
      </c>
    </row>
    <row r="276" spans="1:33" x14ac:dyDescent="0.25">
      <c r="A276" t="s">
        <v>526</v>
      </c>
      <c r="B276" t="s">
        <v>527</v>
      </c>
      <c r="C276">
        <v>168114</v>
      </c>
      <c r="D276">
        <v>168114</v>
      </c>
      <c r="E276">
        <v>40</v>
      </c>
      <c r="F276">
        <v>30</v>
      </c>
      <c r="G276">
        <v>40</v>
      </c>
      <c r="O276">
        <v>110</v>
      </c>
      <c r="S276">
        <f t="shared" si="62"/>
        <v>6.875</v>
      </c>
      <c r="T276">
        <f t="shared" si="63"/>
        <v>0</v>
      </c>
      <c r="U276">
        <f t="shared" si="61"/>
        <v>1</v>
      </c>
      <c r="V276">
        <f t="shared" si="64"/>
        <v>1</v>
      </c>
      <c r="W276">
        <f t="shared" si="65"/>
        <v>0</v>
      </c>
      <c r="X276">
        <f t="shared" si="74"/>
        <v>1</v>
      </c>
      <c r="Y276">
        <f t="shared" si="75"/>
        <v>0</v>
      </c>
      <c r="Z276">
        <f t="shared" si="66"/>
        <v>8</v>
      </c>
      <c r="AA276">
        <f t="shared" si="67"/>
        <v>7.5</v>
      </c>
      <c r="AB276">
        <f t="shared" si="68"/>
        <v>5.7142857142857144</v>
      </c>
      <c r="AC276">
        <f t="shared" si="69"/>
        <v>0</v>
      </c>
      <c r="AD276" s="1">
        <f t="shared" si="70"/>
        <v>0</v>
      </c>
      <c r="AE276">
        <f t="shared" si="71"/>
        <v>0</v>
      </c>
      <c r="AF276">
        <f t="shared" si="72"/>
        <v>0</v>
      </c>
      <c r="AG276">
        <f t="shared" si="73"/>
        <v>0</v>
      </c>
    </row>
    <row r="277" spans="1:33" x14ac:dyDescent="0.25">
      <c r="A277" t="s">
        <v>528</v>
      </c>
      <c r="B277" t="s">
        <v>529</v>
      </c>
      <c r="C277">
        <v>168486</v>
      </c>
      <c r="D277">
        <v>168486</v>
      </c>
      <c r="H277">
        <v>0</v>
      </c>
      <c r="I277">
        <v>30</v>
      </c>
      <c r="J277">
        <v>10</v>
      </c>
      <c r="K277">
        <v>0</v>
      </c>
      <c r="L277">
        <v>10</v>
      </c>
      <c r="M277">
        <v>50</v>
      </c>
      <c r="S277">
        <f t="shared" si="62"/>
        <v>0</v>
      </c>
      <c r="T277">
        <f t="shared" si="63"/>
        <v>4.166666666666667</v>
      </c>
      <c r="U277">
        <f t="shared" si="61"/>
        <v>1</v>
      </c>
      <c r="V277">
        <f t="shared" si="64"/>
        <v>0</v>
      </c>
      <c r="W277">
        <f t="shared" si="65"/>
        <v>1</v>
      </c>
      <c r="X277">
        <f t="shared" si="74"/>
        <v>0</v>
      </c>
      <c r="Y277">
        <f t="shared" si="75"/>
        <v>0</v>
      </c>
      <c r="Z277">
        <f t="shared" si="66"/>
        <v>0</v>
      </c>
      <c r="AA277">
        <f t="shared" si="67"/>
        <v>0</v>
      </c>
      <c r="AB277">
        <f t="shared" si="68"/>
        <v>0</v>
      </c>
      <c r="AC277">
        <f t="shared" si="69"/>
        <v>0</v>
      </c>
      <c r="AD277" s="1">
        <f t="shared" si="70"/>
        <v>5</v>
      </c>
      <c r="AE277">
        <f t="shared" si="71"/>
        <v>5</v>
      </c>
      <c r="AF277">
        <f t="shared" si="72"/>
        <v>0</v>
      </c>
      <c r="AG277">
        <f t="shared" si="73"/>
        <v>10</v>
      </c>
    </row>
    <row r="278" spans="1:33" x14ac:dyDescent="0.25">
      <c r="A278" t="s">
        <v>530</v>
      </c>
      <c r="B278" t="s">
        <v>531</v>
      </c>
      <c r="C278">
        <v>163736</v>
      </c>
      <c r="D278">
        <v>163736</v>
      </c>
      <c r="E278">
        <v>0</v>
      </c>
      <c r="F278">
        <v>0</v>
      </c>
      <c r="G278">
        <v>30</v>
      </c>
      <c r="O278">
        <v>30</v>
      </c>
      <c r="S278">
        <f t="shared" si="62"/>
        <v>1.875</v>
      </c>
      <c r="T278">
        <f t="shared" si="63"/>
        <v>0</v>
      </c>
      <c r="U278">
        <f t="shared" si="61"/>
        <v>1</v>
      </c>
      <c r="V278">
        <f t="shared" si="64"/>
        <v>1</v>
      </c>
      <c r="W278">
        <f t="shared" si="65"/>
        <v>0</v>
      </c>
      <c r="X278">
        <f t="shared" si="74"/>
        <v>0</v>
      </c>
      <c r="Y278">
        <f t="shared" si="75"/>
        <v>0</v>
      </c>
      <c r="Z278">
        <f t="shared" si="66"/>
        <v>0</v>
      </c>
      <c r="AA278">
        <f t="shared" si="67"/>
        <v>0</v>
      </c>
      <c r="AB278">
        <f t="shared" si="68"/>
        <v>4.2857142857142856</v>
      </c>
      <c r="AC278">
        <f t="shared" si="69"/>
        <v>0</v>
      </c>
      <c r="AD278" s="1">
        <f t="shared" si="70"/>
        <v>0</v>
      </c>
      <c r="AE278">
        <f t="shared" si="71"/>
        <v>0</v>
      </c>
      <c r="AF278">
        <f t="shared" si="72"/>
        <v>0</v>
      </c>
      <c r="AG278">
        <f t="shared" si="73"/>
        <v>0</v>
      </c>
    </row>
    <row r="279" spans="1:33" x14ac:dyDescent="0.25">
      <c r="A279" t="s">
        <v>532</v>
      </c>
      <c r="B279" t="s">
        <v>533</v>
      </c>
      <c r="C279">
        <v>402778</v>
      </c>
      <c r="D279">
        <v>402778</v>
      </c>
      <c r="S279">
        <f t="shared" si="62"/>
        <v>0</v>
      </c>
      <c r="T279">
        <f t="shared" si="63"/>
        <v>0</v>
      </c>
      <c r="U279">
        <f t="shared" si="61"/>
        <v>0</v>
      </c>
      <c r="V279">
        <f t="shared" si="64"/>
        <v>0</v>
      </c>
      <c r="W279">
        <f t="shared" si="65"/>
        <v>0</v>
      </c>
      <c r="X279">
        <f t="shared" si="74"/>
        <v>0</v>
      </c>
      <c r="Y279">
        <f t="shared" si="75"/>
        <v>0</v>
      </c>
      <c r="Z279">
        <f t="shared" si="66"/>
        <v>0</v>
      </c>
      <c r="AA279">
        <f t="shared" si="67"/>
        <v>0</v>
      </c>
      <c r="AB279">
        <f t="shared" si="68"/>
        <v>0</v>
      </c>
      <c r="AC279">
        <f t="shared" si="69"/>
        <v>0</v>
      </c>
      <c r="AD279" s="1">
        <f t="shared" si="70"/>
        <v>0</v>
      </c>
      <c r="AE279">
        <f t="shared" si="71"/>
        <v>0</v>
      </c>
      <c r="AF279">
        <f t="shared" si="72"/>
        <v>0</v>
      </c>
      <c r="AG279">
        <f t="shared" si="73"/>
        <v>0</v>
      </c>
    </row>
    <row r="280" spans="1:33" x14ac:dyDescent="0.25">
      <c r="A280" t="s">
        <v>534</v>
      </c>
      <c r="B280" t="s">
        <v>535</v>
      </c>
      <c r="C280">
        <v>166241</v>
      </c>
      <c r="D280">
        <v>166241</v>
      </c>
      <c r="S280">
        <f t="shared" si="62"/>
        <v>0</v>
      </c>
      <c r="T280">
        <f t="shared" si="63"/>
        <v>0</v>
      </c>
      <c r="U280">
        <f t="shared" si="61"/>
        <v>0</v>
      </c>
      <c r="V280">
        <f t="shared" si="64"/>
        <v>0</v>
      </c>
      <c r="W280">
        <f t="shared" si="65"/>
        <v>0</v>
      </c>
      <c r="X280">
        <f t="shared" si="74"/>
        <v>0</v>
      </c>
      <c r="Y280">
        <f t="shared" si="75"/>
        <v>0</v>
      </c>
      <c r="Z280">
        <f t="shared" si="66"/>
        <v>0</v>
      </c>
      <c r="AA280">
        <f t="shared" si="67"/>
        <v>0</v>
      </c>
      <c r="AB280">
        <f t="shared" si="68"/>
        <v>0</v>
      </c>
      <c r="AC280">
        <f t="shared" si="69"/>
        <v>0</v>
      </c>
      <c r="AD280" s="1">
        <f t="shared" si="70"/>
        <v>0</v>
      </c>
      <c r="AE280">
        <f t="shared" si="71"/>
        <v>0</v>
      </c>
      <c r="AF280">
        <f t="shared" si="72"/>
        <v>0</v>
      </c>
      <c r="AG280">
        <f t="shared" si="73"/>
        <v>0</v>
      </c>
    </row>
    <row r="281" spans="1:33" x14ac:dyDescent="0.25">
      <c r="A281" t="s">
        <v>536</v>
      </c>
      <c r="B281" t="s">
        <v>75</v>
      </c>
      <c r="C281">
        <v>166994</v>
      </c>
      <c r="D281">
        <v>166994</v>
      </c>
      <c r="E281">
        <v>40</v>
      </c>
      <c r="F281">
        <v>30</v>
      </c>
      <c r="G281">
        <v>30</v>
      </c>
      <c r="O281">
        <v>100</v>
      </c>
      <c r="S281">
        <f t="shared" si="62"/>
        <v>6.25</v>
      </c>
      <c r="T281">
        <f t="shared" si="63"/>
        <v>0</v>
      </c>
      <c r="U281">
        <f t="shared" si="61"/>
        <v>1</v>
      </c>
      <c r="V281">
        <f t="shared" si="64"/>
        <v>1</v>
      </c>
      <c r="W281">
        <f t="shared" si="65"/>
        <v>0</v>
      </c>
      <c r="X281">
        <f t="shared" si="74"/>
        <v>1</v>
      </c>
      <c r="Y281">
        <f t="shared" si="75"/>
        <v>0</v>
      </c>
      <c r="Z281">
        <f t="shared" si="66"/>
        <v>8</v>
      </c>
      <c r="AA281">
        <f t="shared" si="67"/>
        <v>7.5</v>
      </c>
      <c r="AB281">
        <f t="shared" si="68"/>
        <v>4.2857142857142856</v>
      </c>
      <c r="AC281">
        <f t="shared" si="69"/>
        <v>0</v>
      </c>
      <c r="AD281" s="1">
        <f t="shared" si="70"/>
        <v>0</v>
      </c>
      <c r="AE281">
        <f t="shared" si="71"/>
        <v>0</v>
      </c>
      <c r="AF281">
        <f t="shared" si="72"/>
        <v>0</v>
      </c>
      <c r="AG281">
        <f t="shared" si="73"/>
        <v>0</v>
      </c>
    </row>
    <row r="282" spans="1:33" x14ac:dyDescent="0.25">
      <c r="A282" t="s">
        <v>537</v>
      </c>
      <c r="B282" t="s">
        <v>538</v>
      </c>
      <c r="C282">
        <v>167027</v>
      </c>
      <c r="D282">
        <v>167027</v>
      </c>
      <c r="H282">
        <v>10</v>
      </c>
      <c r="I282">
        <v>20</v>
      </c>
      <c r="J282">
        <v>10</v>
      </c>
      <c r="K282">
        <v>0</v>
      </c>
      <c r="L282">
        <v>0</v>
      </c>
      <c r="M282">
        <v>40</v>
      </c>
      <c r="S282">
        <f t="shared" si="62"/>
        <v>0</v>
      </c>
      <c r="T282">
        <f t="shared" si="63"/>
        <v>3.3333333333333335</v>
      </c>
      <c r="U282">
        <f t="shared" si="61"/>
        <v>1</v>
      </c>
      <c r="V282">
        <f t="shared" si="64"/>
        <v>0</v>
      </c>
      <c r="W282">
        <f t="shared" si="65"/>
        <v>1</v>
      </c>
      <c r="X282">
        <f t="shared" si="74"/>
        <v>0</v>
      </c>
      <c r="Y282">
        <f t="shared" si="75"/>
        <v>0</v>
      </c>
      <c r="Z282">
        <f t="shared" si="66"/>
        <v>0</v>
      </c>
      <c r="AA282">
        <f t="shared" si="67"/>
        <v>0</v>
      </c>
      <c r="AB282">
        <f t="shared" si="68"/>
        <v>0</v>
      </c>
      <c r="AC282">
        <f t="shared" si="69"/>
        <v>5</v>
      </c>
      <c r="AD282" s="1">
        <f t="shared" si="70"/>
        <v>3.3333333333333335</v>
      </c>
      <c r="AE282">
        <f t="shared" si="71"/>
        <v>5</v>
      </c>
      <c r="AF282">
        <f t="shared" si="72"/>
        <v>0</v>
      </c>
      <c r="AG282">
        <f t="shared" si="73"/>
        <v>0</v>
      </c>
    </row>
    <row r="283" spans="1:33" x14ac:dyDescent="0.25">
      <c r="A283" t="s">
        <v>539</v>
      </c>
      <c r="B283" t="s">
        <v>540</v>
      </c>
      <c r="C283">
        <v>167053</v>
      </c>
      <c r="D283">
        <v>167053</v>
      </c>
      <c r="E283">
        <v>20</v>
      </c>
      <c r="F283">
        <v>0</v>
      </c>
      <c r="G283">
        <v>10</v>
      </c>
      <c r="O283">
        <v>30</v>
      </c>
      <c r="S283">
        <f t="shared" si="62"/>
        <v>1.875</v>
      </c>
      <c r="T283">
        <f t="shared" si="63"/>
        <v>0</v>
      </c>
      <c r="U283">
        <f t="shared" si="61"/>
        <v>1</v>
      </c>
      <c r="V283">
        <f t="shared" si="64"/>
        <v>1</v>
      </c>
      <c r="W283">
        <f t="shared" si="65"/>
        <v>0</v>
      </c>
      <c r="X283">
        <f t="shared" si="74"/>
        <v>0</v>
      </c>
      <c r="Y283">
        <f t="shared" si="75"/>
        <v>0</v>
      </c>
      <c r="Z283">
        <f t="shared" si="66"/>
        <v>4</v>
      </c>
      <c r="AA283">
        <f t="shared" si="67"/>
        <v>0</v>
      </c>
      <c r="AB283">
        <f t="shared" si="68"/>
        <v>1.4285714285714286</v>
      </c>
      <c r="AC283">
        <f t="shared" si="69"/>
        <v>0</v>
      </c>
      <c r="AD283" s="1">
        <f t="shared" si="70"/>
        <v>0</v>
      </c>
      <c r="AE283">
        <f t="shared" si="71"/>
        <v>0</v>
      </c>
      <c r="AF283">
        <f t="shared" si="72"/>
        <v>0</v>
      </c>
      <c r="AG283">
        <f t="shared" si="73"/>
        <v>0</v>
      </c>
    </row>
    <row r="284" spans="1:33" x14ac:dyDescent="0.25">
      <c r="A284" t="s">
        <v>541</v>
      </c>
      <c r="B284" t="s">
        <v>542</v>
      </c>
      <c r="C284">
        <v>166746</v>
      </c>
      <c r="D284">
        <v>166746</v>
      </c>
      <c r="S284">
        <f t="shared" si="62"/>
        <v>0</v>
      </c>
      <c r="T284">
        <f t="shared" si="63"/>
        <v>0</v>
      </c>
      <c r="U284">
        <f t="shared" si="61"/>
        <v>0</v>
      </c>
      <c r="V284">
        <f t="shared" si="64"/>
        <v>0</v>
      </c>
      <c r="W284">
        <f t="shared" si="65"/>
        <v>0</v>
      </c>
      <c r="X284">
        <f t="shared" si="74"/>
        <v>0</v>
      </c>
      <c r="Y284">
        <f t="shared" si="75"/>
        <v>0</v>
      </c>
      <c r="Z284">
        <f t="shared" si="66"/>
        <v>0</v>
      </c>
      <c r="AA284">
        <f t="shared" si="67"/>
        <v>0</v>
      </c>
      <c r="AB284">
        <f t="shared" si="68"/>
        <v>0</v>
      </c>
      <c r="AC284">
        <f t="shared" si="69"/>
        <v>0</v>
      </c>
      <c r="AD284" s="1">
        <f t="shared" si="70"/>
        <v>0</v>
      </c>
      <c r="AE284">
        <f t="shared" si="71"/>
        <v>0</v>
      </c>
      <c r="AF284">
        <f t="shared" si="72"/>
        <v>0</v>
      </c>
      <c r="AG284">
        <f t="shared" si="73"/>
        <v>0</v>
      </c>
    </row>
    <row r="285" spans="1:33" x14ac:dyDescent="0.25">
      <c r="A285" t="s">
        <v>543</v>
      </c>
      <c r="B285" t="s">
        <v>544</v>
      </c>
      <c r="C285">
        <v>164322</v>
      </c>
      <c r="D285">
        <v>164322</v>
      </c>
      <c r="S285">
        <f t="shared" si="62"/>
        <v>0</v>
      </c>
      <c r="T285">
        <f t="shared" si="63"/>
        <v>0</v>
      </c>
      <c r="U285">
        <f t="shared" si="61"/>
        <v>0</v>
      </c>
      <c r="V285">
        <f t="shared" si="64"/>
        <v>0</v>
      </c>
      <c r="W285">
        <f t="shared" si="65"/>
        <v>0</v>
      </c>
      <c r="X285">
        <f t="shared" si="74"/>
        <v>0</v>
      </c>
      <c r="Y285">
        <f t="shared" si="75"/>
        <v>0</v>
      </c>
      <c r="Z285">
        <f t="shared" si="66"/>
        <v>0</v>
      </c>
      <c r="AA285">
        <f t="shared" si="67"/>
        <v>0</v>
      </c>
      <c r="AB285">
        <f t="shared" si="68"/>
        <v>0</v>
      </c>
      <c r="AC285">
        <f t="shared" si="69"/>
        <v>0</v>
      </c>
      <c r="AD285" s="1">
        <f t="shared" si="70"/>
        <v>0</v>
      </c>
      <c r="AE285">
        <f t="shared" si="71"/>
        <v>0</v>
      </c>
      <c r="AF285">
        <f t="shared" si="72"/>
        <v>0</v>
      </c>
      <c r="AG285">
        <f t="shared" si="73"/>
        <v>0</v>
      </c>
    </row>
    <row r="286" spans="1:33" x14ac:dyDescent="0.25">
      <c r="A286" t="s">
        <v>545</v>
      </c>
      <c r="B286" t="s">
        <v>546</v>
      </c>
      <c r="C286">
        <v>168528</v>
      </c>
      <c r="D286">
        <v>168528</v>
      </c>
      <c r="E286">
        <v>0</v>
      </c>
      <c r="F286">
        <v>10</v>
      </c>
      <c r="G286">
        <v>10</v>
      </c>
      <c r="O286">
        <v>20</v>
      </c>
      <c r="S286">
        <f t="shared" si="62"/>
        <v>1.25</v>
      </c>
      <c r="T286">
        <f t="shared" si="63"/>
        <v>0</v>
      </c>
      <c r="U286">
        <f t="shared" si="61"/>
        <v>1</v>
      </c>
      <c r="V286">
        <f t="shared" si="64"/>
        <v>1</v>
      </c>
      <c r="W286">
        <f t="shared" si="65"/>
        <v>0</v>
      </c>
      <c r="X286">
        <f t="shared" si="74"/>
        <v>0</v>
      </c>
      <c r="Y286">
        <f t="shared" si="75"/>
        <v>0</v>
      </c>
      <c r="Z286">
        <f t="shared" si="66"/>
        <v>0</v>
      </c>
      <c r="AA286">
        <f t="shared" si="67"/>
        <v>2.5</v>
      </c>
      <c r="AB286">
        <f t="shared" si="68"/>
        <v>1.4285714285714286</v>
      </c>
      <c r="AC286">
        <f t="shared" si="69"/>
        <v>0</v>
      </c>
      <c r="AD286" s="1">
        <f t="shared" si="70"/>
        <v>0</v>
      </c>
      <c r="AE286">
        <f t="shared" si="71"/>
        <v>0</v>
      </c>
      <c r="AF286">
        <f t="shared" si="72"/>
        <v>0</v>
      </c>
      <c r="AG286">
        <f t="shared" si="73"/>
        <v>0</v>
      </c>
    </row>
    <row r="287" spans="1:33" x14ac:dyDescent="0.25">
      <c r="A287" t="s">
        <v>547</v>
      </c>
      <c r="B287" t="s">
        <v>548</v>
      </c>
      <c r="C287">
        <v>166229</v>
      </c>
      <c r="D287">
        <v>166229</v>
      </c>
      <c r="H287">
        <v>10</v>
      </c>
      <c r="I287">
        <v>50</v>
      </c>
      <c r="J287">
        <v>20</v>
      </c>
      <c r="K287">
        <v>10</v>
      </c>
      <c r="L287">
        <v>0</v>
      </c>
      <c r="M287">
        <v>90</v>
      </c>
      <c r="N287" t="s">
        <v>549</v>
      </c>
      <c r="S287">
        <f t="shared" si="62"/>
        <v>0</v>
      </c>
      <c r="T287">
        <f t="shared" si="63"/>
        <v>7.5</v>
      </c>
      <c r="U287">
        <f t="shared" si="61"/>
        <v>1</v>
      </c>
      <c r="V287">
        <f t="shared" si="64"/>
        <v>0</v>
      </c>
      <c r="W287">
        <f t="shared" si="65"/>
        <v>1</v>
      </c>
      <c r="X287">
        <f t="shared" si="74"/>
        <v>0</v>
      </c>
      <c r="Y287">
        <f t="shared" si="75"/>
        <v>1</v>
      </c>
      <c r="Z287">
        <f t="shared" si="66"/>
        <v>0</v>
      </c>
      <c r="AA287">
        <f t="shared" si="67"/>
        <v>0</v>
      </c>
      <c r="AB287">
        <f t="shared" si="68"/>
        <v>0</v>
      </c>
      <c r="AC287">
        <f t="shared" si="69"/>
        <v>5</v>
      </c>
      <c r="AD287" s="1">
        <f t="shared" si="70"/>
        <v>8.3333333333333339</v>
      </c>
      <c r="AE287">
        <f t="shared" si="71"/>
        <v>10</v>
      </c>
      <c r="AF287">
        <f t="shared" si="72"/>
        <v>10</v>
      </c>
      <c r="AG287">
        <f t="shared" si="73"/>
        <v>0</v>
      </c>
    </row>
    <row r="288" spans="1:33" x14ac:dyDescent="0.25">
      <c r="A288" t="s">
        <v>550</v>
      </c>
      <c r="B288" t="s">
        <v>551</v>
      </c>
      <c r="C288">
        <v>168083</v>
      </c>
      <c r="D288">
        <v>168083</v>
      </c>
      <c r="E288">
        <v>40</v>
      </c>
      <c r="F288">
        <v>30</v>
      </c>
      <c r="G288">
        <v>30</v>
      </c>
      <c r="O288">
        <v>100</v>
      </c>
      <c r="R288" t="s">
        <v>20</v>
      </c>
      <c r="S288">
        <f t="shared" si="62"/>
        <v>6.25</v>
      </c>
      <c r="T288">
        <f t="shared" si="63"/>
        <v>0</v>
      </c>
      <c r="U288">
        <f t="shared" si="61"/>
        <v>1</v>
      </c>
      <c r="V288">
        <f t="shared" si="64"/>
        <v>1</v>
      </c>
      <c r="W288">
        <f t="shared" si="65"/>
        <v>0</v>
      </c>
      <c r="X288">
        <f t="shared" si="74"/>
        <v>1</v>
      </c>
      <c r="Y288">
        <f t="shared" si="75"/>
        <v>0</v>
      </c>
      <c r="Z288">
        <f t="shared" si="66"/>
        <v>8</v>
      </c>
      <c r="AA288">
        <f t="shared" si="67"/>
        <v>7.5</v>
      </c>
      <c r="AB288">
        <f t="shared" si="68"/>
        <v>4.2857142857142856</v>
      </c>
      <c r="AC288">
        <f t="shared" si="69"/>
        <v>0</v>
      </c>
      <c r="AD288" s="1">
        <f t="shared" si="70"/>
        <v>0</v>
      </c>
      <c r="AE288">
        <f t="shared" si="71"/>
        <v>0</v>
      </c>
      <c r="AF288">
        <f t="shared" si="72"/>
        <v>0</v>
      </c>
      <c r="AG288">
        <f t="shared" si="73"/>
        <v>0</v>
      </c>
    </row>
    <row r="289" spans="1:33" x14ac:dyDescent="0.25">
      <c r="A289" t="s">
        <v>552</v>
      </c>
      <c r="B289" t="s">
        <v>553</v>
      </c>
      <c r="C289">
        <v>168184</v>
      </c>
      <c r="D289">
        <v>168184</v>
      </c>
      <c r="E289">
        <v>50</v>
      </c>
      <c r="F289">
        <v>30</v>
      </c>
      <c r="G289">
        <v>10</v>
      </c>
      <c r="O289">
        <v>90</v>
      </c>
      <c r="S289">
        <f t="shared" si="62"/>
        <v>5.625</v>
      </c>
      <c r="T289">
        <f t="shared" si="63"/>
        <v>0</v>
      </c>
      <c r="U289">
        <f t="shared" si="61"/>
        <v>1</v>
      </c>
      <c r="V289">
        <f t="shared" si="64"/>
        <v>1</v>
      </c>
      <c r="W289">
        <f t="shared" si="65"/>
        <v>0</v>
      </c>
      <c r="X289">
        <f t="shared" si="74"/>
        <v>0</v>
      </c>
      <c r="Y289">
        <f t="shared" si="75"/>
        <v>0</v>
      </c>
      <c r="Z289">
        <f t="shared" si="66"/>
        <v>10</v>
      </c>
      <c r="AA289">
        <f t="shared" si="67"/>
        <v>7.5</v>
      </c>
      <c r="AB289">
        <f t="shared" si="68"/>
        <v>1.4285714285714286</v>
      </c>
      <c r="AC289">
        <f t="shared" si="69"/>
        <v>0</v>
      </c>
      <c r="AD289" s="1">
        <f t="shared" si="70"/>
        <v>0</v>
      </c>
      <c r="AE289">
        <f t="shared" si="71"/>
        <v>0</v>
      </c>
      <c r="AF289">
        <f t="shared" si="72"/>
        <v>0</v>
      </c>
      <c r="AG289">
        <f t="shared" si="73"/>
        <v>0</v>
      </c>
    </row>
    <row r="290" spans="1:33" x14ac:dyDescent="0.25">
      <c r="A290" t="s">
        <v>554</v>
      </c>
      <c r="B290" t="s">
        <v>555</v>
      </c>
      <c r="C290">
        <v>167377</v>
      </c>
      <c r="D290">
        <v>167377</v>
      </c>
      <c r="H290">
        <v>0</v>
      </c>
      <c r="I290">
        <v>50</v>
      </c>
      <c r="J290">
        <v>20</v>
      </c>
      <c r="K290">
        <v>0</v>
      </c>
      <c r="L290">
        <v>0</v>
      </c>
      <c r="M290">
        <v>70</v>
      </c>
      <c r="S290">
        <f t="shared" si="62"/>
        <v>0</v>
      </c>
      <c r="T290">
        <f t="shared" si="63"/>
        <v>5.833333333333333</v>
      </c>
      <c r="U290">
        <f t="shared" si="61"/>
        <v>1</v>
      </c>
      <c r="V290">
        <f t="shared" si="64"/>
        <v>0</v>
      </c>
      <c r="W290">
        <f t="shared" si="65"/>
        <v>1</v>
      </c>
      <c r="X290">
        <f t="shared" si="74"/>
        <v>0</v>
      </c>
      <c r="Y290">
        <f t="shared" si="75"/>
        <v>0</v>
      </c>
      <c r="Z290">
        <f t="shared" si="66"/>
        <v>0</v>
      </c>
      <c r="AA290">
        <f t="shared" si="67"/>
        <v>0</v>
      </c>
      <c r="AB290">
        <f t="shared" si="68"/>
        <v>0</v>
      </c>
      <c r="AC290">
        <f t="shared" si="69"/>
        <v>0</v>
      </c>
      <c r="AD290" s="1">
        <f t="shared" si="70"/>
        <v>8.3333333333333339</v>
      </c>
      <c r="AE290">
        <f t="shared" si="71"/>
        <v>10</v>
      </c>
      <c r="AF290">
        <f t="shared" si="72"/>
        <v>0</v>
      </c>
      <c r="AG290">
        <f t="shared" si="73"/>
        <v>0</v>
      </c>
    </row>
    <row r="291" spans="1:33" x14ac:dyDescent="0.25">
      <c r="A291" t="s">
        <v>556</v>
      </c>
      <c r="B291" t="s">
        <v>197</v>
      </c>
      <c r="C291">
        <v>162163</v>
      </c>
      <c r="D291">
        <v>162163</v>
      </c>
      <c r="S291">
        <f t="shared" si="62"/>
        <v>0</v>
      </c>
      <c r="T291">
        <f t="shared" si="63"/>
        <v>0</v>
      </c>
      <c r="U291">
        <f t="shared" si="61"/>
        <v>0</v>
      </c>
      <c r="V291">
        <f t="shared" si="64"/>
        <v>0</v>
      </c>
      <c r="W291">
        <f t="shared" si="65"/>
        <v>0</v>
      </c>
      <c r="X291">
        <f t="shared" si="74"/>
        <v>0</v>
      </c>
      <c r="Y291">
        <f t="shared" si="75"/>
        <v>0</v>
      </c>
      <c r="Z291">
        <f t="shared" si="66"/>
        <v>0</v>
      </c>
      <c r="AA291">
        <f t="shared" si="67"/>
        <v>0</v>
      </c>
      <c r="AB291">
        <f t="shared" si="68"/>
        <v>0</v>
      </c>
      <c r="AC291">
        <f t="shared" si="69"/>
        <v>0</v>
      </c>
      <c r="AD291" s="1">
        <f t="shared" si="70"/>
        <v>0</v>
      </c>
      <c r="AE291">
        <f t="shared" si="71"/>
        <v>0</v>
      </c>
      <c r="AF291">
        <f t="shared" si="72"/>
        <v>0</v>
      </c>
      <c r="AG291">
        <f t="shared" si="73"/>
        <v>0</v>
      </c>
    </row>
    <row r="292" spans="1:33" x14ac:dyDescent="0.25">
      <c r="A292" t="s">
        <v>557</v>
      </c>
      <c r="B292" t="s">
        <v>558</v>
      </c>
      <c r="C292">
        <v>165311</v>
      </c>
      <c r="D292">
        <v>165311</v>
      </c>
      <c r="E292">
        <v>10</v>
      </c>
      <c r="F292">
        <v>20</v>
      </c>
      <c r="G292">
        <v>20</v>
      </c>
      <c r="O292">
        <v>50</v>
      </c>
      <c r="S292">
        <f t="shared" si="62"/>
        <v>3.125</v>
      </c>
      <c r="T292">
        <f t="shared" si="63"/>
        <v>0</v>
      </c>
      <c r="U292">
        <f t="shared" si="61"/>
        <v>1</v>
      </c>
      <c r="V292">
        <f t="shared" si="64"/>
        <v>1</v>
      </c>
      <c r="W292">
        <f t="shared" si="65"/>
        <v>0</v>
      </c>
      <c r="X292">
        <f t="shared" si="74"/>
        <v>0</v>
      </c>
      <c r="Y292">
        <f t="shared" si="75"/>
        <v>0</v>
      </c>
      <c r="Z292">
        <f t="shared" si="66"/>
        <v>2</v>
      </c>
      <c r="AA292">
        <f t="shared" si="67"/>
        <v>5</v>
      </c>
      <c r="AB292">
        <f t="shared" si="68"/>
        <v>2.8571428571428572</v>
      </c>
      <c r="AC292">
        <f t="shared" si="69"/>
        <v>0</v>
      </c>
      <c r="AD292" s="1">
        <f t="shared" si="70"/>
        <v>0</v>
      </c>
      <c r="AE292">
        <f t="shared" si="71"/>
        <v>0</v>
      </c>
      <c r="AF292">
        <f t="shared" si="72"/>
        <v>0</v>
      </c>
      <c r="AG292">
        <f t="shared" si="73"/>
        <v>0</v>
      </c>
    </row>
    <row r="293" spans="1:33" x14ac:dyDescent="0.25">
      <c r="A293" t="s">
        <v>559</v>
      </c>
      <c r="B293" t="s">
        <v>560</v>
      </c>
      <c r="C293">
        <v>167102</v>
      </c>
      <c r="D293">
        <v>167102</v>
      </c>
      <c r="E293">
        <v>30</v>
      </c>
      <c r="F293">
        <v>30</v>
      </c>
      <c r="G293">
        <v>30</v>
      </c>
      <c r="O293">
        <v>90</v>
      </c>
      <c r="S293">
        <f t="shared" si="62"/>
        <v>5.625</v>
      </c>
      <c r="T293">
        <f t="shared" si="63"/>
        <v>0</v>
      </c>
      <c r="U293">
        <f t="shared" si="61"/>
        <v>1</v>
      </c>
      <c r="V293">
        <f t="shared" si="64"/>
        <v>1</v>
      </c>
      <c r="W293">
        <f t="shared" si="65"/>
        <v>0</v>
      </c>
      <c r="X293">
        <f t="shared" si="74"/>
        <v>0</v>
      </c>
      <c r="Y293">
        <f t="shared" si="75"/>
        <v>0</v>
      </c>
      <c r="Z293">
        <f t="shared" si="66"/>
        <v>6</v>
      </c>
      <c r="AA293">
        <f t="shared" si="67"/>
        <v>7.5</v>
      </c>
      <c r="AB293">
        <f t="shared" si="68"/>
        <v>4.2857142857142856</v>
      </c>
      <c r="AC293">
        <f t="shared" si="69"/>
        <v>0</v>
      </c>
      <c r="AD293" s="1">
        <f t="shared" si="70"/>
        <v>0</v>
      </c>
      <c r="AE293">
        <f t="shared" si="71"/>
        <v>0</v>
      </c>
      <c r="AF293">
        <f t="shared" si="72"/>
        <v>0</v>
      </c>
      <c r="AG293">
        <f t="shared" si="73"/>
        <v>0</v>
      </c>
    </row>
    <row r="294" spans="1:33" x14ac:dyDescent="0.25">
      <c r="A294" t="s">
        <v>561</v>
      </c>
      <c r="B294" t="s">
        <v>562</v>
      </c>
      <c r="C294">
        <v>166891</v>
      </c>
      <c r="D294">
        <v>166891</v>
      </c>
      <c r="H294">
        <v>10</v>
      </c>
      <c r="I294">
        <v>40</v>
      </c>
      <c r="J294">
        <v>10</v>
      </c>
      <c r="K294">
        <v>10</v>
      </c>
      <c r="M294">
        <v>70</v>
      </c>
      <c r="S294">
        <f t="shared" si="62"/>
        <v>0</v>
      </c>
      <c r="T294">
        <f t="shared" si="63"/>
        <v>5.833333333333333</v>
      </c>
      <c r="U294">
        <f t="shared" si="61"/>
        <v>1</v>
      </c>
      <c r="V294">
        <f t="shared" si="64"/>
        <v>0</v>
      </c>
      <c r="W294">
        <f t="shared" si="65"/>
        <v>1</v>
      </c>
      <c r="X294">
        <f t="shared" si="74"/>
        <v>0</v>
      </c>
      <c r="Y294">
        <f t="shared" si="75"/>
        <v>0</v>
      </c>
      <c r="Z294">
        <f t="shared" si="66"/>
        <v>0</v>
      </c>
      <c r="AA294">
        <f t="shared" si="67"/>
        <v>0</v>
      </c>
      <c r="AB294">
        <f t="shared" si="68"/>
        <v>0</v>
      </c>
      <c r="AC294">
        <f t="shared" si="69"/>
        <v>5</v>
      </c>
      <c r="AD294" s="1">
        <f t="shared" si="70"/>
        <v>6.666666666666667</v>
      </c>
      <c r="AE294">
        <f t="shared" si="71"/>
        <v>5</v>
      </c>
      <c r="AF294">
        <f t="shared" si="72"/>
        <v>10</v>
      </c>
      <c r="AG294">
        <f t="shared" si="73"/>
        <v>0</v>
      </c>
    </row>
    <row r="295" spans="1:33" x14ac:dyDescent="0.25">
      <c r="A295" t="s">
        <v>563</v>
      </c>
      <c r="B295" t="s">
        <v>434</v>
      </c>
      <c r="C295">
        <v>167116</v>
      </c>
      <c r="D295">
        <v>167116</v>
      </c>
      <c r="E295">
        <v>20</v>
      </c>
      <c r="O295">
        <v>20</v>
      </c>
      <c r="S295">
        <f t="shared" si="62"/>
        <v>1.25</v>
      </c>
      <c r="T295">
        <f t="shared" si="63"/>
        <v>0</v>
      </c>
      <c r="U295">
        <f t="shared" si="61"/>
        <v>1</v>
      </c>
      <c r="V295">
        <f t="shared" si="64"/>
        <v>1</v>
      </c>
      <c r="W295">
        <f t="shared" si="65"/>
        <v>0</v>
      </c>
      <c r="X295">
        <f t="shared" si="74"/>
        <v>0</v>
      </c>
      <c r="Y295">
        <f t="shared" si="75"/>
        <v>0</v>
      </c>
      <c r="Z295">
        <f t="shared" si="66"/>
        <v>4</v>
      </c>
      <c r="AA295">
        <f t="shared" si="67"/>
        <v>0</v>
      </c>
      <c r="AB295">
        <f t="shared" si="68"/>
        <v>0</v>
      </c>
      <c r="AC295">
        <f t="shared" si="69"/>
        <v>0</v>
      </c>
      <c r="AD295" s="1">
        <f t="shared" si="70"/>
        <v>0</v>
      </c>
      <c r="AE295">
        <f t="shared" si="71"/>
        <v>0</v>
      </c>
      <c r="AF295">
        <f t="shared" si="72"/>
        <v>0</v>
      </c>
      <c r="AG295">
        <f t="shared" si="73"/>
        <v>0</v>
      </c>
    </row>
    <row r="296" spans="1:33" x14ac:dyDescent="0.25">
      <c r="A296" t="s">
        <v>564</v>
      </c>
      <c r="B296" t="s">
        <v>59</v>
      </c>
      <c r="C296">
        <v>166284</v>
      </c>
      <c r="D296">
        <v>166284</v>
      </c>
      <c r="E296">
        <v>30</v>
      </c>
      <c r="F296">
        <v>10</v>
      </c>
      <c r="G296">
        <v>50</v>
      </c>
      <c r="O296">
        <v>90</v>
      </c>
      <c r="S296">
        <f t="shared" si="62"/>
        <v>5.625</v>
      </c>
      <c r="T296">
        <f t="shared" si="63"/>
        <v>0</v>
      </c>
      <c r="U296">
        <f t="shared" si="61"/>
        <v>1</v>
      </c>
      <c r="V296">
        <f t="shared" si="64"/>
        <v>1</v>
      </c>
      <c r="W296">
        <f t="shared" si="65"/>
        <v>0</v>
      </c>
      <c r="X296">
        <f t="shared" si="74"/>
        <v>0</v>
      </c>
      <c r="Y296">
        <f t="shared" si="75"/>
        <v>0</v>
      </c>
      <c r="Z296">
        <f t="shared" si="66"/>
        <v>6</v>
      </c>
      <c r="AA296">
        <f t="shared" si="67"/>
        <v>2.5</v>
      </c>
      <c r="AB296">
        <f t="shared" si="68"/>
        <v>7.1428571428571432</v>
      </c>
      <c r="AC296">
        <f t="shared" si="69"/>
        <v>0</v>
      </c>
      <c r="AD296" s="1">
        <f t="shared" si="70"/>
        <v>0</v>
      </c>
      <c r="AE296">
        <f t="shared" si="71"/>
        <v>0</v>
      </c>
      <c r="AF296">
        <f t="shared" si="72"/>
        <v>0</v>
      </c>
      <c r="AG296">
        <f t="shared" si="73"/>
        <v>0</v>
      </c>
    </row>
    <row r="297" spans="1:33" x14ac:dyDescent="0.25">
      <c r="A297" t="s">
        <v>565</v>
      </c>
      <c r="B297" t="s">
        <v>566</v>
      </c>
      <c r="C297">
        <v>166813</v>
      </c>
      <c r="D297">
        <v>166813</v>
      </c>
      <c r="E297">
        <v>0</v>
      </c>
      <c r="F297">
        <v>30</v>
      </c>
      <c r="G297">
        <v>20</v>
      </c>
      <c r="O297">
        <v>50</v>
      </c>
      <c r="S297">
        <f t="shared" si="62"/>
        <v>3.125</v>
      </c>
      <c r="T297">
        <f t="shared" si="63"/>
        <v>0</v>
      </c>
      <c r="U297">
        <f t="shared" si="61"/>
        <v>1</v>
      </c>
      <c r="V297">
        <f t="shared" si="64"/>
        <v>1</v>
      </c>
      <c r="W297">
        <f t="shared" si="65"/>
        <v>0</v>
      </c>
      <c r="X297">
        <f t="shared" si="74"/>
        <v>0</v>
      </c>
      <c r="Y297">
        <f t="shared" si="75"/>
        <v>0</v>
      </c>
      <c r="Z297">
        <f t="shared" si="66"/>
        <v>0</v>
      </c>
      <c r="AA297">
        <f t="shared" si="67"/>
        <v>7.5</v>
      </c>
      <c r="AB297">
        <f t="shared" si="68"/>
        <v>2.8571428571428572</v>
      </c>
      <c r="AC297">
        <f t="shared" si="69"/>
        <v>0</v>
      </c>
      <c r="AD297" s="1">
        <f t="shared" si="70"/>
        <v>0</v>
      </c>
      <c r="AE297">
        <f t="shared" si="71"/>
        <v>0</v>
      </c>
      <c r="AF297">
        <f t="shared" si="72"/>
        <v>0</v>
      </c>
      <c r="AG297">
        <f t="shared" si="73"/>
        <v>0</v>
      </c>
    </row>
    <row r="298" spans="1:33" x14ac:dyDescent="0.25">
      <c r="A298" t="s">
        <v>567</v>
      </c>
      <c r="B298" t="s">
        <v>568</v>
      </c>
      <c r="C298">
        <v>167807</v>
      </c>
      <c r="D298">
        <v>167807</v>
      </c>
      <c r="E298">
        <v>50</v>
      </c>
      <c r="F298">
        <v>30</v>
      </c>
      <c r="G298">
        <v>40</v>
      </c>
      <c r="O298">
        <v>120</v>
      </c>
      <c r="S298">
        <f t="shared" si="62"/>
        <v>7.5</v>
      </c>
      <c r="T298">
        <f t="shared" si="63"/>
        <v>0</v>
      </c>
      <c r="U298">
        <f t="shared" si="61"/>
        <v>1</v>
      </c>
      <c r="V298">
        <f t="shared" si="64"/>
        <v>1</v>
      </c>
      <c r="W298">
        <f t="shared" si="65"/>
        <v>0</v>
      </c>
      <c r="X298">
        <f t="shared" si="74"/>
        <v>1</v>
      </c>
      <c r="Y298">
        <f t="shared" si="75"/>
        <v>0</v>
      </c>
      <c r="Z298">
        <f t="shared" si="66"/>
        <v>10</v>
      </c>
      <c r="AA298">
        <f t="shared" si="67"/>
        <v>7.5</v>
      </c>
      <c r="AB298">
        <f t="shared" si="68"/>
        <v>5.7142857142857144</v>
      </c>
      <c r="AC298">
        <f t="shared" si="69"/>
        <v>0</v>
      </c>
      <c r="AD298" s="1">
        <f t="shared" si="70"/>
        <v>0</v>
      </c>
      <c r="AE298">
        <f t="shared" si="71"/>
        <v>0</v>
      </c>
      <c r="AF298">
        <f t="shared" si="72"/>
        <v>0</v>
      </c>
      <c r="AG298">
        <f t="shared" si="73"/>
        <v>0</v>
      </c>
    </row>
    <row r="299" spans="1:33" x14ac:dyDescent="0.25">
      <c r="A299" t="s">
        <v>569</v>
      </c>
      <c r="B299" t="s">
        <v>570</v>
      </c>
      <c r="C299">
        <v>168873</v>
      </c>
      <c r="D299">
        <v>168873</v>
      </c>
      <c r="S299">
        <f t="shared" si="62"/>
        <v>0</v>
      </c>
      <c r="T299">
        <f t="shared" si="63"/>
        <v>0</v>
      </c>
      <c r="U299">
        <f t="shared" si="61"/>
        <v>0</v>
      </c>
      <c r="V299">
        <f t="shared" si="64"/>
        <v>0</v>
      </c>
      <c r="W299">
        <f t="shared" si="65"/>
        <v>0</v>
      </c>
      <c r="X299">
        <f t="shared" si="74"/>
        <v>0</v>
      </c>
      <c r="Y299">
        <f t="shared" si="75"/>
        <v>0</v>
      </c>
      <c r="Z299">
        <f t="shared" si="66"/>
        <v>0</v>
      </c>
      <c r="AA299">
        <f t="shared" si="67"/>
        <v>0</v>
      </c>
      <c r="AB299">
        <f t="shared" si="68"/>
        <v>0</v>
      </c>
      <c r="AC299">
        <f t="shared" si="69"/>
        <v>0</v>
      </c>
      <c r="AD299" s="1">
        <f t="shared" si="70"/>
        <v>0</v>
      </c>
      <c r="AE299">
        <f t="shared" si="71"/>
        <v>0</v>
      </c>
      <c r="AF299">
        <f t="shared" si="72"/>
        <v>0</v>
      </c>
      <c r="AG299">
        <f t="shared" si="73"/>
        <v>0</v>
      </c>
    </row>
    <row r="300" spans="1:33" x14ac:dyDescent="0.25">
      <c r="A300" t="s">
        <v>571</v>
      </c>
      <c r="B300" t="s">
        <v>572</v>
      </c>
      <c r="C300">
        <v>161653</v>
      </c>
      <c r="D300">
        <v>161653</v>
      </c>
      <c r="E300">
        <v>50</v>
      </c>
      <c r="F300">
        <v>30</v>
      </c>
      <c r="G300">
        <v>40</v>
      </c>
      <c r="O300">
        <v>120</v>
      </c>
      <c r="S300">
        <f t="shared" si="62"/>
        <v>7.5</v>
      </c>
      <c r="T300">
        <f t="shared" si="63"/>
        <v>0</v>
      </c>
      <c r="U300">
        <f t="shared" si="61"/>
        <v>1</v>
      </c>
      <c r="V300">
        <f t="shared" si="64"/>
        <v>1</v>
      </c>
      <c r="W300">
        <f t="shared" si="65"/>
        <v>0</v>
      </c>
      <c r="X300">
        <f t="shared" si="74"/>
        <v>1</v>
      </c>
      <c r="Y300">
        <f t="shared" si="75"/>
        <v>0</v>
      </c>
      <c r="Z300">
        <f t="shared" si="66"/>
        <v>10</v>
      </c>
      <c r="AA300">
        <f t="shared" si="67"/>
        <v>7.5</v>
      </c>
      <c r="AB300">
        <f t="shared" si="68"/>
        <v>5.7142857142857144</v>
      </c>
      <c r="AC300">
        <f t="shared" si="69"/>
        <v>0</v>
      </c>
      <c r="AD300" s="1">
        <f t="shared" si="70"/>
        <v>0</v>
      </c>
      <c r="AE300">
        <f t="shared" si="71"/>
        <v>0</v>
      </c>
      <c r="AF300">
        <f t="shared" si="72"/>
        <v>0</v>
      </c>
      <c r="AG300">
        <f t="shared" si="73"/>
        <v>0</v>
      </c>
    </row>
    <row r="301" spans="1:33" x14ac:dyDescent="0.25">
      <c r="A301" t="s">
        <v>573</v>
      </c>
      <c r="B301" t="s">
        <v>197</v>
      </c>
      <c r="C301">
        <v>168064</v>
      </c>
      <c r="D301">
        <v>168064</v>
      </c>
      <c r="S301">
        <f t="shared" si="62"/>
        <v>0</v>
      </c>
      <c r="T301">
        <f t="shared" si="63"/>
        <v>0</v>
      </c>
      <c r="U301">
        <f t="shared" si="61"/>
        <v>0</v>
      </c>
      <c r="V301">
        <f t="shared" si="64"/>
        <v>0</v>
      </c>
      <c r="W301">
        <f t="shared" si="65"/>
        <v>0</v>
      </c>
      <c r="X301">
        <f t="shared" si="74"/>
        <v>0</v>
      </c>
      <c r="Y301">
        <f t="shared" si="75"/>
        <v>0</v>
      </c>
      <c r="Z301">
        <f t="shared" si="66"/>
        <v>0</v>
      </c>
      <c r="AA301">
        <f t="shared" si="67"/>
        <v>0</v>
      </c>
      <c r="AB301">
        <f t="shared" si="68"/>
        <v>0</v>
      </c>
      <c r="AC301">
        <f t="shared" si="69"/>
        <v>0</v>
      </c>
      <c r="AD301" s="1">
        <f t="shared" si="70"/>
        <v>0</v>
      </c>
      <c r="AE301">
        <f t="shared" si="71"/>
        <v>0</v>
      </c>
      <c r="AF301">
        <f t="shared" si="72"/>
        <v>0</v>
      </c>
      <c r="AG301">
        <f t="shared" si="73"/>
        <v>0</v>
      </c>
    </row>
    <row r="302" spans="1:33" x14ac:dyDescent="0.25">
      <c r="A302" t="s">
        <v>574</v>
      </c>
      <c r="B302" t="s">
        <v>575</v>
      </c>
      <c r="C302">
        <v>162244</v>
      </c>
      <c r="D302">
        <v>162244</v>
      </c>
      <c r="E302">
        <v>10</v>
      </c>
      <c r="F302">
        <v>30</v>
      </c>
      <c r="G302">
        <v>30</v>
      </c>
      <c r="O302">
        <v>70</v>
      </c>
      <c r="S302">
        <f t="shared" si="62"/>
        <v>4.375</v>
      </c>
      <c r="T302">
        <f t="shared" si="63"/>
        <v>0</v>
      </c>
      <c r="U302">
        <f t="shared" si="61"/>
        <v>1</v>
      </c>
      <c r="V302">
        <f t="shared" si="64"/>
        <v>1</v>
      </c>
      <c r="W302">
        <f t="shared" si="65"/>
        <v>0</v>
      </c>
      <c r="X302">
        <f t="shared" si="74"/>
        <v>0</v>
      </c>
      <c r="Y302">
        <f t="shared" si="75"/>
        <v>0</v>
      </c>
      <c r="Z302">
        <f t="shared" si="66"/>
        <v>2</v>
      </c>
      <c r="AA302">
        <f t="shared" si="67"/>
        <v>7.5</v>
      </c>
      <c r="AB302">
        <f t="shared" si="68"/>
        <v>4.2857142857142856</v>
      </c>
      <c r="AC302">
        <f t="shared" si="69"/>
        <v>0</v>
      </c>
      <c r="AD302" s="1">
        <f t="shared" si="70"/>
        <v>0</v>
      </c>
      <c r="AE302">
        <f t="shared" si="71"/>
        <v>0</v>
      </c>
      <c r="AF302">
        <f t="shared" si="72"/>
        <v>0</v>
      </c>
      <c r="AG302">
        <f t="shared" si="73"/>
        <v>0</v>
      </c>
    </row>
    <row r="303" spans="1:33" x14ac:dyDescent="0.25">
      <c r="A303" t="s">
        <v>576</v>
      </c>
      <c r="B303" t="s">
        <v>577</v>
      </c>
      <c r="C303">
        <v>167732</v>
      </c>
      <c r="D303">
        <v>167732</v>
      </c>
      <c r="E303">
        <v>30</v>
      </c>
      <c r="F303">
        <v>20</v>
      </c>
      <c r="G303">
        <v>10</v>
      </c>
      <c r="O303">
        <v>60</v>
      </c>
      <c r="S303">
        <f t="shared" si="62"/>
        <v>3.75</v>
      </c>
      <c r="T303">
        <f t="shared" si="63"/>
        <v>0</v>
      </c>
      <c r="U303">
        <f t="shared" si="61"/>
        <v>1</v>
      </c>
      <c r="V303">
        <f t="shared" si="64"/>
        <v>1</v>
      </c>
      <c r="W303">
        <f t="shared" si="65"/>
        <v>0</v>
      </c>
      <c r="X303">
        <f t="shared" si="74"/>
        <v>0</v>
      </c>
      <c r="Y303">
        <f t="shared" si="75"/>
        <v>0</v>
      </c>
      <c r="Z303">
        <f t="shared" si="66"/>
        <v>6</v>
      </c>
      <c r="AA303">
        <f t="shared" si="67"/>
        <v>5</v>
      </c>
      <c r="AB303">
        <f t="shared" si="68"/>
        <v>1.4285714285714286</v>
      </c>
      <c r="AC303">
        <f t="shared" si="69"/>
        <v>0</v>
      </c>
      <c r="AD303" s="1">
        <f t="shared" si="70"/>
        <v>0</v>
      </c>
      <c r="AE303">
        <f t="shared" si="71"/>
        <v>0</v>
      </c>
      <c r="AF303">
        <f t="shared" si="72"/>
        <v>0</v>
      </c>
      <c r="AG303">
        <f t="shared" si="73"/>
        <v>0</v>
      </c>
    </row>
    <row r="304" spans="1:33" x14ac:dyDescent="0.25">
      <c r="A304" t="s">
        <v>578</v>
      </c>
      <c r="B304" t="s">
        <v>579</v>
      </c>
      <c r="C304">
        <v>167474</v>
      </c>
      <c r="D304">
        <v>167474</v>
      </c>
      <c r="H304">
        <v>10</v>
      </c>
      <c r="I304">
        <v>50</v>
      </c>
      <c r="J304">
        <v>10</v>
      </c>
      <c r="M304">
        <v>70</v>
      </c>
      <c r="S304">
        <f t="shared" si="62"/>
        <v>0</v>
      </c>
      <c r="T304">
        <f t="shared" si="63"/>
        <v>5.833333333333333</v>
      </c>
      <c r="U304">
        <f t="shared" si="61"/>
        <v>1</v>
      </c>
      <c r="V304">
        <f t="shared" si="64"/>
        <v>0</v>
      </c>
      <c r="W304">
        <f t="shared" si="65"/>
        <v>1</v>
      </c>
      <c r="X304">
        <f t="shared" si="74"/>
        <v>0</v>
      </c>
      <c r="Y304">
        <f t="shared" si="75"/>
        <v>0</v>
      </c>
      <c r="Z304">
        <f t="shared" si="66"/>
        <v>0</v>
      </c>
      <c r="AA304">
        <f t="shared" si="67"/>
        <v>0</v>
      </c>
      <c r="AB304">
        <f t="shared" si="68"/>
        <v>0</v>
      </c>
      <c r="AC304">
        <f t="shared" si="69"/>
        <v>5</v>
      </c>
      <c r="AD304" s="1">
        <f t="shared" si="70"/>
        <v>8.3333333333333339</v>
      </c>
      <c r="AE304">
        <f t="shared" si="71"/>
        <v>5</v>
      </c>
      <c r="AF304">
        <f t="shared" si="72"/>
        <v>0</v>
      </c>
      <c r="AG304">
        <f t="shared" si="73"/>
        <v>0</v>
      </c>
    </row>
    <row r="305" spans="1:33" x14ac:dyDescent="0.25">
      <c r="A305" t="s">
        <v>580</v>
      </c>
      <c r="B305" t="s">
        <v>344</v>
      </c>
      <c r="C305">
        <v>160260</v>
      </c>
      <c r="D305">
        <v>160260</v>
      </c>
      <c r="S305">
        <f t="shared" si="62"/>
        <v>0</v>
      </c>
      <c r="T305">
        <f t="shared" si="63"/>
        <v>0</v>
      </c>
      <c r="U305">
        <f t="shared" si="61"/>
        <v>0</v>
      </c>
      <c r="V305">
        <f t="shared" si="64"/>
        <v>0</v>
      </c>
      <c r="W305">
        <f t="shared" si="65"/>
        <v>0</v>
      </c>
      <c r="X305">
        <f t="shared" si="74"/>
        <v>0</v>
      </c>
      <c r="Y305">
        <f t="shared" si="75"/>
        <v>0</v>
      </c>
      <c r="Z305">
        <f t="shared" si="66"/>
        <v>0</v>
      </c>
      <c r="AA305">
        <f t="shared" si="67"/>
        <v>0</v>
      </c>
      <c r="AB305">
        <f t="shared" si="68"/>
        <v>0</v>
      </c>
      <c r="AC305">
        <f t="shared" si="69"/>
        <v>0</v>
      </c>
      <c r="AD305" s="1">
        <f t="shared" si="70"/>
        <v>0</v>
      </c>
      <c r="AE305">
        <f t="shared" si="71"/>
        <v>0</v>
      </c>
      <c r="AF305">
        <f t="shared" si="72"/>
        <v>0</v>
      </c>
      <c r="AG305">
        <f t="shared" si="73"/>
        <v>0</v>
      </c>
    </row>
    <row r="306" spans="1:33" x14ac:dyDescent="0.25">
      <c r="A306" t="s">
        <v>581</v>
      </c>
      <c r="B306" t="s">
        <v>582</v>
      </c>
      <c r="C306">
        <v>166060</v>
      </c>
      <c r="D306">
        <v>166060</v>
      </c>
      <c r="H306">
        <v>20</v>
      </c>
      <c r="I306">
        <v>20</v>
      </c>
      <c r="J306">
        <v>20</v>
      </c>
      <c r="K306">
        <v>10</v>
      </c>
      <c r="L306">
        <v>0</v>
      </c>
      <c r="M306">
        <v>70</v>
      </c>
      <c r="N306" t="s">
        <v>549</v>
      </c>
      <c r="S306">
        <f t="shared" si="62"/>
        <v>0</v>
      </c>
      <c r="T306">
        <f t="shared" si="63"/>
        <v>5.833333333333333</v>
      </c>
      <c r="U306">
        <f t="shared" si="61"/>
        <v>1</v>
      </c>
      <c r="V306">
        <f t="shared" si="64"/>
        <v>0</v>
      </c>
      <c r="W306">
        <f t="shared" si="65"/>
        <v>1</v>
      </c>
      <c r="X306">
        <f t="shared" si="74"/>
        <v>0</v>
      </c>
      <c r="Y306">
        <f t="shared" si="75"/>
        <v>0</v>
      </c>
      <c r="Z306">
        <f t="shared" si="66"/>
        <v>0</v>
      </c>
      <c r="AA306">
        <f t="shared" si="67"/>
        <v>0</v>
      </c>
      <c r="AB306">
        <f t="shared" si="68"/>
        <v>0</v>
      </c>
      <c r="AC306">
        <f t="shared" si="69"/>
        <v>10</v>
      </c>
      <c r="AD306" s="1">
        <f t="shared" si="70"/>
        <v>3.3333333333333335</v>
      </c>
      <c r="AE306">
        <f t="shared" si="71"/>
        <v>10</v>
      </c>
      <c r="AF306">
        <f t="shared" si="72"/>
        <v>10</v>
      </c>
      <c r="AG306">
        <f t="shared" si="73"/>
        <v>0</v>
      </c>
    </row>
    <row r="307" spans="1:33" x14ac:dyDescent="0.25">
      <c r="A307" t="s">
        <v>583</v>
      </c>
      <c r="B307" t="s">
        <v>584</v>
      </c>
      <c r="C307">
        <v>166261</v>
      </c>
      <c r="D307">
        <v>166261</v>
      </c>
      <c r="E307">
        <v>50</v>
      </c>
      <c r="F307">
        <v>40</v>
      </c>
      <c r="G307">
        <v>40</v>
      </c>
      <c r="O307">
        <v>130</v>
      </c>
      <c r="S307">
        <f t="shared" si="62"/>
        <v>8.125</v>
      </c>
      <c r="T307">
        <f t="shared" si="63"/>
        <v>0</v>
      </c>
      <c r="U307">
        <f t="shared" si="61"/>
        <v>1</v>
      </c>
      <c r="V307">
        <f t="shared" si="64"/>
        <v>1</v>
      </c>
      <c r="W307">
        <f t="shared" si="65"/>
        <v>0</v>
      </c>
      <c r="X307">
        <f t="shared" si="74"/>
        <v>1</v>
      </c>
      <c r="Y307">
        <f t="shared" si="75"/>
        <v>0</v>
      </c>
      <c r="Z307">
        <f t="shared" si="66"/>
        <v>10</v>
      </c>
      <c r="AA307">
        <f t="shared" si="67"/>
        <v>10</v>
      </c>
      <c r="AB307">
        <f t="shared" si="68"/>
        <v>5.7142857142857144</v>
      </c>
      <c r="AC307">
        <f t="shared" si="69"/>
        <v>0</v>
      </c>
      <c r="AD307" s="1">
        <f t="shared" si="70"/>
        <v>0</v>
      </c>
      <c r="AE307">
        <f t="shared" si="71"/>
        <v>0</v>
      </c>
      <c r="AF307">
        <f t="shared" si="72"/>
        <v>0</v>
      </c>
      <c r="AG307">
        <f t="shared" si="73"/>
        <v>0</v>
      </c>
    </row>
    <row r="308" spans="1:33" x14ac:dyDescent="0.25">
      <c r="A308" t="s">
        <v>585</v>
      </c>
      <c r="B308" t="s">
        <v>586</v>
      </c>
      <c r="C308">
        <v>167574</v>
      </c>
      <c r="D308">
        <v>167574</v>
      </c>
      <c r="H308">
        <v>10</v>
      </c>
      <c r="I308">
        <v>30</v>
      </c>
      <c r="J308">
        <v>20</v>
      </c>
      <c r="K308">
        <v>10</v>
      </c>
      <c r="L308">
        <v>10</v>
      </c>
      <c r="M308">
        <v>80</v>
      </c>
      <c r="S308">
        <f t="shared" si="62"/>
        <v>0</v>
      </c>
      <c r="T308">
        <f t="shared" si="63"/>
        <v>6.666666666666667</v>
      </c>
      <c r="U308">
        <f t="shared" si="61"/>
        <v>1</v>
      </c>
      <c r="V308">
        <f t="shared" si="64"/>
        <v>0</v>
      </c>
      <c r="W308">
        <f t="shared" si="65"/>
        <v>1</v>
      </c>
      <c r="X308">
        <f t="shared" si="74"/>
        <v>0</v>
      </c>
      <c r="Y308">
        <f t="shared" si="75"/>
        <v>1</v>
      </c>
      <c r="Z308">
        <f t="shared" si="66"/>
        <v>0</v>
      </c>
      <c r="AA308">
        <f t="shared" si="67"/>
        <v>0</v>
      </c>
      <c r="AB308">
        <f t="shared" si="68"/>
        <v>0</v>
      </c>
      <c r="AC308">
        <f t="shared" si="69"/>
        <v>5</v>
      </c>
      <c r="AD308" s="1">
        <f t="shared" si="70"/>
        <v>5</v>
      </c>
      <c r="AE308">
        <f t="shared" si="71"/>
        <v>10</v>
      </c>
      <c r="AF308">
        <f t="shared" si="72"/>
        <v>10</v>
      </c>
      <c r="AG308">
        <f t="shared" si="73"/>
        <v>10</v>
      </c>
    </row>
    <row r="309" spans="1:33" x14ac:dyDescent="0.25">
      <c r="A309" t="s">
        <v>587</v>
      </c>
      <c r="B309" t="s">
        <v>588</v>
      </c>
      <c r="C309">
        <v>165880</v>
      </c>
      <c r="D309">
        <v>165880</v>
      </c>
      <c r="H309">
        <v>20</v>
      </c>
      <c r="I309">
        <v>60</v>
      </c>
      <c r="J309">
        <v>20</v>
      </c>
      <c r="K309">
        <v>10</v>
      </c>
      <c r="L309">
        <v>0</v>
      </c>
      <c r="M309">
        <v>110</v>
      </c>
      <c r="S309">
        <f t="shared" si="62"/>
        <v>0</v>
      </c>
      <c r="T309">
        <f t="shared" si="63"/>
        <v>9.1666666666666661</v>
      </c>
      <c r="U309">
        <f t="shared" si="61"/>
        <v>1</v>
      </c>
      <c r="V309">
        <f t="shared" si="64"/>
        <v>0</v>
      </c>
      <c r="W309">
        <f t="shared" si="65"/>
        <v>1</v>
      </c>
      <c r="X309">
        <f t="shared" si="74"/>
        <v>0</v>
      </c>
      <c r="Y309">
        <f t="shared" si="75"/>
        <v>1</v>
      </c>
      <c r="Z309">
        <f t="shared" si="66"/>
        <v>0</v>
      </c>
      <c r="AA309">
        <f t="shared" si="67"/>
        <v>0</v>
      </c>
      <c r="AB309">
        <f t="shared" si="68"/>
        <v>0</v>
      </c>
      <c r="AC309">
        <f t="shared" si="69"/>
        <v>10</v>
      </c>
      <c r="AD309" s="1">
        <f t="shared" si="70"/>
        <v>10</v>
      </c>
      <c r="AE309">
        <f t="shared" si="71"/>
        <v>10</v>
      </c>
      <c r="AF309">
        <f t="shared" si="72"/>
        <v>10</v>
      </c>
      <c r="AG309">
        <f t="shared" si="73"/>
        <v>0</v>
      </c>
    </row>
    <row r="310" spans="1:33" x14ac:dyDescent="0.25">
      <c r="A310" t="s">
        <v>589</v>
      </c>
      <c r="B310" t="s">
        <v>590</v>
      </c>
      <c r="C310">
        <v>168264</v>
      </c>
      <c r="D310">
        <v>168264</v>
      </c>
      <c r="H310">
        <v>10</v>
      </c>
      <c r="I310">
        <v>30</v>
      </c>
      <c r="J310">
        <v>20</v>
      </c>
      <c r="K310">
        <v>10</v>
      </c>
      <c r="L310">
        <v>0</v>
      </c>
      <c r="M310">
        <v>70</v>
      </c>
      <c r="S310">
        <f t="shared" si="62"/>
        <v>0</v>
      </c>
      <c r="T310">
        <f t="shared" si="63"/>
        <v>5.833333333333333</v>
      </c>
      <c r="U310">
        <f t="shared" si="61"/>
        <v>1</v>
      </c>
      <c r="V310">
        <f t="shared" si="64"/>
        <v>0</v>
      </c>
      <c r="W310">
        <f t="shared" si="65"/>
        <v>1</v>
      </c>
      <c r="X310">
        <f t="shared" si="74"/>
        <v>0</v>
      </c>
      <c r="Y310">
        <f t="shared" si="75"/>
        <v>0</v>
      </c>
      <c r="Z310">
        <f t="shared" si="66"/>
        <v>0</v>
      </c>
      <c r="AA310">
        <f t="shared" si="67"/>
        <v>0</v>
      </c>
      <c r="AB310">
        <f t="shared" si="68"/>
        <v>0</v>
      </c>
      <c r="AC310">
        <f t="shared" si="69"/>
        <v>5</v>
      </c>
      <c r="AD310" s="1">
        <f t="shared" si="70"/>
        <v>5</v>
      </c>
      <c r="AE310">
        <f t="shared" si="71"/>
        <v>10</v>
      </c>
      <c r="AF310">
        <f t="shared" si="72"/>
        <v>10</v>
      </c>
      <c r="AG310">
        <f t="shared" si="73"/>
        <v>0</v>
      </c>
    </row>
    <row r="311" spans="1:33" x14ac:dyDescent="0.25">
      <c r="A311" t="s">
        <v>591</v>
      </c>
      <c r="B311" t="s">
        <v>592</v>
      </c>
      <c r="C311">
        <v>167043</v>
      </c>
      <c r="D311">
        <v>167043</v>
      </c>
      <c r="H311">
        <v>10</v>
      </c>
      <c r="I311">
        <v>40</v>
      </c>
      <c r="J311">
        <v>20</v>
      </c>
      <c r="K311">
        <v>10</v>
      </c>
      <c r="L311">
        <v>0</v>
      </c>
      <c r="M311">
        <v>80</v>
      </c>
      <c r="S311">
        <f t="shared" si="62"/>
        <v>0</v>
      </c>
      <c r="T311">
        <f t="shared" si="63"/>
        <v>6.666666666666667</v>
      </c>
      <c r="U311">
        <f t="shared" si="61"/>
        <v>1</v>
      </c>
      <c r="V311">
        <f t="shared" si="64"/>
        <v>0</v>
      </c>
      <c r="W311">
        <f t="shared" si="65"/>
        <v>1</v>
      </c>
      <c r="X311">
        <f t="shared" si="74"/>
        <v>0</v>
      </c>
      <c r="Y311">
        <f t="shared" si="75"/>
        <v>1</v>
      </c>
      <c r="Z311">
        <f t="shared" si="66"/>
        <v>0</v>
      </c>
      <c r="AA311">
        <f t="shared" si="67"/>
        <v>0</v>
      </c>
      <c r="AB311">
        <f t="shared" si="68"/>
        <v>0</v>
      </c>
      <c r="AC311">
        <f t="shared" si="69"/>
        <v>5</v>
      </c>
      <c r="AD311" s="1">
        <f t="shared" si="70"/>
        <v>6.666666666666667</v>
      </c>
      <c r="AE311">
        <f t="shared" si="71"/>
        <v>10</v>
      </c>
      <c r="AF311">
        <f t="shared" si="72"/>
        <v>10</v>
      </c>
      <c r="AG311">
        <f t="shared" si="73"/>
        <v>0</v>
      </c>
    </row>
    <row r="312" spans="1:33" x14ac:dyDescent="0.25">
      <c r="A312" t="s">
        <v>593</v>
      </c>
      <c r="B312" t="s">
        <v>594</v>
      </c>
      <c r="C312">
        <v>168063</v>
      </c>
      <c r="D312">
        <v>168063</v>
      </c>
      <c r="H312">
        <v>0</v>
      </c>
      <c r="I312">
        <v>20</v>
      </c>
      <c r="J312">
        <v>10</v>
      </c>
      <c r="K312">
        <v>0</v>
      </c>
      <c r="L312">
        <v>10</v>
      </c>
      <c r="M312">
        <v>40</v>
      </c>
      <c r="S312">
        <f t="shared" si="62"/>
        <v>0</v>
      </c>
      <c r="T312">
        <f t="shared" si="63"/>
        <v>3.3333333333333335</v>
      </c>
      <c r="U312">
        <f t="shared" si="61"/>
        <v>1</v>
      </c>
      <c r="V312">
        <f t="shared" si="64"/>
        <v>0</v>
      </c>
      <c r="W312">
        <f t="shared" si="65"/>
        <v>1</v>
      </c>
      <c r="X312">
        <f t="shared" si="74"/>
        <v>0</v>
      </c>
      <c r="Y312">
        <f t="shared" si="75"/>
        <v>0</v>
      </c>
      <c r="Z312">
        <f t="shared" si="66"/>
        <v>0</v>
      </c>
      <c r="AA312">
        <f t="shared" si="67"/>
        <v>0</v>
      </c>
      <c r="AB312">
        <f t="shared" si="68"/>
        <v>0</v>
      </c>
      <c r="AC312">
        <f t="shared" si="69"/>
        <v>0</v>
      </c>
      <c r="AD312" s="1">
        <f t="shared" si="70"/>
        <v>3.3333333333333335</v>
      </c>
      <c r="AE312">
        <f t="shared" si="71"/>
        <v>5</v>
      </c>
      <c r="AF312">
        <f t="shared" si="72"/>
        <v>0</v>
      </c>
      <c r="AG312">
        <f t="shared" si="73"/>
        <v>10</v>
      </c>
    </row>
    <row r="313" spans="1:33" x14ac:dyDescent="0.25">
      <c r="A313" t="s">
        <v>595</v>
      </c>
      <c r="B313" t="s">
        <v>596</v>
      </c>
      <c r="C313">
        <v>166433</v>
      </c>
      <c r="D313">
        <v>166433</v>
      </c>
      <c r="E313">
        <v>30</v>
      </c>
      <c r="F313">
        <v>10</v>
      </c>
      <c r="G313">
        <v>40</v>
      </c>
      <c r="O313">
        <v>80</v>
      </c>
      <c r="S313">
        <f t="shared" si="62"/>
        <v>5</v>
      </c>
      <c r="T313">
        <f t="shared" si="63"/>
        <v>0</v>
      </c>
      <c r="U313">
        <f t="shared" si="61"/>
        <v>1</v>
      </c>
      <c r="V313">
        <f t="shared" si="64"/>
        <v>1</v>
      </c>
      <c r="W313">
        <f t="shared" si="65"/>
        <v>0</v>
      </c>
      <c r="X313">
        <f t="shared" si="74"/>
        <v>0</v>
      </c>
      <c r="Y313">
        <f t="shared" si="75"/>
        <v>0</v>
      </c>
      <c r="Z313">
        <f t="shared" si="66"/>
        <v>6</v>
      </c>
      <c r="AA313">
        <f t="shared" si="67"/>
        <v>2.5</v>
      </c>
      <c r="AB313">
        <f t="shared" si="68"/>
        <v>5.7142857142857144</v>
      </c>
      <c r="AC313">
        <f t="shared" si="69"/>
        <v>0</v>
      </c>
      <c r="AD313" s="1">
        <f t="shared" si="70"/>
        <v>0</v>
      </c>
      <c r="AE313">
        <f t="shared" si="71"/>
        <v>0</v>
      </c>
      <c r="AF313">
        <f t="shared" si="72"/>
        <v>0</v>
      </c>
      <c r="AG313">
        <f t="shared" si="73"/>
        <v>0</v>
      </c>
    </row>
    <row r="314" spans="1:33" x14ac:dyDescent="0.25">
      <c r="A314" t="s">
        <v>597</v>
      </c>
      <c r="B314" t="s">
        <v>598</v>
      </c>
      <c r="C314">
        <v>168648</v>
      </c>
      <c r="D314">
        <v>168648</v>
      </c>
      <c r="H314">
        <v>20</v>
      </c>
      <c r="I314">
        <v>40</v>
      </c>
      <c r="J314">
        <v>10</v>
      </c>
      <c r="K314">
        <v>0</v>
      </c>
      <c r="L314">
        <v>0</v>
      </c>
      <c r="M314">
        <v>70</v>
      </c>
      <c r="S314">
        <f t="shared" si="62"/>
        <v>0</v>
      </c>
      <c r="T314">
        <f t="shared" si="63"/>
        <v>5.833333333333333</v>
      </c>
      <c r="U314">
        <f t="shared" si="61"/>
        <v>1</v>
      </c>
      <c r="V314">
        <f t="shared" si="64"/>
        <v>0</v>
      </c>
      <c r="W314">
        <f t="shared" si="65"/>
        <v>1</v>
      </c>
      <c r="X314">
        <f t="shared" si="74"/>
        <v>0</v>
      </c>
      <c r="Y314">
        <f t="shared" si="75"/>
        <v>0</v>
      </c>
      <c r="Z314">
        <f t="shared" si="66"/>
        <v>0</v>
      </c>
      <c r="AA314">
        <f t="shared" si="67"/>
        <v>0</v>
      </c>
      <c r="AB314">
        <f t="shared" si="68"/>
        <v>0</v>
      </c>
      <c r="AC314">
        <f t="shared" si="69"/>
        <v>10</v>
      </c>
      <c r="AD314" s="1">
        <f t="shared" si="70"/>
        <v>6.666666666666667</v>
      </c>
      <c r="AE314">
        <f t="shared" si="71"/>
        <v>5</v>
      </c>
      <c r="AF314">
        <f t="shared" si="72"/>
        <v>0</v>
      </c>
      <c r="AG314">
        <f t="shared" si="73"/>
        <v>0</v>
      </c>
    </row>
    <row r="315" spans="1:33" x14ac:dyDescent="0.25">
      <c r="A315" t="s">
        <v>599</v>
      </c>
      <c r="B315" t="s">
        <v>600</v>
      </c>
      <c r="C315">
        <v>168804</v>
      </c>
      <c r="D315">
        <v>168804</v>
      </c>
      <c r="S315">
        <f t="shared" si="62"/>
        <v>0</v>
      </c>
      <c r="T315">
        <f t="shared" si="63"/>
        <v>0</v>
      </c>
      <c r="U315">
        <f t="shared" si="61"/>
        <v>0</v>
      </c>
      <c r="V315">
        <f t="shared" si="64"/>
        <v>0</v>
      </c>
      <c r="W315">
        <f t="shared" si="65"/>
        <v>0</v>
      </c>
      <c r="X315">
        <f t="shared" si="74"/>
        <v>0</v>
      </c>
      <c r="Y315">
        <f t="shared" si="75"/>
        <v>0</v>
      </c>
      <c r="Z315">
        <f t="shared" si="66"/>
        <v>0</v>
      </c>
      <c r="AA315">
        <f t="shared" si="67"/>
        <v>0</v>
      </c>
      <c r="AB315">
        <f t="shared" si="68"/>
        <v>0</v>
      </c>
      <c r="AC315">
        <f t="shared" si="69"/>
        <v>0</v>
      </c>
      <c r="AD315" s="1">
        <f t="shared" si="70"/>
        <v>0</v>
      </c>
      <c r="AE315">
        <f t="shared" si="71"/>
        <v>0</v>
      </c>
      <c r="AF315">
        <f t="shared" si="72"/>
        <v>0</v>
      </c>
      <c r="AG315">
        <f t="shared" si="73"/>
        <v>0</v>
      </c>
    </row>
    <row r="316" spans="1:33" x14ac:dyDescent="0.25">
      <c r="A316" t="s">
        <v>601</v>
      </c>
      <c r="B316" t="s">
        <v>602</v>
      </c>
      <c r="C316">
        <v>166858</v>
      </c>
      <c r="D316">
        <v>166858</v>
      </c>
      <c r="S316">
        <f t="shared" si="62"/>
        <v>0</v>
      </c>
      <c r="T316">
        <f t="shared" si="63"/>
        <v>0</v>
      </c>
      <c r="U316">
        <f t="shared" si="61"/>
        <v>0</v>
      </c>
      <c r="V316">
        <f t="shared" si="64"/>
        <v>0</v>
      </c>
      <c r="W316">
        <f t="shared" si="65"/>
        <v>0</v>
      </c>
      <c r="X316">
        <f t="shared" si="74"/>
        <v>0</v>
      </c>
      <c r="Y316">
        <f t="shared" si="75"/>
        <v>0</v>
      </c>
      <c r="Z316">
        <f t="shared" si="66"/>
        <v>0</v>
      </c>
      <c r="AA316">
        <f t="shared" si="67"/>
        <v>0</v>
      </c>
      <c r="AB316">
        <f t="shared" si="68"/>
        <v>0</v>
      </c>
      <c r="AC316">
        <f t="shared" si="69"/>
        <v>0</v>
      </c>
      <c r="AD316" s="1">
        <f t="shared" si="70"/>
        <v>0</v>
      </c>
      <c r="AE316">
        <f t="shared" si="71"/>
        <v>0</v>
      </c>
      <c r="AF316">
        <f t="shared" si="72"/>
        <v>0</v>
      </c>
      <c r="AG316">
        <f t="shared" si="73"/>
        <v>0</v>
      </c>
    </row>
    <row r="317" spans="1:33" x14ac:dyDescent="0.25">
      <c r="A317" t="s">
        <v>603</v>
      </c>
      <c r="B317" t="s">
        <v>604</v>
      </c>
      <c r="C317">
        <v>168790</v>
      </c>
      <c r="D317">
        <v>168790</v>
      </c>
      <c r="H317">
        <v>10</v>
      </c>
      <c r="I317">
        <v>50</v>
      </c>
      <c r="J317">
        <v>20</v>
      </c>
      <c r="K317">
        <v>10</v>
      </c>
      <c r="L317">
        <v>0</v>
      </c>
      <c r="M317">
        <v>90</v>
      </c>
      <c r="S317">
        <f t="shared" si="62"/>
        <v>0</v>
      </c>
      <c r="T317">
        <f t="shared" si="63"/>
        <v>7.5</v>
      </c>
      <c r="U317">
        <f t="shared" si="61"/>
        <v>1</v>
      </c>
      <c r="V317">
        <f t="shared" si="64"/>
        <v>0</v>
      </c>
      <c r="W317">
        <f t="shared" si="65"/>
        <v>1</v>
      </c>
      <c r="X317">
        <f t="shared" si="74"/>
        <v>0</v>
      </c>
      <c r="Y317">
        <f t="shared" si="75"/>
        <v>1</v>
      </c>
      <c r="Z317">
        <f t="shared" si="66"/>
        <v>0</v>
      </c>
      <c r="AA317">
        <f t="shared" si="67"/>
        <v>0</v>
      </c>
      <c r="AB317">
        <f t="shared" si="68"/>
        <v>0</v>
      </c>
      <c r="AC317">
        <f t="shared" si="69"/>
        <v>5</v>
      </c>
      <c r="AD317" s="1">
        <f t="shared" si="70"/>
        <v>8.3333333333333339</v>
      </c>
      <c r="AE317">
        <f t="shared" si="71"/>
        <v>10</v>
      </c>
      <c r="AF317">
        <f t="shared" si="72"/>
        <v>10</v>
      </c>
      <c r="AG317">
        <f t="shared" si="73"/>
        <v>0</v>
      </c>
    </row>
    <row r="318" spans="1:33" x14ac:dyDescent="0.25">
      <c r="A318" t="s">
        <v>605</v>
      </c>
      <c r="B318" t="s">
        <v>606</v>
      </c>
      <c r="C318">
        <v>167387</v>
      </c>
      <c r="D318">
        <v>167387</v>
      </c>
      <c r="S318">
        <f t="shared" si="62"/>
        <v>0</v>
      </c>
      <c r="T318">
        <f t="shared" si="63"/>
        <v>0</v>
      </c>
      <c r="U318">
        <f t="shared" si="61"/>
        <v>0</v>
      </c>
      <c r="V318">
        <f t="shared" si="64"/>
        <v>0</v>
      </c>
      <c r="W318">
        <f t="shared" si="65"/>
        <v>0</v>
      </c>
      <c r="X318">
        <f t="shared" si="74"/>
        <v>0</v>
      </c>
      <c r="Y318">
        <f t="shared" si="75"/>
        <v>0</v>
      </c>
      <c r="Z318">
        <f t="shared" si="66"/>
        <v>0</v>
      </c>
      <c r="AA318">
        <f t="shared" si="67"/>
        <v>0</v>
      </c>
      <c r="AB318">
        <f t="shared" si="68"/>
        <v>0</v>
      </c>
      <c r="AC318">
        <f t="shared" si="69"/>
        <v>0</v>
      </c>
      <c r="AD318" s="1">
        <f t="shared" si="70"/>
        <v>0</v>
      </c>
      <c r="AE318">
        <f t="shared" si="71"/>
        <v>0</v>
      </c>
      <c r="AF318">
        <f t="shared" si="72"/>
        <v>0</v>
      </c>
      <c r="AG318">
        <f t="shared" si="73"/>
        <v>0</v>
      </c>
    </row>
    <row r="319" spans="1:33" x14ac:dyDescent="0.25">
      <c r="A319" t="s">
        <v>607</v>
      </c>
      <c r="B319" t="s">
        <v>608</v>
      </c>
      <c r="C319">
        <v>165768</v>
      </c>
      <c r="D319">
        <v>165768</v>
      </c>
      <c r="S319">
        <f t="shared" si="62"/>
        <v>0</v>
      </c>
      <c r="T319">
        <f t="shared" si="63"/>
        <v>0</v>
      </c>
      <c r="U319">
        <f t="shared" si="61"/>
        <v>0</v>
      </c>
      <c r="V319">
        <f t="shared" si="64"/>
        <v>0</v>
      </c>
      <c r="W319">
        <f t="shared" si="65"/>
        <v>0</v>
      </c>
      <c r="X319">
        <f t="shared" si="74"/>
        <v>0</v>
      </c>
      <c r="Y319">
        <f t="shared" si="75"/>
        <v>0</v>
      </c>
      <c r="Z319">
        <f t="shared" si="66"/>
        <v>0</v>
      </c>
      <c r="AA319">
        <f t="shared" si="67"/>
        <v>0</v>
      </c>
      <c r="AB319">
        <f t="shared" si="68"/>
        <v>0</v>
      </c>
      <c r="AC319">
        <f t="shared" si="69"/>
        <v>0</v>
      </c>
      <c r="AD319" s="1">
        <f t="shared" si="70"/>
        <v>0</v>
      </c>
      <c r="AE319">
        <f t="shared" si="71"/>
        <v>0</v>
      </c>
      <c r="AF319">
        <f t="shared" si="72"/>
        <v>0</v>
      </c>
      <c r="AG319">
        <f t="shared" si="73"/>
        <v>0</v>
      </c>
    </row>
    <row r="320" spans="1:33" x14ac:dyDescent="0.25">
      <c r="A320" t="s">
        <v>609</v>
      </c>
      <c r="B320" t="s">
        <v>610</v>
      </c>
      <c r="C320">
        <v>168027</v>
      </c>
      <c r="D320">
        <v>168027</v>
      </c>
      <c r="H320">
        <v>10</v>
      </c>
      <c r="I320">
        <v>20</v>
      </c>
      <c r="J320">
        <v>10</v>
      </c>
      <c r="K320">
        <v>10</v>
      </c>
      <c r="L320">
        <v>10</v>
      </c>
      <c r="M320">
        <v>60</v>
      </c>
      <c r="S320">
        <f t="shared" si="62"/>
        <v>0</v>
      </c>
      <c r="T320">
        <f t="shared" si="63"/>
        <v>5</v>
      </c>
      <c r="U320">
        <f t="shared" si="61"/>
        <v>1</v>
      </c>
      <c r="V320">
        <f t="shared" si="64"/>
        <v>0</v>
      </c>
      <c r="W320">
        <f t="shared" si="65"/>
        <v>1</v>
      </c>
      <c r="X320">
        <f t="shared" si="74"/>
        <v>0</v>
      </c>
      <c r="Y320">
        <f t="shared" si="75"/>
        <v>0</v>
      </c>
      <c r="Z320">
        <f t="shared" si="66"/>
        <v>0</v>
      </c>
      <c r="AA320">
        <f t="shared" si="67"/>
        <v>0</v>
      </c>
      <c r="AB320">
        <f t="shared" si="68"/>
        <v>0</v>
      </c>
      <c r="AC320">
        <f t="shared" si="69"/>
        <v>5</v>
      </c>
      <c r="AD320" s="1">
        <f t="shared" si="70"/>
        <v>3.3333333333333335</v>
      </c>
      <c r="AE320">
        <f t="shared" si="71"/>
        <v>5</v>
      </c>
      <c r="AF320">
        <f t="shared" si="72"/>
        <v>10</v>
      </c>
      <c r="AG320">
        <f t="shared" si="73"/>
        <v>10</v>
      </c>
    </row>
    <row r="321" spans="1:33" x14ac:dyDescent="0.25">
      <c r="A321" t="s">
        <v>611</v>
      </c>
      <c r="B321" t="s">
        <v>612</v>
      </c>
      <c r="C321">
        <v>167395</v>
      </c>
      <c r="D321">
        <v>167395</v>
      </c>
      <c r="E321">
        <v>0</v>
      </c>
      <c r="F321">
        <v>20</v>
      </c>
      <c r="G321">
        <v>10</v>
      </c>
      <c r="O321">
        <v>30</v>
      </c>
      <c r="S321">
        <f t="shared" si="62"/>
        <v>1.875</v>
      </c>
      <c r="T321">
        <f t="shared" si="63"/>
        <v>0</v>
      </c>
      <c r="U321">
        <f t="shared" si="61"/>
        <v>1</v>
      </c>
      <c r="V321">
        <f t="shared" si="64"/>
        <v>1</v>
      </c>
      <c r="W321">
        <f t="shared" si="65"/>
        <v>0</v>
      </c>
      <c r="X321">
        <f t="shared" si="74"/>
        <v>0</v>
      </c>
      <c r="Y321">
        <f t="shared" si="75"/>
        <v>0</v>
      </c>
      <c r="Z321">
        <f t="shared" si="66"/>
        <v>0</v>
      </c>
      <c r="AA321">
        <f t="shared" si="67"/>
        <v>5</v>
      </c>
      <c r="AB321">
        <f t="shared" si="68"/>
        <v>1.4285714285714286</v>
      </c>
      <c r="AC321">
        <f t="shared" si="69"/>
        <v>0</v>
      </c>
      <c r="AD321" s="1">
        <f t="shared" si="70"/>
        <v>0</v>
      </c>
      <c r="AE321">
        <f t="shared" si="71"/>
        <v>0</v>
      </c>
      <c r="AF321">
        <f t="shared" si="72"/>
        <v>0</v>
      </c>
      <c r="AG321">
        <f t="shared" si="73"/>
        <v>0</v>
      </c>
    </row>
    <row r="322" spans="1:33" x14ac:dyDescent="0.25">
      <c r="A322" t="s">
        <v>613</v>
      </c>
      <c r="B322" t="s">
        <v>614</v>
      </c>
      <c r="C322">
        <v>166864</v>
      </c>
      <c r="D322">
        <v>166864</v>
      </c>
      <c r="H322">
        <v>10</v>
      </c>
      <c r="I322">
        <v>30</v>
      </c>
      <c r="J322">
        <v>20</v>
      </c>
      <c r="K322">
        <v>10</v>
      </c>
      <c r="L322">
        <v>10</v>
      </c>
      <c r="M322">
        <v>80</v>
      </c>
      <c r="R322" t="s">
        <v>20</v>
      </c>
      <c r="S322">
        <f t="shared" si="62"/>
        <v>0</v>
      </c>
      <c r="T322">
        <f t="shared" si="63"/>
        <v>6.666666666666667</v>
      </c>
      <c r="U322">
        <f t="shared" ref="U322:U385" si="76">IF(AND(E322="",F322="",G322="",H322="",I322="",J322="",K322="",L322="",M322=""),0,1)</f>
        <v>1</v>
      </c>
      <c r="V322">
        <f t="shared" si="64"/>
        <v>0</v>
      </c>
      <c r="W322">
        <f t="shared" si="65"/>
        <v>1</v>
      </c>
      <c r="X322">
        <f t="shared" si="74"/>
        <v>0</v>
      </c>
      <c r="Y322">
        <f t="shared" si="75"/>
        <v>1</v>
      </c>
      <c r="Z322">
        <f t="shared" si="66"/>
        <v>0</v>
      </c>
      <c r="AA322">
        <f t="shared" si="67"/>
        <v>0</v>
      </c>
      <c r="AB322">
        <f t="shared" si="68"/>
        <v>0</v>
      </c>
      <c r="AC322">
        <f t="shared" si="69"/>
        <v>5</v>
      </c>
      <c r="AD322" s="1">
        <f t="shared" si="70"/>
        <v>5</v>
      </c>
      <c r="AE322">
        <f t="shared" si="71"/>
        <v>10</v>
      </c>
      <c r="AF322">
        <f t="shared" si="72"/>
        <v>10</v>
      </c>
      <c r="AG322">
        <f t="shared" si="73"/>
        <v>10</v>
      </c>
    </row>
    <row r="323" spans="1:33" x14ac:dyDescent="0.25">
      <c r="A323" t="s">
        <v>615</v>
      </c>
      <c r="B323" t="s">
        <v>616</v>
      </c>
      <c r="C323">
        <v>165800</v>
      </c>
      <c r="D323">
        <v>165800</v>
      </c>
      <c r="H323">
        <v>10</v>
      </c>
      <c r="I323">
        <v>50</v>
      </c>
      <c r="J323">
        <v>20</v>
      </c>
      <c r="K323">
        <v>10</v>
      </c>
      <c r="L323">
        <v>10</v>
      </c>
      <c r="M323">
        <v>100</v>
      </c>
      <c r="S323">
        <f t="shared" ref="S323:S386" si="77">O323/16</f>
        <v>0</v>
      </c>
      <c r="T323">
        <f t="shared" ref="T323:T386" si="78">M323/12</f>
        <v>8.3333333333333339</v>
      </c>
      <c r="U323">
        <f t="shared" si="76"/>
        <v>1</v>
      </c>
      <c r="V323">
        <f t="shared" ref="V323:V386" si="79">IF(O323="",0,1)</f>
        <v>0</v>
      </c>
      <c r="W323">
        <f t="shared" ref="W323:W386" si="80">IF(M323="",0,1)</f>
        <v>1</v>
      </c>
      <c r="X323">
        <f t="shared" si="74"/>
        <v>0</v>
      </c>
      <c r="Y323">
        <f t="shared" si="75"/>
        <v>1</v>
      </c>
      <c r="Z323">
        <f t="shared" ref="Z323:Z386" si="81">E323/5</f>
        <v>0</v>
      </c>
      <c r="AA323">
        <f t="shared" ref="AA323:AA386" si="82">F323/4</f>
        <v>0</v>
      </c>
      <c r="AB323">
        <f t="shared" ref="AB323:AB386" si="83">G323/7</f>
        <v>0</v>
      </c>
      <c r="AC323">
        <f t="shared" ref="AC323:AC386" si="84">H323/2</f>
        <v>5</v>
      </c>
      <c r="AD323" s="1">
        <f t="shared" ref="AD323:AD386" si="85">I323/6</f>
        <v>8.3333333333333339</v>
      </c>
      <c r="AE323">
        <f t="shared" ref="AE323:AE386" si="86">J323/2</f>
        <v>10</v>
      </c>
      <c r="AF323">
        <f t="shared" ref="AF323:AF386" si="87">K323</f>
        <v>10</v>
      </c>
      <c r="AG323">
        <f t="shared" ref="AG323:AG386" si="88">L323</f>
        <v>10</v>
      </c>
    </row>
    <row r="324" spans="1:33" x14ac:dyDescent="0.25">
      <c r="A324" t="s">
        <v>617</v>
      </c>
      <c r="B324" t="s">
        <v>618</v>
      </c>
      <c r="C324">
        <v>168811</v>
      </c>
      <c r="D324">
        <v>168811</v>
      </c>
      <c r="H324">
        <v>0</v>
      </c>
      <c r="I324">
        <v>20</v>
      </c>
      <c r="J324">
        <v>0</v>
      </c>
      <c r="K324">
        <v>0</v>
      </c>
      <c r="L324">
        <v>0</v>
      </c>
      <c r="M324">
        <v>20</v>
      </c>
      <c r="S324">
        <f t="shared" si="77"/>
        <v>0</v>
      </c>
      <c r="T324">
        <f t="shared" si="78"/>
        <v>1.6666666666666667</v>
      </c>
      <c r="U324">
        <f t="shared" si="76"/>
        <v>1</v>
      </c>
      <c r="V324">
        <f t="shared" si="79"/>
        <v>0</v>
      </c>
      <c r="W324">
        <f t="shared" si="80"/>
        <v>1</v>
      </c>
      <c r="X324">
        <f t="shared" si="74"/>
        <v>0</v>
      </c>
      <c r="Y324">
        <f t="shared" si="75"/>
        <v>0</v>
      </c>
      <c r="Z324">
        <f t="shared" si="81"/>
        <v>0</v>
      </c>
      <c r="AA324">
        <f t="shared" si="82"/>
        <v>0</v>
      </c>
      <c r="AB324">
        <f t="shared" si="83"/>
        <v>0</v>
      </c>
      <c r="AC324">
        <f t="shared" si="84"/>
        <v>0</v>
      </c>
      <c r="AD324" s="1">
        <f t="shared" si="85"/>
        <v>3.3333333333333335</v>
      </c>
      <c r="AE324">
        <f t="shared" si="86"/>
        <v>0</v>
      </c>
      <c r="AF324">
        <f t="shared" si="87"/>
        <v>0</v>
      </c>
      <c r="AG324">
        <f t="shared" si="88"/>
        <v>0</v>
      </c>
    </row>
    <row r="325" spans="1:33" x14ac:dyDescent="0.25">
      <c r="A325" t="s">
        <v>619</v>
      </c>
      <c r="B325" t="s">
        <v>620</v>
      </c>
      <c r="C325">
        <v>168634</v>
      </c>
      <c r="D325">
        <v>168634</v>
      </c>
      <c r="H325">
        <v>20</v>
      </c>
      <c r="I325">
        <v>40</v>
      </c>
      <c r="J325">
        <v>20</v>
      </c>
      <c r="K325">
        <v>10</v>
      </c>
      <c r="L325">
        <v>10</v>
      </c>
      <c r="M325">
        <v>100</v>
      </c>
      <c r="S325">
        <f t="shared" si="77"/>
        <v>0</v>
      </c>
      <c r="T325">
        <f t="shared" si="78"/>
        <v>8.3333333333333339</v>
      </c>
      <c r="U325">
        <f t="shared" si="76"/>
        <v>1</v>
      </c>
      <c r="V325">
        <f t="shared" si="79"/>
        <v>0</v>
      </c>
      <c r="W325">
        <f t="shared" si="80"/>
        <v>1</v>
      </c>
      <c r="X325">
        <f t="shared" ref="X325:X388" si="89">IF(AND(V325=1,S325&gt;6),1,0)</f>
        <v>0</v>
      </c>
      <c r="Y325">
        <f t="shared" ref="Y325:Y388" si="90">IF(AND(W325=1,T325&gt;6),1,0)</f>
        <v>1</v>
      </c>
      <c r="Z325">
        <f t="shared" si="81"/>
        <v>0</v>
      </c>
      <c r="AA325">
        <f t="shared" si="82"/>
        <v>0</v>
      </c>
      <c r="AB325">
        <f t="shared" si="83"/>
        <v>0</v>
      </c>
      <c r="AC325">
        <f t="shared" si="84"/>
        <v>10</v>
      </c>
      <c r="AD325" s="1">
        <f t="shared" si="85"/>
        <v>6.666666666666667</v>
      </c>
      <c r="AE325">
        <f t="shared" si="86"/>
        <v>10</v>
      </c>
      <c r="AF325">
        <f t="shared" si="87"/>
        <v>10</v>
      </c>
      <c r="AG325">
        <f t="shared" si="88"/>
        <v>10</v>
      </c>
    </row>
    <row r="326" spans="1:33" x14ac:dyDescent="0.25">
      <c r="A326" t="s">
        <v>621</v>
      </c>
      <c r="B326" t="s">
        <v>622</v>
      </c>
      <c r="C326">
        <v>166227</v>
      </c>
      <c r="D326">
        <v>166227</v>
      </c>
      <c r="E326">
        <v>50</v>
      </c>
      <c r="F326">
        <v>20</v>
      </c>
      <c r="G326">
        <v>30</v>
      </c>
      <c r="O326">
        <v>100</v>
      </c>
      <c r="S326">
        <f t="shared" si="77"/>
        <v>6.25</v>
      </c>
      <c r="T326">
        <f t="shared" si="78"/>
        <v>0</v>
      </c>
      <c r="U326">
        <f t="shared" si="76"/>
        <v>1</v>
      </c>
      <c r="V326">
        <f t="shared" si="79"/>
        <v>1</v>
      </c>
      <c r="W326">
        <f t="shared" si="80"/>
        <v>0</v>
      </c>
      <c r="X326">
        <f t="shared" si="89"/>
        <v>1</v>
      </c>
      <c r="Y326">
        <f t="shared" si="90"/>
        <v>0</v>
      </c>
      <c r="Z326">
        <f t="shared" si="81"/>
        <v>10</v>
      </c>
      <c r="AA326">
        <f t="shared" si="82"/>
        <v>5</v>
      </c>
      <c r="AB326">
        <f t="shared" si="83"/>
        <v>4.2857142857142856</v>
      </c>
      <c r="AC326">
        <f t="shared" si="84"/>
        <v>0</v>
      </c>
      <c r="AD326" s="1">
        <f t="shared" si="85"/>
        <v>0</v>
      </c>
      <c r="AE326">
        <f t="shared" si="86"/>
        <v>0</v>
      </c>
      <c r="AF326">
        <f t="shared" si="87"/>
        <v>0</v>
      </c>
      <c r="AG326">
        <f t="shared" si="88"/>
        <v>0</v>
      </c>
    </row>
    <row r="327" spans="1:33" x14ac:dyDescent="0.25">
      <c r="A327" t="s">
        <v>621</v>
      </c>
      <c r="B327" t="s">
        <v>623</v>
      </c>
      <c r="C327">
        <v>162875</v>
      </c>
      <c r="D327">
        <v>162875</v>
      </c>
      <c r="E327">
        <v>40</v>
      </c>
      <c r="F327">
        <v>10</v>
      </c>
      <c r="G327">
        <v>30</v>
      </c>
      <c r="O327">
        <v>80</v>
      </c>
      <c r="S327">
        <f t="shared" si="77"/>
        <v>5</v>
      </c>
      <c r="T327">
        <f t="shared" si="78"/>
        <v>0</v>
      </c>
      <c r="U327">
        <f t="shared" si="76"/>
        <v>1</v>
      </c>
      <c r="V327">
        <f t="shared" si="79"/>
        <v>1</v>
      </c>
      <c r="W327">
        <f t="shared" si="80"/>
        <v>0</v>
      </c>
      <c r="X327">
        <f t="shared" si="89"/>
        <v>0</v>
      </c>
      <c r="Y327">
        <f t="shared" si="90"/>
        <v>0</v>
      </c>
      <c r="Z327">
        <f t="shared" si="81"/>
        <v>8</v>
      </c>
      <c r="AA327">
        <f t="shared" si="82"/>
        <v>2.5</v>
      </c>
      <c r="AB327">
        <f t="shared" si="83"/>
        <v>4.2857142857142856</v>
      </c>
      <c r="AC327">
        <f t="shared" si="84"/>
        <v>0</v>
      </c>
      <c r="AD327" s="1">
        <f t="shared" si="85"/>
        <v>0</v>
      </c>
      <c r="AE327">
        <f t="shared" si="86"/>
        <v>0</v>
      </c>
      <c r="AF327">
        <f t="shared" si="87"/>
        <v>0</v>
      </c>
      <c r="AG327">
        <f t="shared" si="88"/>
        <v>0</v>
      </c>
    </row>
    <row r="328" spans="1:33" x14ac:dyDescent="0.25">
      <c r="A328" t="s">
        <v>624</v>
      </c>
      <c r="B328" t="s">
        <v>625</v>
      </c>
      <c r="C328">
        <v>168212</v>
      </c>
      <c r="D328">
        <v>168212</v>
      </c>
      <c r="E328">
        <v>0</v>
      </c>
      <c r="F328">
        <v>10</v>
      </c>
      <c r="G328">
        <v>40</v>
      </c>
      <c r="O328">
        <v>50</v>
      </c>
      <c r="S328">
        <f t="shared" si="77"/>
        <v>3.125</v>
      </c>
      <c r="T328">
        <f t="shared" si="78"/>
        <v>0</v>
      </c>
      <c r="U328">
        <f t="shared" si="76"/>
        <v>1</v>
      </c>
      <c r="V328">
        <f t="shared" si="79"/>
        <v>1</v>
      </c>
      <c r="W328">
        <f t="shared" si="80"/>
        <v>0</v>
      </c>
      <c r="X328">
        <f t="shared" si="89"/>
        <v>0</v>
      </c>
      <c r="Y328">
        <f t="shared" si="90"/>
        <v>0</v>
      </c>
      <c r="Z328">
        <f t="shared" si="81"/>
        <v>0</v>
      </c>
      <c r="AA328">
        <f t="shared" si="82"/>
        <v>2.5</v>
      </c>
      <c r="AB328">
        <f t="shared" si="83"/>
        <v>5.7142857142857144</v>
      </c>
      <c r="AC328">
        <f t="shared" si="84"/>
        <v>0</v>
      </c>
      <c r="AD328" s="1">
        <f t="shared" si="85"/>
        <v>0</v>
      </c>
      <c r="AE328">
        <f t="shared" si="86"/>
        <v>0</v>
      </c>
      <c r="AF328">
        <f t="shared" si="87"/>
        <v>0</v>
      </c>
      <c r="AG328">
        <f t="shared" si="88"/>
        <v>0</v>
      </c>
    </row>
    <row r="329" spans="1:33" x14ac:dyDescent="0.25">
      <c r="A329" t="s">
        <v>626</v>
      </c>
      <c r="B329" t="s">
        <v>627</v>
      </c>
      <c r="C329">
        <v>167220</v>
      </c>
      <c r="D329">
        <v>167220</v>
      </c>
      <c r="E329">
        <v>0</v>
      </c>
      <c r="F329">
        <v>20</v>
      </c>
      <c r="G329">
        <v>10</v>
      </c>
      <c r="O329">
        <v>30</v>
      </c>
      <c r="S329">
        <f t="shared" si="77"/>
        <v>1.875</v>
      </c>
      <c r="T329">
        <f t="shared" si="78"/>
        <v>0</v>
      </c>
      <c r="U329">
        <f t="shared" si="76"/>
        <v>1</v>
      </c>
      <c r="V329">
        <f t="shared" si="79"/>
        <v>1</v>
      </c>
      <c r="W329">
        <f t="shared" si="80"/>
        <v>0</v>
      </c>
      <c r="X329">
        <f t="shared" si="89"/>
        <v>0</v>
      </c>
      <c r="Y329">
        <f t="shared" si="90"/>
        <v>0</v>
      </c>
      <c r="Z329">
        <f t="shared" si="81"/>
        <v>0</v>
      </c>
      <c r="AA329">
        <f t="shared" si="82"/>
        <v>5</v>
      </c>
      <c r="AB329">
        <f t="shared" si="83"/>
        <v>1.4285714285714286</v>
      </c>
      <c r="AC329">
        <f t="shared" si="84"/>
        <v>0</v>
      </c>
      <c r="AD329" s="1">
        <f t="shared" si="85"/>
        <v>0</v>
      </c>
      <c r="AE329">
        <f t="shared" si="86"/>
        <v>0</v>
      </c>
      <c r="AF329">
        <f t="shared" si="87"/>
        <v>0</v>
      </c>
      <c r="AG329">
        <f t="shared" si="88"/>
        <v>0</v>
      </c>
    </row>
    <row r="330" spans="1:33" x14ac:dyDescent="0.25">
      <c r="A330" t="s">
        <v>628</v>
      </c>
      <c r="B330" t="s">
        <v>629</v>
      </c>
      <c r="C330">
        <v>168361</v>
      </c>
      <c r="D330">
        <v>168361</v>
      </c>
      <c r="H330">
        <v>10</v>
      </c>
      <c r="I330">
        <v>30</v>
      </c>
      <c r="J330">
        <v>0</v>
      </c>
      <c r="K330">
        <v>10</v>
      </c>
      <c r="L330">
        <v>10</v>
      </c>
      <c r="M330">
        <v>60</v>
      </c>
      <c r="S330">
        <f t="shared" si="77"/>
        <v>0</v>
      </c>
      <c r="T330">
        <f t="shared" si="78"/>
        <v>5</v>
      </c>
      <c r="U330">
        <f t="shared" si="76"/>
        <v>1</v>
      </c>
      <c r="V330">
        <f t="shared" si="79"/>
        <v>0</v>
      </c>
      <c r="W330">
        <f t="shared" si="80"/>
        <v>1</v>
      </c>
      <c r="X330">
        <f t="shared" si="89"/>
        <v>0</v>
      </c>
      <c r="Y330">
        <f t="shared" si="90"/>
        <v>0</v>
      </c>
      <c r="Z330">
        <f t="shared" si="81"/>
        <v>0</v>
      </c>
      <c r="AA330">
        <f t="shared" si="82"/>
        <v>0</v>
      </c>
      <c r="AB330">
        <f t="shared" si="83"/>
        <v>0</v>
      </c>
      <c r="AC330">
        <f t="shared" si="84"/>
        <v>5</v>
      </c>
      <c r="AD330" s="1">
        <f t="shared" si="85"/>
        <v>5</v>
      </c>
      <c r="AE330">
        <f t="shared" si="86"/>
        <v>0</v>
      </c>
      <c r="AF330">
        <f t="shared" si="87"/>
        <v>10</v>
      </c>
      <c r="AG330">
        <f t="shared" si="88"/>
        <v>10</v>
      </c>
    </row>
    <row r="331" spans="1:33" x14ac:dyDescent="0.25">
      <c r="A331" t="s">
        <v>630</v>
      </c>
      <c r="B331" t="s">
        <v>631</v>
      </c>
      <c r="C331">
        <v>167472</v>
      </c>
      <c r="D331">
        <v>167472</v>
      </c>
      <c r="H331">
        <v>10</v>
      </c>
      <c r="I331">
        <v>50</v>
      </c>
      <c r="J331">
        <v>10</v>
      </c>
      <c r="K331">
        <v>0</v>
      </c>
      <c r="L331">
        <v>0</v>
      </c>
      <c r="M331">
        <v>70</v>
      </c>
      <c r="S331">
        <f t="shared" si="77"/>
        <v>0</v>
      </c>
      <c r="T331">
        <f t="shared" si="78"/>
        <v>5.833333333333333</v>
      </c>
      <c r="U331">
        <f t="shared" si="76"/>
        <v>1</v>
      </c>
      <c r="V331">
        <f t="shared" si="79"/>
        <v>0</v>
      </c>
      <c r="W331">
        <f t="shared" si="80"/>
        <v>1</v>
      </c>
      <c r="X331">
        <f t="shared" si="89"/>
        <v>0</v>
      </c>
      <c r="Y331">
        <f t="shared" si="90"/>
        <v>0</v>
      </c>
      <c r="Z331">
        <f t="shared" si="81"/>
        <v>0</v>
      </c>
      <c r="AA331">
        <f t="shared" si="82"/>
        <v>0</v>
      </c>
      <c r="AB331">
        <f t="shared" si="83"/>
        <v>0</v>
      </c>
      <c r="AC331">
        <f t="shared" si="84"/>
        <v>5</v>
      </c>
      <c r="AD331" s="1">
        <f t="shared" si="85"/>
        <v>8.3333333333333339</v>
      </c>
      <c r="AE331">
        <f t="shared" si="86"/>
        <v>5</v>
      </c>
      <c r="AF331">
        <f t="shared" si="87"/>
        <v>0</v>
      </c>
      <c r="AG331">
        <f t="shared" si="88"/>
        <v>0</v>
      </c>
    </row>
    <row r="332" spans="1:33" x14ac:dyDescent="0.25">
      <c r="A332" t="s">
        <v>632</v>
      </c>
      <c r="B332" t="s">
        <v>121</v>
      </c>
      <c r="C332">
        <v>164664</v>
      </c>
      <c r="D332">
        <v>164664</v>
      </c>
      <c r="H332">
        <v>0</v>
      </c>
      <c r="I332">
        <v>20</v>
      </c>
      <c r="J332">
        <v>0</v>
      </c>
      <c r="K332">
        <v>0</v>
      </c>
      <c r="L332">
        <v>0</v>
      </c>
      <c r="M332">
        <v>20</v>
      </c>
      <c r="S332">
        <f t="shared" si="77"/>
        <v>0</v>
      </c>
      <c r="T332">
        <f t="shared" si="78"/>
        <v>1.6666666666666667</v>
      </c>
      <c r="U332">
        <f t="shared" si="76"/>
        <v>1</v>
      </c>
      <c r="V332">
        <f t="shared" si="79"/>
        <v>0</v>
      </c>
      <c r="W332">
        <f t="shared" si="80"/>
        <v>1</v>
      </c>
      <c r="X332">
        <f t="shared" si="89"/>
        <v>0</v>
      </c>
      <c r="Y332">
        <f t="shared" si="90"/>
        <v>0</v>
      </c>
      <c r="Z332">
        <f t="shared" si="81"/>
        <v>0</v>
      </c>
      <c r="AA332">
        <f t="shared" si="82"/>
        <v>0</v>
      </c>
      <c r="AB332">
        <f t="shared" si="83"/>
        <v>0</v>
      </c>
      <c r="AC332">
        <f t="shared" si="84"/>
        <v>0</v>
      </c>
      <c r="AD332" s="1">
        <f t="shared" si="85"/>
        <v>3.3333333333333335</v>
      </c>
      <c r="AE332">
        <f t="shared" si="86"/>
        <v>0</v>
      </c>
      <c r="AF332">
        <f t="shared" si="87"/>
        <v>0</v>
      </c>
      <c r="AG332">
        <f t="shared" si="88"/>
        <v>0</v>
      </c>
    </row>
    <row r="333" spans="1:33" x14ac:dyDescent="0.25">
      <c r="A333" t="s">
        <v>633</v>
      </c>
      <c r="B333" t="s">
        <v>634</v>
      </c>
      <c r="C333">
        <v>167089</v>
      </c>
      <c r="D333">
        <v>167089</v>
      </c>
      <c r="S333">
        <f t="shared" si="77"/>
        <v>0</v>
      </c>
      <c r="T333">
        <f t="shared" si="78"/>
        <v>0</v>
      </c>
      <c r="U333">
        <f t="shared" si="76"/>
        <v>0</v>
      </c>
      <c r="V333">
        <f t="shared" si="79"/>
        <v>0</v>
      </c>
      <c r="W333">
        <f t="shared" si="80"/>
        <v>0</v>
      </c>
      <c r="X333">
        <f t="shared" si="89"/>
        <v>0</v>
      </c>
      <c r="Y333">
        <f t="shared" si="90"/>
        <v>0</v>
      </c>
      <c r="Z333">
        <f t="shared" si="81"/>
        <v>0</v>
      </c>
      <c r="AA333">
        <f t="shared" si="82"/>
        <v>0</v>
      </c>
      <c r="AB333">
        <f t="shared" si="83"/>
        <v>0</v>
      </c>
      <c r="AC333">
        <f t="shared" si="84"/>
        <v>0</v>
      </c>
      <c r="AD333" s="1">
        <f t="shared" si="85"/>
        <v>0</v>
      </c>
      <c r="AE333">
        <f t="shared" si="86"/>
        <v>0</v>
      </c>
      <c r="AF333">
        <f t="shared" si="87"/>
        <v>0</v>
      </c>
      <c r="AG333">
        <f t="shared" si="88"/>
        <v>0</v>
      </c>
    </row>
    <row r="334" spans="1:33" x14ac:dyDescent="0.25">
      <c r="A334" t="s">
        <v>635</v>
      </c>
      <c r="B334" t="s">
        <v>636</v>
      </c>
      <c r="C334">
        <v>162264</v>
      </c>
      <c r="D334">
        <v>162264</v>
      </c>
      <c r="E334">
        <v>50</v>
      </c>
      <c r="F334">
        <v>30</v>
      </c>
      <c r="G334">
        <v>40</v>
      </c>
      <c r="O334">
        <v>120</v>
      </c>
      <c r="S334">
        <f t="shared" si="77"/>
        <v>7.5</v>
      </c>
      <c r="T334">
        <f t="shared" si="78"/>
        <v>0</v>
      </c>
      <c r="U334">
        <f t="shared" si="76"/>
        <v>1</v>
      </c>
      <c r="V334">
        <f t="shared" si="79"/>
        <v>1</v>
      </c>
      <c r="W334">
        <f t="shared" si="80"/>
        <v>0</v>
      </c>
      <c r="X334">
        <f t="shared" si="89"/>
        <v>1</v>
      </c>
      <c r="Y334">
        <f t="shared" si="90"/>
        <v>0</v>
      </c>
      <c r="Z334">
        <f t="shared" si="81"/>
        <v>10</v>
      </c>
      <c r="AA334">
        <f t="shared" si="82"/>
        <v>7.5</v>
      </c>
      <c r="AB334">
        <f t="shared" si="83"/>
        <v>5.7142857142857144</v>
      </c>
      <c r="AC334">
        <f t="shared" si="84"/>
        <v>0</v>
      </c>
      <c r="AD334" s="1">
        <f t="shared" si="85"/>
        <v>0</v>
      </c>
      <c r="AE334">
        <f t="shared" si="86"/>
        <v>0</v>
      </c>
      <c r="AF334">
        <f t="shared" si="87"/>
        <v>0</v>
      </c>
      <c r="AG334">
        <f t="shared" si="88"/>
        <v>0</v>
      </c>
    </row>
    <row r="335" spans="1:33" x14ac:dyDescent="0.25">
      <c r="A335" t="s">
        <v>637</v>
      </c>
      <c r="B335" t="s">
        <v>638</v>
      </c>
      <c r="C335">
        <v>166894</v>
      </c>
      <c r="D335">
        <v>166894</v>
      </c>
      <c r="H335">
        <v>10</v>
      </c>
      <c r="I335">
        <v>50</v>
      </c>
      <c r="J335">
        <v>10</v>
      </c>
      <c r="K335">
        <v>10</v>
      </c>
      <c r="L335">
        <v>10</v>
      </c>
      <c r="M335">
        <v>90</v>
      </c>
      <c r="S335">
        <f t="shared" si="77"/>
        <v>0</v>
      </c>
      <c r="T335">
        <f t="shared" si="78"/>
        <v>7.5</v>
      </c>
      <c r="U335">
        <f t="shared" si="76"/>
        <v>1</v>
      </c>
      <c r="V335">
        <f t="shared" si="79"/>
        <v>0</v>
      </c>
      <c r="W335">
        <f t="shared" si="80"/>
        <v>1</v>
      </c>
      <c r="X335">
        <f t="shared" si="89"/>
        <v>0</v>
      </c>
      <c r="Y335">
        <f t="shared" si="90"/>
        <v>1</v>
      </c>
      <c r="Z335">
        <f t="shared" si="81"/>
        <v>0</v>
      </c>
      <c r="AA335">
        <f t="shared" si="82"/>
        <v>0</v>
      </c>
      <c r="AB335">
        <f t="shared" si="83"/>
        <v>0</v>
      </c>
      <c r="AC335">
        <f t="shared" si="84"/>
        <v>5</v>
      </c>
      <c r="AD335" s="1">
        <f t="shared" si="85"/>
        <v>8.3333333333333339</v>
      </c>
      <c r="AE335">
        <f t="shared" si="86"/>
        <v>5</v>
      </c>
      <c r="AF335">
        <f t="shared" si="87"/>
        <v>10</v>
      </c>
      <c r="AG335">
        <f t="shared" si="88"/>
        <v>10</v>
      </c>
    </row>
    <row r="336" spans="1:33" x14ac:dyDescent="0.25">
      <c r="A336" t="s">
        <v>639</v>
      </c>
      <c r="B336" t="s">
        <v>640</v>
      </c>
      <c r="C336">
        <v>167496</v>
      </c>
      <c r="D336">
        <v>167496</v>
      </c>
      <c r="H336">
        <v>0</v>
      </c>
      <c r="I336">
        <v>50</v>
      </c>
      <c r="J336">
        <v>10</v>
      </c>
      <c r="K336">
        <v>0</v>
      </c>
      <c r="L336">
        <v>10</v>
      </c>
      <c r="M336">
        <v>70</v>
      </c>
      <c r="R336" t="s">
        <v>20</v>
      </c>
      <c r="S336">
        <f t="shared" si="77"/>
        <v>0</v>
      </c>
      <c r="T336">
        <f t="shared" si="78"/>
        <v>5.833333333333333</v>
      </c>
      <c r="U336">
        <f t="shared" si="76"/>
        <v>1</v>
      </c>
      <c r="V336">
        <f t="shared" si="79"/>
        <v>0</v>
      </c>
      <c r="W336">
        <f t="shared" si="80"/>
        <v>1</v>
      </c>
      <c r="X336">
        <f t="shared" si="89"/>
        <v>0</v>
      </c>
      <c r="Y336">
        <f t="shared" si="90"/>
        <v>0</v>
      </c>
      <c r="Z336">
        <f t="shared" si="81"/>
        <v>0</v>
      </c>
      <c r="AA336">
        <f t="shared" si="82"/>
        <v>0</v>
      </c>
      <c r="AB336">
        <f t="shared" si="83"/>
        <v>0</v>
      </c>
      <c r="AC336">
        <f t="shared" si="84"/>
        <v>0</v>
      </c>
      <c r="AD336" s="1">
        <f t="shared" si="85"/>
        <v>8.3333333333333339</v>
      </c>
      <c r="AE336">
        <f t="shared" si="86"/>
        <v>5</v>
      </c>
      <c r="AF336">
        <f t="shared" si="87"/>
        <v>0</v>
      </c>
      <c r="AG336">
        <f t="shared" si="88"/>
        <v>10</v>
      </c>
    </row>
    <row r="337" spans="1:33" x14ac:dyDescent="0.25">
      <c r="A337" t="s">
        <v>641</v>
      </c>
      <c r="B337" t="s">
        <v>642</v>
      </c>
      <c r="C337">
        <v>162029</v>
      </c>
      <c r="D337">
        <v>162029</v>
      </c>
      <c r="E337">
        <v>40</v>
      </c>
      <c r="F337">
        <v>30</v>
      </c>
      <c r="G337">
        <v>10</v>
      </c>
      <c r="O337">
        <v>80</v>
      </c>
      <c r="S337">
        <f t="shared" si="77"/>
        <v>5</v>
      </c>
      <c r="T337">
        <f t="shared" si="78"/>
        <v>0</v>
      </c>
      <c r="U337">
        <f t="shared" si="76"/>
        <v>1</v>
      </c>
      <c r="V337">
        <f t="shared" si="79"/>
        <v>1</v>
      </c>
      <c r="W337">
        <f t="shared" si="80"/>
        <v>0</v>
      </c>
      <c r="X337">
        <f t="shared" si="89"/>
        <v>0</v>
      </c>
      <c r="Y337">
        <f t="shared" si="90"/>
        <v>0</v>
      </c>
      <c r="Z337">
        <f t="shared" si="81"/>
        <v>8</v>
      </c>
      <c r="AA337">
        <f t="shared" si="82"/>
        <v>7.5</v>
      </c>
      <c r="AB337">
        <f t="shared" si="83"/>
        <v>1.4285714285714286</v>
      </c>
      <c r="AC337">
        <f t="shared" si="84"/>
        <v>0</v>
      </c>
      <c r="AD337" s="1">
        <f t="shared" si="85"/>
        <v>0</v>
      </c>
      <c r="AE337">
        <f t="shared" si="86"/>
        <v>0</v>
      </c>
      <c r="AF337">
        <f t="shared" si="87"/>
        <v>0</v>
      </c>
      <c r="AG337">
        <f t="shared" si="88"/>
        <v>0</v>
      </c>
    </row>
    <row r="338" spans="1:33" x14ac:dyDescent="0.25">
      <c r="A338" t="s">
        <v>643</v>
      </c>
      <c r="B338" t="s">
        <v>644</v>
      </c>
      <c r="C338">
        <v>166341</v>
      </c>
      <c r="D338">
        <v>166341</v>
      </c>
      <c r="H338">
        <v>10</v>
      </c>
      <c r="I338">
        <v>30</v>
      </c>
      <c r="J338">
        <v>20</v>
      </c>
      <c r="K338">
        <v>10</v>
      </c>
      <c r="L338">
        <v>10</v>
      </c>
      <c r="M338">
        <v>80</v>
      </c>
      <c r="S338">
        <f t="shared" si="77"/>
        <v>0</v>
      </c>
      <c r="T338">
        <f t="shared" si="78"/>
        <v>6.666666666666667</v>
      </c>
      <c r="U338">
        <f t="shared" si="76"/>
        <v>1</v>
      </c>
      <c r="V338">
        <f t="shared" si="79"/>
        <v>0</v>
      </c>
      <c r="W338">
        <f t="shared" si="80"/>
        <v>1</v>
      </c>
      <c r="X338">
        <f t="shared" si="89"/>
        <v>0</v>
      </c>
      <c r="Y338">
        <f t="shared" si="90"/>
        <v>1</v>
      </c>
      <c r="Z338">
        <f t="shared" si="81"/>
        <v>0</v>
      </c>
      <c r="AA338">
        <f t="shared" si="82"/>
        <v>0</v>
      </c>
      <c r="AB338">
        <f t="shared" si="83"/>
        <v>0</v>
      </c>
      <c r="AC338">
        <f t="shared" si="84"/>
        <v>5</v>
      </c>
      <c r="AD338" s="1">
        <f t="shared" si="85"/>
        <v>5</v>
      </c>
      <c r="AE338">
        <f t="shared" si="86"/>
        <v>10</v>
      </c>
      <c r="AF338">
        <f t="shared" si="87"/>
        <v>10</v>
      </c>
      <c r="AG338">
        <f t="shared" si="88"/>
        <v>10</v>
      </c>
    </row>
    <row r="339" spans="1:33" x14ac:dyDescent="0.25">
      <c r="A339" t="s">
        <v>645</v>
      </c>
      <c r="B339" t="s">
        <v>168</v>
      </c>
      <c r="C339">
        <v>168870</v>
      </c>
      <c r="D339">
        <v>168870</v>
      </c>
      <c r="S339">
        <f t="shared" si="77"/>
        <v>0</v>
      </c>
      <c r="T339">
        <f t="shared" si="78"/>
        <v>0</v>
      </c>
      <c r="U339">
        <f t="shared" si="76"/>
        <v>0</v>
      </c>
      <c r="V339">
        <f t="shared" si="79"/>
        <v>0</v>
      </c>
      <c r="W339">
        <f t="shared" si="80"/>
        <v>0</v>
      </c>
      <c r="X339">
        <f t="shared" si="89"/>
        <v>0</v>
      </c>
      <c r="Y339">
        <f t="shared" si="90"/>
        <v>0</v>
      </c>
      <c r="Z339">
        <f t="shared" si="81"/>
        <v>0</v>
      </c>
      <c r="AA339">
        <f t="shared" si="82"/>
        <v>0</v>
      </c>
      <c r="AB339">
        <f t="shared" si="83"/>
        <v>0</v>
      </c>
      <c r="AC339">
        <f t="shared" si="84"/>
        <v>0</v>
      </c>
      <c r="AD339" s="1">
        <f t="shared" si="85"/>
        <v>0</v>
      </c>
      <c r="AE339">
        <f t="shared" si="86"/>
        <v>0</v>
      </c>
      <c r="AF339">
        <f t="shared" si="87"/>
        <v>0</v>
      </c>
      <c r="AG339">
        <f t="shared" si="88"/>
        <v>0</v>
      </c>
    </row>
    <row r="340" spans="1:33" x14ac:dyDescent="0.25">
      <c r="A340" t="s">
        <v>646</v>
      </c>
      <c r="B340" t="s">
        <v>393</v>
      </c>
      <c r="C340">
        <v>165826</v>
      </c>
      <c r="D340">
        <v>165826</v>
      </c>
      <c r="H340">
        <v>0</v>
      </c>
      <c r="I340">
        <v>40</v>
      </c>
      <c r="J340">
        <v>20</v>
      </c>
      <c r="K340">
        <v>0</v>
      </c>
      <c r="L340">
        <v>0</v>
      </c>
      <c r="M340">
        <v>60</v>
      </c>
      <c r="S340">
        <f t="shared" si="77"/>
        <v>0</v>
      </c>
      <c r="T340">
        <f t="shared" si="78"/>
        <v>5</v>
      </c>
      <c r="U340">
        <f t="shared" si="76"/>
        <v>1</v>
      </c>
      <c r="V340">
        <f t="shared" si="79"/>
        <v>0</v>
      </c>
      <c r="W340">
        <f t="shared" si="80"/>
        <v>1</v>
      </c>
      <c r="X340">
        <f t="shared" si="89"/>
        <v>0</v>
      </c>
      <c r="Y340">
        <f t="shared" si="90"/>
        <v>0</v>
      </c>
      <c r="Z340">
        <f t="shared" si="81"/>
        <v>0</v>
      </c>
      <c r="AA340">
        <f t="shared" si="82"/>
        <v>0</v>
      </c>
      <c r="AB340">
        <f t="shared" si="83"/>
        <v>0</v>
      </c>
      <c r="AC340">
        <f t="shared" si="84"/>
        <v>0</v>
      </c>
      <c r="AD340" s="1">
        <f t="shared" si="85"/>
        <v>6.666666666666667</v>
      </c>
      <c r="AE340">
        <f t="shared" si="86"/>
        <v>10</v>
      </c>
      <c r="AF340">
        <f t="shared" si="87"/>
        <v>0</v>
      </c>
      <c r="AG340">
        <f t="shared" si="88"/>
        <v>0</v>
      </c>
    </row>
    <row r="341" spans="1:33" x14ac:dyDescent="0.25">
      <c r="A341" t="s">
        <v>647</v>
      </c>
      <c r="B341" t="s">
        <v>648</v>
      </c>
      <c r="C341">
        <v>166038</v>
      </c>
      <c r="D341">
        <v>166038</v>
      </c>
      <c r="E341">
        <v>0</v>
      </c>
      <c r="F341">
        <v>0</v>
      </c>
      <c r="G341">
        <v>0</v>
      </c>
      <c r="O341">
        <v>0</v>
      </c>
      <c r="S341">
        <f t="shared" si="77"/>
        <v>0</v>
      </c>
      <c r="T341">
        <f t="shared" si="78"/>
        <v>0</v>
      </c>
      <c r="U341">
        <f t="shared" si="76"/>
        <v>1</v>
      </c>
      <c r="V341">
        <f t="shared" si="79"/>
        <v>1</v>
      </c>
      <c r="W341">
        <f t="shared" si="80"/>
        <v>0</v>
      </c>
      <c r="X341">
        <f t="shared" si="89"/>
        <v>0</v>
      </c>
      <c r="Y341">
        <f t="shared" si="90"/>
        <v>0</v>
      </c>
      <c r="Z341">
        <f t="shared" si="81"/>
        <v>0</v>
      </c>
      <c r="AA341">
        <f t="shared" si="82"/>
        <v>0</v>
      </c>
      <c r="AB341">
        <f t="shared" si="83"/>
        <v>0</v>
      </c>
      <c r="AC341">
        <f t="shared" si="84"/>
        <v>0</v>
      </c>
      <c r="AD341" s="1">
        <f t="shared" si="85"/>
        <v>0</v>
      </c>
      <c r="AE341">
        <f t="shared" si="86"/>
        <v>0</v>
      </c>
      <c r="AF341">
        <f t="shared" si="87"/>
        <v>0</v>
      </c>
      <c r="AG341">
        <f t="shared" si="88"/>
        <v>0</v>
      </c>
    </row>
    <row r="342" spans="1:33" x14ac:dyDescent="0.25">
      <c r="A342" t="s">
        <v>649</v>
      </c>
      <c r="B342" t="s">
        <v>650</v>
      </c>
      <c r="C342">
        <v>163699</v>
      </c>
      <c r="D342">
        <v>163699</v>
      </c>
      <c r="S342">
        <f t="shared" si="77"/>
        <v>0</v>
      </c>
      <c r="T342">
        <f t="shared" si="78"/>
        <v>0</v>
      </c>
      <c r="U342">
        <f t="shared" si="76"/>
        <v>0</v>
      </c>
      <c r="V342">
        <f t="shared" si="79"/>
        <v>0</v>
      </c>
      <c r="W342">
        <f t="shared" si="80"/>
        <v>0</v>
      </c>
      <c r="X342">
        <f t="shared" si="89"/>
        <v>0</v>
      </c>
      <c r="Y342">
        <f t="shared" si="90"/>
        <v>0</v>
      </c>
      <c r="Z342">
        <f t="shared" si="81"/>
        <v>0</v>
      </c>
      <c r="AA342">
        <f t="shared" si="82"/>
        <v>0</v>
      </c>
      <c r="AB342">
        <f t="shared" si="83"/>
        <v>0</v>
      </c>
      <c r="AC342">
        <f t="shared" si="84"/>
        <v>0</v>
      </c>
      <c r="AD342" s="1">
        <f t="shared" si="85"/>
        <v>0</v>
      </c>
      <c r="AE342">
        <f t="shared" si="86"/>
        <v>0</v>
      </c>
      <c r="AF342">
        <f t="shared" si="87"/>
        <v>0</v>
      </c>
      <c r="AG342">
        <f t="shared" si="88"/>
        <v>0</v>
      </c>
    </row>
    <row r="343" spans="1:33" x14ac:dyDescent="0.25">
      <c r="A343" t="s">
        <v>651</v>
      </c>
      <c r="B343" t="s">
        <v>652</v>
      </c>
      <c r="C343">
        <v>168770</v>
      </c>
      <c r="D343">
        <v>168770</v>
      </c>
      <c r="S343">
        <f t="shared" si="77"/>
        <v>0</v>
      </c>
      <c r="T343">
        <f t="shared" si="78"/>
        <v>0</v>
      </c>
      <c r="U343">
        <f t="shared" si="76"/>
        <v>0</v>
      </c>
      <c r="V343">
        <f t="shared" si="79"/>
        <v>0</v>
      </c>
      <c r="W343">
        <f t="shared" si="80"/>
        <v>0</v>
      </c>
      <c r="X343">
        <f t="shared" si="89"/>
        <v>0</v>
      </c>
      <c r="Y343">
        <f t="shared" si="90"/>
        <v>0</v>
      </c>
      <c r="Z343">
        <f t="shared" si="81"/>
        <v>0</v>
      </c>
      <c r="AA343">
        <f t="shared" si="82"/>
        <v>0</v>
      </c>
      <c r="AB343">
        <f t="shared" si="83"/>
        <v>0</v>
      </c>
      <c r="AC343">
        <f t="shared" si="84"/>
        <v>0</v>
      </c>
      <c r="AD343" s="1">
        <f t="shared" si="85"/>
        <v>0</v>
      </c>
      <c r="AE343">
        <f t="shared" si="86"/>
        <v>0</v>
      </c>
      <c r="AF343">
        <f t="shared" si="87"/>
        <v>0</v>
      </c>
      <c r="AG343">
        <f t="shared" si="88"/>
        <v>0</v>
      </c>
    </row>
    <row r="344" spans="1:33" x14ac:dyDescent="0.25">
      <c r="A344" t="s">
        <v>653</v>
      </c>
      <c r="B344" t="s">
        <v>654</v>
      </c>
      <c r="C344">
        <v>165058</v>
      </c>
      <c r="D344">
        <v>165058</v>
      </c>
      <c r="E344">
        <v>40</v>
      </c>
      <c r="F344">
        <v>40</v>
      </c>
      <c r="G344">
        <v>40</v>
      </c>
      <c r="O344">
        <v>120</v>
      </c>
      <c r="S344">
        <f t="shared" si="77"/>
        <v>7.5</v>
      </c>
      <c r="T344">
        <f t="shared" si="78"/>
        <v>0</v>
      </c>
      <c r="U344">
        <f t="shared" si="76"/>
        <v>1</v>
      </c>
      <c r="V344">
        <f t="shared" si="79"/>
        <v>1</v>
      </c>
      <c r="W344">
        <f t="shared" si="80"/>
        <v>0</v>
      </c>
      <c r="X344">
        <f t="shared" si="89"/>
        <v>1</v>
      </c>
      <c r="Y344">
        <f t="shared" si="90"/>
        <v>0</v>
      </c>
      <c r="Z344">
        <f t="shared" si="81"/>
        <v>8</v>
      </c>
      <c r="AA344">
        <f t="shared" si="82"/>
        <v>10</v>
      </c>
      <c r="AB344">
        <f t="shared" si="83"/>
        <v>5.7142857142857144</v>
      </c>
      <c r="AC344">
        <f t="shared" si="84"/>
        <v>0</v>
      </c>
      <c r="AD344" s="1">
        <f t="shared" si="85"/>
        <v>0</v>
      </c>
      <c r="AE344">
        <f t="shared" si="86"/>
        <v>0</v>
      </c>
      <c r="AF344">
        <f t="shared" si="87"/>
        <v>0</v>
      </c>
      <c r="AG344">
        <f t="shared" si="88"/>
        <v>0</v>
      </c>
    </row>
    <row r="345" spans="1:33" x14ac:dyDescent="0.25">
      <c r="A345" t="s">
        <v>655</v>
      </c>
      <c r="B345" t="s">
        <v>340</v>
      </c>
      <c r="C345">
        <v>168037</v>
      </c>
      <c r="D345">
        <v>168037</v>
      </c>
      <c r="H345">
        <v>10</v>
      </c>
      <c r="I345">
        <v>30</v>
      </c>
      <c r="J345">
        <v>10</v>
      </c>
      <c r="K345">
        <v>0</v>
      </c>
      <c r="L345">
        <v>10</v>
      </c>
      <c r="M345">
        <v>60</v>
      </c>
      <c r="S345">
        <f t="shared" si="77"/>
        <v>0</v>
      </c>
      <c r="T345">
        <f t="shared" si="78"/>
        <v>5</v>
      </c>
      <c r="U345">
        <f t="shared" si="76"/>
        <v>1</v>
      </c>
      <c r="V345">
        <f t="shared" si="79"/>
        <v>0</v>
      </c>
      <c r="W345">
        <f t="shared" si="80"/>
        <v>1</v>
      </c>
      <c r="X345">
        <f t="shared" si="89"/>
        <v>0</v>
      </c>
      <c r="Y345">
        <f t="shared" si="90"/>
        <v>0</v>
      </c>
      <c r="Z345">
        <f t="shared" si="81"/>
        <v>0</v>
      </c>
      <c r="AA345">
        <f t="shared" si="82"/>
        <v>0</v>
      </c>
      <c r="AB345">
        <f t="shared" si="83"/>
        <v>0</v>
      </c>
      <c r="AC345">
        <f t="shared" si="84"/>
        <v>5</v>
      </c>
      <c r="AD345" s="1">
        <f t="shared" si="85"/>
        <v>5</v>
      </c>
      <c r="AE345">
        <f t="shared" si="86"/>
        <v>5</v>
      </c>
      <c r="AF345">
        <f t="shared" si="87"/>
        <v>0</v>
      </c>
      <c r="AG345">
        <f t="shared" si="88"/>
        <v>10</v>
      </c>
    </row>
    <row r="346" spans="1:33" x14ac:dyDescent="0.25">
      <c r="A346" t="s">
        <v>656</v>
      </c>
      <c r="B346" t="s">
        <v>286</v>
      </c>
      <c r="C346">
        <v>165388</v>
      </c>
      <c r="D346">
        <v>165388</v>
      </c>
      <c r="E346">
        <v>20</v>
      </c>
      <c r="F346">
        <v>30</v>
      </c>
      <c r="G346">
        <v>50</v>
      </c>
      <c r="O346">
        <v>100</v>
      </c>
      <c r="S346">
        <f t="shared" si="77"/>
        <v>6.25</v>
      </c>
      <c r="T346">
        <f t="shared" si="78"/>
        <v>0</v>
      </c>
      <c r="U346">
        <f t="shared" si="76"/>
        <v>1</v>
      </c>
      <c r="V346">
        <f t="shared" si="79"/>
        <v>1</v>
      </c>
      <c r="W346">
        <f t="shared" si="80"/>
        <v>0</v>
      </c>
      <c r="X346">
        <f t="shared" si="89"/>
        <v>1</v>
      </c>
      <c r="Y346">
        <f t="shared" si="90"/>
        <v>0</v>
      </c>
      <c r="Z346">
        <f t="shared" si="81"/>
        <v>4</v>
      </c>
      <c r="AA346">
        <f t="shared" si="82"/>
        <v>7.5</v>
      </c>
      <c r="AB346">
        <f t="shared" si="83"/>
        <v>7.1428571428571432</v>
      </c>
      <c r="AC346">
        <f t="shared" si="84"/>
        <v>0</v>
      </c>
      <c r="AD346" s="1">
        <f t="shared" si="85"/>
        <v>0</v>
      </c>
      <c r="AE346">
        <f t="shared" si="86"/>
        <v>0</v>
      </c>
      <c r="AF346">
        <f t="shared" si="87"/>
        <v>0</v>
      </c>
      <c r="AG346">
        <f t="shared" si="88"/>
        <v>0</v>
      </c>
    </row>
    <row r="347" spans="1:33" x14ac:dyDescent="0.25">
      <c r="A347" t="s">
        <v>657</v>
      </c>
      <c r="B347" t="s">
        <v>658</v>
      </c>
      <c r="C347">
        <v>167097</v>
      </c>
      <c r="D347">
        <v>167097</v>
      </c>
      <c r="E347">
        <v>50</v>
      </c>
      <c r="F347">
        <v>30</v>
      </c>
      <c r="G347">
        <v>50</v>
      </c>
      <c r="O347">
        <v>130</v>
      </c>
      <c r="S347">
        <f t="shared" si="77"/>
        <v>8.125</v>
      </c>
      <c r="T347">
        <f t="shared" si="78"/>
        <v>0</v>
      </c>
      <c r="U347">
        <f t="shared" si="76"/>
        <v>1</v>
      </c>
      <c r="V347">
        <f t="shared" si="79"/>
        <v>1</v>
      </c>
      <c r="W347">
        <f t="shared" si="80"/>
        <v>0</v>
      </c>
      <c r="X347">
        <f t="shared" si="89"/>
        <v>1</v>
      </c>
      <c r="Y347">
        <f t="shared" si="90"/>
        <v>0</v>
      </c>
      <c r="Z347">
        <f t="shared" si="81"/>
        <v>10</v>
      </c>
      <c r="AA347">
        <f t="shared" si="82"/>
        <v>7.5</v>
      </c>
      <c r="AB347">
        <f t="shared" si="83"/>
        <v>7.1428571428571432</v>
      </c>
      <c r="AC347">
        <f t="shared" si="84"/>
        <v>0</v>
      </c>
      <c r="AD347" s="1">
        <f t="shared" si="85"/>
        <v>0</v>
      </c>
      <c r="AE347">
        <f t="shared" si="86"/>
        <v>0</v>
      </c>
      <c r="AF347">
        <f t="shared" si="87"/>
        <v>0</v>
      </c>
      <c r="AG347">
        <f t="shared" si="88"/>
        <v>0</v>
      </c>
    </row>
    <row r="348" spans="1:33" x14ac:dyDescent="0.25">
      <c r="A348" t="s">
        <v>659</v>
      </c>
      <c r="B348" t="s">
        <v>457</v>
      </c>
      <c r="C348">
        <v>167187</v>
      </c>
      <c r="D348">
        <v>167187</v>
      </c>
      <c r="H348">
        <v>0</v>
      </c>
      <c r="I348">
        <v>30</v>
      </c>
      <c r="J348">
        <v>20</v>
      </c>
      <c r="K348">
        <v>10</v>
      </c>
      <c r="L348">
        <v>10</v>
      </c>
      <c r="M348">
        <v>70</v>
      </c>
      <c r="S348">
        <f t="shared" si="77"/>
        <v>0</v>
      </c>
      <c r="T348">
        <f t="shared" si="78"/>
        <v>5.833333333333333</v>
      </c>
      <c r="U348">
        <f t="shared" si="76"/>
        <v>1</v>
      </c>
      <c r="V348">
        <f t="shared" si="79"/>
        <v>0</v>
      </c>
      <c r="W348">
        <f t="shared" si="80"/>
        <v>1</v>
      </c>
      <c r="X348">
        <f t="shared" si="89"/>
        <v>0</v>
      </c>
      <c r="Y348">
        <f t="shared" si="90"/>
        <v>0</v>
      </c>
      <c r="Z348">
        <f t="shared" si="81"/>
        <v>0</v>
      </c>
      <c r="AA348">
        <f t="shared" si="82"/>
        <v>0</v>
      </c>
      <c r="AB348">
        <f t="shared" si="83"/>
        <v>0</v>
      </c>
      <c r="AC348">
        <f t="shared" si="84"/>
        <v>0</v>
      </c>
      <c r="AD348" s="1">
        <f t="shared" si="85"/>
        <v>5</v>
      </c>
      <c r="AE348">
        <f t="shared" si="86"/>
        <v>10</v>
      </c>
      <c r="AF348">
        <f t="shared" si="87"/>
        <v>10</v>
      </c>
      <c r="AG348">
        <f t="shared" si="88"/>
        <v>10</v>
      </c>
    </row>
    <row r="349" spans="1:33" x14ac:dyDescent="0.25">
      <c r="A349" t="s">
        <v>660</v>
      </c>
      <c r="B349" t="s">
        <v>661</v>
      </c>
      <c r="C349">
        <v>165341</v>
      </c>
      <c r="D349">
        <v>165341</v>
      </c>
      <c r="E349">
        <v>30</v>
      </c>
      <c r="F349">
        <v>30</v>
      </c>
      <c r="G349">
        <v>30</v>
      </c>
      <c r="O349">
        <v>90</v>
      </c>
      <c r="S349">
        <f t="shared" si="77"/>
        <v>5.625</v>
      </c>
      <c r="T349">
        <f t="shared" si="78"/>
        <v>0</v>
      </c>
      <c r="U349">
        <f t="shared" si="76"/>
        <v>1</v>
      </c>
      <c r="V349">
        <f t="shared" si="79"/>
        <v>1</v>
      </c>
      <c r="W349">
        <f t="shared" si="80"/>
        <v>0</v>
      </c>
      <c r="X349">
        <f t="shared" si="89"/>
        <v>0</v>
      </c>
      <c r="Y349">
        <f t="shared" si="90"/>
        <v>0</v>
      </c>
      <c r="Z349">
        <f t="shared" si="81"/>
        <v>6</v>
      </c>
      <c r="AA349">
        <f t="shared" si="82"/>
        <v>7.5</v>
      </c>
      <c r="AB349">
        <f t="shared" si="83"/>
        <v>4.2857142857142856</v>
      </c>
      <c r="AC349">
        <f t="shared" si="84"/>
        <v>0</v>
      </c>
      <c r="AD349" s="1">
        <f t="shared" si="85"/>
        <v>0</v>
      </c>
      <c r="AE349">
        <f t="shared" si="86"/>
        <v>0</v>
      </c>
      <c r="AF349">
        <f t="shared" si="87"/>
        <v>0</v>
      </c>
      <c r="AG349">
        <f t="shared" si="88"/>
        <v>0</v>
      </c>
    </row>
    <row r="350" spans="1:33" x14ac:dyDescent="0.25">
      <c r="A350" t="s">
        <v>662</v>
      </c>
      <c r="B350" t="s">
        <v>663</v>
      </c>
      <c r="C350">
        <v>168547</v>
      </c>
      <c r="D350">
        <v>168547</v>
      </c>
      <c r="S350">
        <f t="shared" si="77"/>
        <v>0</v>
      </c>
      <c r="T350">
        <f t="shared" si="78"/>
        <v>0</v>
      </c>
      <c r="U350">
        <f t="shared" si="76"/>
        <v>0</v>
      </c>
      <c r="V350">
        <f t="shared" si="79"/>
        <v>0</v>
      </c>
      <c r="W350">
        <f t="shared" si="80"/>
        <v>0</v>
      </c>
      <c r="X350">
        <f t="shared" si="89"/>
        <v>0</v>
      </c>
      <c r="Y350">
        <f t="shared" si="90"/>
        <v>0</v>
      </c>
      <c r="Z350">
        <f t="shared" si="81"/>
        <v>0</v>
      </c>
      <c r="AA350">
        <f t="shared" si="82"/>
        <v>0</v>
      </c>
      <c r="AB350">
        <f t="shared" si="83"/>
        <v>0</v>
      </c>
      <c r="AC350">
        <f t="shared" si="84"/>
        <v>0</v>
      </c>
      <c r="AD350" s="1">
        <f t="shared" si="85"/>
        <v>0</v>
      </c>
      <c r="AE350">
        <f t="shared" si="86"/>
        <v>0</v>
      </c>
      <c r="AF350">
        <f t="shared" si="87"/>
        <v>0</v>
      </c>
      <c r="AG350">
        <f t="shared" si="88"/>
        <v>0</v>
      </c>
    </row>
    <row r="351" spans="1:33" x14ac:dyDescent="0.25">
      <c r="A351" t="s">
        <v>664</v>
      </c>
      <c r="B351" t="s">
        <v>218</v>
      </c>
      <c r="C351">
        <v>166759</v>
      </c>
      <c r="D351">
        <v>166759</v>
      </c>
      <c r="H351">
        <v>10</v>
      </c>
      <c r="I351">
        <v>20</v>
      </c>
      <c r="J351">
        <v>10</v>
      </c>
      <c r="K351">
        <v>10</v>
      </c>
      <c r="L351">
        <v>0</v>
      </c>
      <c r="M351">
        <v>50</v>
      </c>
      <c r="S351">
        <f t="shared" si="77"/>
        <v>0</v>
      </c>
      <c r="T351">
        <f t="shared" si="78"/>
        <v>4.166666666666667</v>
      </c>
      <c r="U351">
        <f t="shared" si="76"/>
        <v>1</v>
      </c>
      <c r="V351">
        <f t="shared" si="79"/>
        <v>0</v>
      </c>
      <c r="W351">
        <f t="shared" si="80"/>
        <v>1</v>
      </c>
      <c r="X351">
        <f t="shared" si="89"/>
        <v>0</v>
      </c>
      <c r="Y351">
        <f t="shared" si="90"/>
        <v>0</v>
      </c>
      <c r="Z351">
        <f t="shared" si="81"/>
        <v>0</v>
      </c>
      <c r="AA351">
        <f t="shared" si="82"/>
        <v>0</v>
      </c>
      <c r="AB351">
        <f t="shared" si="83"/>
        <v>0</v>
      </c>
      <c r="AC351">
        <f t="shared" si="84"/>
        <v>5</v>
      </c>
      <c r="AD351" s="1">
        <f t="shared" si="85"/>
        <v>3.3333333333333335</v>
      </c>
      <c r="AE351">
        <f t="shared" si="86"/>
        <v>5</v>
      </c>
      <c r="AF351">
        <f t="shared" si="87"/>
        <v>10</v>
      </c>
      <c r="AG351">
        <f t="shared" si="88"/>
        <v>0</v>
      </c>
    </row>
    <row r="352" spans="1:33" x14ac:dyDescent="0.25">
      <c r="A352" t="s">
        <v>665</v>
      </c>
      <c r="B352" t="s">
        <v>666</v>
      </c>
      <c r="C352">
        <v>167153</v>
      </c>
      <c r="D352">
        <v>167153</v>
      </c>
      <c r="E352">
        <v>40</v>
      </c>
      <c r="F352">
        <v>20</v>
      </c>
      <c r="G352">
        <v>40</v>
      </c>
      <c r="O352">
        <v>100</v>
      </c>
      <c r="S352">
        <f t="shared" si="77"/>
        <v>6.25</v>
      </c>
      <c r="T352">
        <f t="shared" si="78"/>
        <v>0</v>
      </c>
      <c r="U352">
        <f t="shared" si="76"/>
        <v>1</v>
      </c>
      <c r="V352">
        <f t="shared" si="79"/>
        <v>1</v>
      </c>
      <c r="W352">
        <f t="shared" si="80"/>
        <v>0</v>
      </c>
      <c r="X352">
        <f t="shared" si="89"/>
        <v>1</v>
      </c>
      <c r="Y352">
        <f t="shared" si="90"/>
        <v>0</v>
      </c>
      <c r="Z352">
        <f t="shared" si="81"/>
        <v>8</v>
      </c>
      <c r="AA352">
        <f t="shared" si="82"/>
        <v>5</v>
      </c>
      <c r="AB352">
        <f t="shared" si="83"/>
        <v>5.7142857142857144</v>
      </c>
      <c r="AC352">
        <f t="shared" si="84"/>
        <v>0</v>
      </c>
      <c r="AD352" s="1">
        <f t="shared" si="85"/>
        <v>0</v>
      </c>
      <c r="AE352">
        <f t="shared" si="86"/>
        <v>0</v>
      </c>
      <c r="AF352">
        <f t="shared" si="87"/>
        <v>0</v>
      </c>
      <c r="AG352">
        <f t="shared" si="88"/>
        <v>0</v>
      </c>
    </row>
    <row r="353" spans="1:33" x14ac:dyDescent="0.25">
      <c r="A353" t="s">
        <v>667</v>
      </c>
      <c r="B353" t="s">
        <v>668</v>
      </c>
      <c r="C353">
        <v>168837</v>
      </c>
      <c r="D353">
        <v>168837</v>
      </c>
      <c r="E353">
        <v>40</v>
      </c>
      <c r="F353">
        <v>10</v>
      </c>
      <c r="G353">
        <v>20</v>
      </c>
      <c r="O353">
        <v>70</v>
      </c>
      <c r="S353">
        <f t="shared" si="77"/>
        <v>4.375</v>
      </c>
      <c r="T353">
        <f t="shared" si="78"/>
        <v>0</v>
      </c>
      <c r="U353">
        <f t="shared" si="76"/>
        <v>1</v>
      </c>
      <c r="V353">
        <f t="shared" si="79"/>
        <v>1</v>
      </c>
      <c r="W353">
        <f t="shared" si="80"/>
        <v>0</v>
      </c>
      <c r="X353">
        <f t="shared" si="89"/>
        <v>0</v>
      </c>
      <c r="Y353">
        <f t="shared" si="90"/>
        <v>0</v>
      </c>
      <c r="Z353">
        <f t="shared" si="81"/>
        <v>8</v>
      </c>
      <c r="AA353">
        <f t="shared" si="82"/>
        <v>2.5</v>
      </c>
      <c r="AB353">
        <f t="shared" si="83"/>
        <v>2.8571428571428572</v>
      </c>
      <c r="AC353">
        <f t="shared" si="84"/>
        <v>0</v>
      </c>
      <c r="AD353" s="1">
        <f t="shared" si="85"/>
        <v>0</v>
      </c>
      <c r="AE353">
        <f t="shared" si="86"/>
        <v>0</v>
      </c>
      <c r="AF353">
        <f t="shared" si="87"/>
        <v>0</v>
      </c>
      <c r="AG353">
        <f t="shared" si="88"/>
        <v>0</v>
      </c>
    </row>
    <row r="354" spans="1:33" x14ac:dyDescent="0.25">
      <c r="A354" t="s">
        <v>669</v>
      </c>
      <c r="B354" t="s">
        <v>670</v>
      </c>
      <c r="C354">
        <v>166045</v>
      </c>
      <c r="D354">
        <v>166045</v>
      </c>
      <c r="H354">
        <v>20</v>
      </c>
      <c r="I354">
        <v>50</v>
      </c>
      <c r="J354">
        <v>0</v>
      </c>
      <c r="K354">
        <v>10</v>
      </c>
      <c r="L354">
        <v>0</v>
      </c>
      <c r="M354">
        <v>80</v>
      </c>
      <c r="S354">
        <f t="shared" si="77"/>
        <v>0</v>
      </c>
      <c r="T354">
        <f t="shared" si="78"/>
        <v>6.666666666666667</v>
      </c>
      <c r="U354">
        <f t="shared" si="76"/>
        <v>1</v>
      </c>
      <c r="V354">
        <f t="shared" si="79"/>
        <v>0</v>
      </c>
      <c r="W354">
        <f t="shared" si="80"/>
        <v>1</v>
      </c>
      <c r="X354">
        <f t="shared" si="89"/>
        <v>0</v>
      </c>
      <c r="Y354">
        <f t="shared" si="90"/>
        <v>1</v>
      </c>
      <c r="Z354">
        <f t="shared" si="81"/>
        <v>0</v>
      </c>
      <c r="AA354">
        <f t="shared" si="82"/>
        <v>0</v>
      </c>
      <c r="AB354">
        <f t="shared" si="83"/>
        <v>0</v>
      </c>
      <c r="AC354">
        <f t="shared" si="84"/>
        <v>10</v>
      </c>
      <c r="AD354" s="1">
        <f t="shared" si="85"/>
        <v>8.3333333333333339</v>
      </c>
      <c r="AE354">
        <f t="shared" si="86"/>
        <v>0</v>
      </c>
      <c r="AF354">
        <f t="shared" si="87"/>
        <v>10</v>
      </c>
      <c r="AG354">
        <f t="shared" si="88"/>
        <v>0</v>
      </c>
    </row>
    <row r="355" spans="1:33" x14ac:dyDescent="0.25">
      <c r="A355" t="s">
        <v>671</v>
      </c>
      <c r="B355" t="s">
        <v>672</v>
      </c>
      <c r="C355">
        <v>166220</v>
      </c>
      <c r="D355">
        <v>166220</v>
      </c>
      <c r="H355">
        <v>10</v>
      </c>
      <c r="I355">
        <v>60</v>
      </c>
      <c r="J355">
        <v>0</v>
      </c>
      <c r="K355">
        <v>10</v>
      </c>
      <c r="L355">
        <v>0</v>
      </c>
      <c r="M355">
        <v>80</v>
      </c>
      <c r="S355">
        <f t="shared" si="77"/>
        <v>0</v>
      </c>
      <c r="T355">
        <f t="shared" si="78"/>
        <v>6.666666666666667</v>
      </c>
      <c r="U355">
        <f t="shared" si="76"/>
        <v>1</v>
      </c>
      <c r="V355">
        <f t="shared" si="79"/>
        <v>0</v>
      </c>
      <c r="W355">
        <f t="shared" si="80"/>
        <v>1</v>
      </c>
      <c r="X355">
        <f t="shared" si="89"/>
        <v>0</v>
      </c>
      <c r="Y355">
        <f t="shared" si="90"/>
        <v>1</v>
      </c>
      <c r="Z355">
        <f t="shared" si="81"/>
        <v>0</v>
      </c>
      <c r="AA355">
        <f t="shared" si="82"/>
        <v>0</v>
      </c>
      <c r="AB355">
        <f t="shared" si="83"/>
        <v>0</v>
      </c>
      <c r="AC355">
        <f t="shared" si="84"/>
        <v>5</v>
      </c>
      <c r="AD355" s="1">
        <f t="shared" si="85"/>
        <v>10</v>
      </c>
      <c r="AE355">
        <f t="shared" si="86"/>
        <v>0</v>
      </c>
      <c r="AF355">
        <f t="shared" si="87"/>
        <v>10</v>
      </c>
      <c r="AG355">
        <f t="shared" si="88"/>
        <v>0</v>
      </c>
    </row>
    <row r="356" spans="1:33" x14ac:dyDescent="0.25">
      <c r="A356" t="s">
        <v>673</v>
      </c>
      <c r="B356" t="s">
        <v>674</v>
      </c>
      <c r="C356">
        <v>168485</v>
      </c>
      <c r="D356">
        <v>168485</v>
      </c>
      <c r="H356">
        <v>20</v>
      </c>
      <c r="I356">
        <v>20</v>
      </c>
      <c r="J356">
        <v>10</v>
      </c>
      <c r="K356">
        <v>0</v>
      </c>
      <c r="L356">
        <v>0</v>
      </c>
      <c r="M356">
        <v>50</v>
      </c>
      <c r="S356">
        <f t="shared" si="77"/>
        <v>0</v>
      </c>
      <c r="T356">
        <f t="shared" si="78"/>
        <v>4.166666666666667</v>
      </c>
      <c r="U356">
        <f t="shared" si="76"/>
        <v>1</v>
      </c>
      <c r="V356">
        <f t="shared" si="79"/>
        <v>0</v>
      </c>
      <c r="W356">
        <f t="shared" si="80"/>
        <v>1</v>
      </c>
      <c r="X356">
        <f t="shared" si="89"/>
        <v>0</v>
      </c>
      <c r="Y356">
        <f t="shared" si="90"/>
        <v>0</v>
      </c>
      <c r="Z356">
        <f t="shared" si="81"/>
        <v>0</v>
      </c>
      <c r="AA356">
        <f t="shared" si="82"/>
        <v>0</v>
      </c>
      <c r="AB356">
        <f t="shared" si="83"/>
        <v>0</v>
      </c>
      <c r="AC356">
        <f t="shared" si="84"/>
        <v>10</v>
      </c>
      <c r="AD356" s="1">
        <f t="shared" si="85"/>
        <v>3.3333333333333335</v>
      </c>
      <c r="AE356">
        <f t="shared" si="86"/>
        <v>5</v>
      </c>
      <c r="AF356">
        <f t="shared" si="87"/>
        <v>0</v>
      </c>
      <c r="AG356">
        <f t="shared" si="88"/>
        <v>0</v>
      </c>
    </row>
    <row r="357" spans="1:33" x14ac:dyDescent="0.25">
      <c r="A357" t="s">
        <v>675</v>
      </c>
      <c r="B357" t="s">
        <v>654</v>
      </c>
      <c r="C357">
        <v>166059</v>
      </c>
      <c r="D357">
        <v>166059</v>
      </c>
      <c r="H357">
        <v>10</v>
      </c>
      <c r="I357">
        <v>50</v>
      </c>
      <c r="J357">
        <v>10</v>
      </c>
      <c r="K357">
        <v>10</v>
      </c>
      <c r="L357">
        <v>0</v>
      </c>
      <c r="M357">
        <v>80</v>
      </c>
      <c r="S357">
        <f t="shared" si="77"/>
        <v>0</v>
      </c>
      <c r="T357">
        <f t="shared" si="78"/>
        <v>6.666666666666667</v>
      </c>
      <c r="U357">
        <f t="shared" si="76"/>
        <v>1</v>
      </c>
      <c r="V357">
        <f t="shared" si="79"/>
        <v>0</v>
      </c>
      <c r="W357">
        <f t="shared" si="80"/>
        <v>1</v>
      </c>
      <c r="X357">
        <f t="shared" si="89"/>
        <v>0</v>
      </c>
      <c r="Y357">
        <f t="shared" si="90"/>
        <v>1</v>
      </c>
      <c r="Z357">
        <f t="shared" si="81"/>
        <v>0</v>
      </c>
      <c r="AA357">
        <f t="shared" si="82"/>
        <v>0</v>
      </c>
      <c r="AB357">
        <f t="shared" si="83"/>
        <v>0</v>
      </c>
      <c r="AC357">
        <f t="shared" si="84"/>
        <v>5</v>
      </c>
      <c r="AD357" s="1">
        <f t="shared" si="85"/>
        <v>8.3333333333333339</v>
      </c>
      <c r="AE357">
        <f t="shared" si="86"/>
        <v>5</v>
      </c>
      <c r="AF357">
        <f t="shared" si="87"/>
        <v>10</v>
      </c>
      <c r="AG357">
        <f t="shared" si="88"/>
        <v>0</v>
      </c>
    </row>
    <row r="358" spans="1:33" x14ac:dyDescent="0.25">
      <c r="A358" t="s">
        <v>676</v>
      </c>
      <c r="B358" t="s">
        <v>677</v>
      </c>
      <c r="C358">
        <v>166961</v>
      </c>
      <c r="D358">
        <v>166961</v>
      </c>
      <c r="E358">
        <v>10</v>
      </c>
      <c r="F358">
        <v>30</v>
      </c>
      <c r="G358">
        <v>20</v>
      </c>
      <c r="O358">
        <v>60</v>
      </c>
      <c r="S358">
        <f t="shared" si="77"/>
        <v>3.75</v>
      </c>
      <c r="T358">
        <f t="shared" si="78"/>
        <v>0</v>
      </c>
      <c r="U358">
        <f t="shared" si="76"/>
        <v>1</v>
      </c>
      <c r="V358">
        <f t="shared" si="79"/>
        <v>1</v>
      </c>
      <c r="W358">
        <f t="shared" si="80"/>
        <v>0</v>
      </c>
      <c r="X358">
        <f t="shared" si="89"/>
        <v>0</v>
      </c>
      <c r="Y358">
        <f t="shared" si="90"/>
        <v>0</v>
      </c>
      <c r="Z358">
        <f t="shared" si="81"/>
        <v>2</v>
      </c>
      <c r="AA358">
        <f t="shared" si="82"/>
        <v>7.5</v>
      </c>
      <c r="AB358">
        <f t="shared" si="83"/>
        <v>2.8571428571428572</v>
      </c>
      <c r="AC358">
        <f t="shared" si="84"/>
        <v>0</v>
      </c>
      <c r="AD358" s="1">
        <f t="shared" si="85"/>
        <v>0</v>
      </c>
      <c r="AE358">
        <f t="shared" si="86"/>
        <v>0</v>
      </c>
      <c r="AF358">
        <f t="shared" si="87"/>
        <v>0</v>
      </c>
      <c r="AG358">
        <f t="shared" si="88"/>
        <v>0</v>
      </c>
    </row>
    <row r="359" spans="1:33" x14ac:dyDescent="0.25">
      <c r="A359" t="s">
        <v>678</v>
      </c>
      <c r="B359" t="s">
        <v>679</v>
      </c>
      <c r="C359">
        <v>166709</v>
      </c>
      <c r="D359">
        <v>166709</v>
      </c>
      <c r="H359">
        <v>0</v>
      </c>
      <c r="I359">
        <v>60</v>
      </c>
      <c r="J359">
        <v>20</v>
      </c>
      <c r="K359">
        <v>10</v>
      </c>
      <c r="L359">
        <v>0</v>
      </c>
      <c r="M359">
        <v>90</v>
      </c>
      <c r="S359">
        <f t="shared" si="77"/>
        <v>0</v>
      </c>
      <c r="T359">
        <f t="shared" si="78"/>
        <v>7.5</v>
      </c>
      <c r="U359">
        <f t="shared" si="76"/>
        <v>1</v>
      </c>
      <c r="V359">
        <f t="shared" si="79"/>
        <v>0</v>
      </c>
      <c r="W359">
        <f t="shared" si="80"/>
        <v>1</v>
      </c>
      <c r="X359">
        <f t="shared" si="89"/>
        <v>0</v>
      </c>
      <c r="Y359">
        <f t="shared" si="90"/>
        <v>1</v>
      </c>
      <c r="Z359">
        <f t="shared" si="81"/>
        <v>0</v>
      </c>
      <c r="AA359">
        <f t="shared" si="82"/>
        <v>0</v>
      </c>
      <c r="AB359">
        <f t="shared" si="83"/>
        <v>0</v>
      </c>
      <c r="AC359">
        <f t="shared" si="84"/>
        <v>0</v>
      </c>
      <c r="AD359" s="1">
        <f t="shared" si="85"/>
        <v>10</v>
      </c>
      <c r="AE359">
        <f t="shared" si="86"/>
        <v>10</v>
      </c>
      <c r="AF359">
        <f t="shared" si="87"/>
        <v>10</v>
      </c>
      <c r="AG359">
        <f t="shared" si="88"/>
        <v>0</v>
      </c>
    </row>
    <row r="360" spans="1:33" x14ac:dyDescent="0.25">
      <c r="A360" t="s">
        <v>680</v>
      </c>
      <c r="B360" t="s">
        <v>681</v>
      </c>
      <c r="C360">
        <v>167491</v>
      </c>
      <c r="D360">
        <v>167491</v>
      </c>
      <c r="H360">
        <v>10</v>
      </c>
      <c r="I360">
        <v>50</v>
      </c>
      <c r="J360">
        <v>10</v>
      </c>
      <c r="K360">
        <v>0</v>
      </c>
      <c r="L360">
        <v>0</v>
      </c>
      <c r="M360">
        <v>70</v>
      </c>
      <c r="S360">
        <f t="shared" si="77"/>
        <v>0</v>
      </c>
      <c r="T360">
        <f t="shared" si="78"/>
        <v>5.833333333333333</v>
      </c>
      <c r="U360">
        <f t="shared" si="76"/>
        <v>1</v>
      </c>
      <c r="V360">
        <f t="shared" si="79"/>
        <v>0</v>
      </c>
      <c r="W360">
        <f t="shared" si="80"/>
        <v>1</v>
      </c>
      <c r="X360">
        <f t="shared" si="89"/>
        <v>0</v>
      </c>
      <c r="Y360">
        <f t="shared" si="90"/>
        <v>0</v>
      </c>
      <c r="Z360">
        <f t="shared" si="81"/>
        <v>0</v>
      </c>
      <c r="AA360">
        <f t="shared" si="82"/>
        <v>0</v>
      </c>
      <c r="AB360">
        <f t="shared" si="83"/>
        <v>0</v>
      </c>
      <c r="AC360">
        <f t="shared" si="84"/>
        <v>5</v>
      </c>
      <c r="AD360" s="1">
        <f t="shared" si="85"/>
        <v>8.3333333333333339</v>
      </c>
      <c r="AE360">
        <f t="shared" si="86"/>
        <v>5</v>
      </c>
      <c r="AF360">
        <f t="shared" si="87"/>
        <v>0</v>
      </c>
      <c r="AG360">
        <f t="shared" si="88"/>
        <v>0</v>
      </c>
    </row>
    <row r="361" spans="1:33" x14ac:dyDescent="0.25">
      <c r="A361" t="s">
        <v>682</v>
      </c>
      <c r="B361" t="s">
        <v>57</v>
      </c>
      <c r="C361">
        <v>168874</v>
      </c>
      <c r="D361">
        <v>168874</v>
      </c>
      <c r="S361">
        <f t="shared" si="77"/>
        <v>0</v>
      </c>
      <c r="T361">
        <f t="shared" si="78"/>
        <v>0</v>
      </c>
      <c r="U361">
        <f t="shared" si="76"/>
        <v>0</v>
      </c>
      <c r="V361">
        <f t="shared" si="79"/>
        <v>0</v>
      </c>
      <c r="W361">
        <f t="shared" si="80"/>
        <v>0</v>
      </c>
      <c r="X361">
        <f t="shared" si="89"/>
        <v>0</v>
      </c>
      <c r="Y361">
        <f t="shared" si="90"/>
        <v>0</v>
      </c>
      <c r="Z361">
        <f t="shared" si="81"/>
        <v>0</v>
      </c>
      <c r="AA361">
        <f t="shared" si="82"/>
        <v>0</v>
      </c>
      <c r="AB361">
        <f t="shared" si="83"/>
        <v>0</v>
      </c>
      <c r="AC361">
        <f t="shared" si="84"/>
        <v>0</v>
      </c>
      <c r="AD361" s="1">
        <f t="shared" si="85"/>
        <v>0</v>
      </c>
      <c r="AE361">
        <f t="shared" si="86"/>
        <v>0</v>
      </c>
      <c r="AF361">
        <f t="shared" si="87"/>
        <v>0</v>
      </c>
      <c r="AG361">
        <f t="shared" si="88"/>
        <v>0</v>
      </c>
    </row>
    <row r="362" spans="1:33" x14ac:dyDescent="0.25">
      <c r="A362" t="s">
        <v>683</v>
      </c>
      <c r="B362" t="s">
        <v>684</v>
      </c>
      <c r="C362">
        <v>166347</v>
      </c>
      <c r="D362">
        <v>166347</v>
      </c>
      <c r="H362">
        <v>10</v>
      </c>
      <c r="I362">
        <v>50</v>
      </c>
      <c r="J362">
        <v>20</v>
      </c>
      <c r="K362">
        <v>10</v>
      </c>
      <c r="L362">
        <v>0</v>
      </c>
      <c r="M362">
        <v>90</v>
      </c>
      <c r="S362">
        <f t="shared" si="77"/>
        <v>0</v>
      </c>
      <c r="T362">
        <f t="shared" si="78"/>
        <v>7.5</v>
      </c>
      <c r="U362">
        <f t="shared" si="76"/>
        <v>1</v>
      </c>
      <c r="V362">
        <f t="shared" si="79"/>
        <v>0</v>
      </c>
      <c r="W362">
        <f t="shared" si="80"/>
        <v>1</v>
      </c>
      <c r="X362">
        <f t="shared" si="89"/>
        <v>0</v>
      </c>
      <c r="Y362">
        <f t="shared" si="90"/>
        <v>1</v>
      </c>
      <c r="Z362">
        <f t="shared" si="81"/>
        <v>0</v>
      </c>
      <c r="AA362">
        <f t="shared" si="82"/>
        <v>0</v>
      </c>
      <c r="AB362">
        <f t="shared" si="83"/>
        <v>0</v>
      </c>
      <c r="AC362">
        <f t="shared" si="84"/>
        <v>5</v>
      </c>
      <c r="AD362" s="1">
        <f t="shared" si="85"/>
        <v>8.3333333333333339</v>
      </c>
      <c r="AE362">
        <f t="shared" si="86"/>
        <v>10</v>
      </c>
      <c r="AF362">
        <f t="shared" si="87"/>
        <v>10</v>
      </c>
      <c r="AG362">
        <f t="shared" si="88"/>
        <v>0</v>
      </c>
    </row>
    <row r="363" spans="1:33" x14ac:dyDescent="0.25">
      <c r="A363" t="s">
        <v>685</v>
      </c>
      <c r="B363" t="s">
        <v>59</v>
      </c>
      <c r="C363">
        <v>167010</v>
      </c>
      <c r="D363">
        <v>167010</v>
      </c>
      <c r="H363">
        <v>20</v>
      </c>
      <c r="I363">
        <v>60</v>
      </c>
      <c r="J363">
        <v>20</v>
      </c>
      <c r="K363">
        <v>10</v>
      </c>
      <c r="L363">
        <v>10</v>
      </c>
      <c r="M363">
        <v>120</v>
      </c>
      <c r="S363">
        <f t="shared" si="77"/>
        <v>0</v>
      </c>
      <c r="T363">
        <f t="shared" si="78"/>
        <v>10</v>
      </c>
      <c r="U363">
        <f t="shared" si="76"/>
        <v>1</v>
      </c>
      <c r="V363">
        <f t="shared" si="79"/>
        <v>0</v>
      </c>
      <c r="W363">
        <f t="shared" si="80"/>
        <v>1</v>
      </c>
      <c r="X363">
        <f t="shared" si="89"/>
        <v>0</v>
      </c>
      <c r="Y363">
        <f t="shared" si="90"/>
        <v>1</v>
      </c>
      <c r="Z363">
        <f t="shared" si="81"/>
        <v>0</v>
      </c>
      <c r="AA363">
        <f t="shared" si="82"/>
        <v>0</v>
      </c>
      <c r="AB363">
        <f t="shared" si="83"/>
        <v>0</v>
      </c>
      <c r="AC363">
        <f t="shared" si="84"/>
        <v>10</v>
      </c>
      <c r="AD363" s="1">
        <f t="shared" si="85"/>
        <v>10</v>
      </c>
      <c r="AE363">
        <f t="shared" si="86"/>
        <v>10</v>
      </c>
      <c r="AF363">
        <f t="shared" si="87"/>
        <v>10</v>
      </c>
      <c r="AG363">
        <f t="shared" si="88"/>
        <v>10</v>
      </c>
    </row>
    <row r="364" spans="1:33" x14ac:dyDescent="0.25">
      <c r="A364" t="s">
        <v>686</v>
      </c>
      <c r="B364" t="s">
        <v>687</v>
      </c>
      <c r="C364">
        <v>167686</v>
      </c>
      <c r="D364">
        <v>167686</v>
      </c>
      <c r="S364">
        <f t="shared" si="77"/>
        <v>0</v>
      </c>
      <c r="T364">
        <f t="shared" si="78"/>
        <v>0</v>
      </c>
      <c r="U364">
        <f t="shared" si="76"/>
        <v>0</v>
      </c>
      <c r="V364">
        <f t="shared" si="79"/>
        <v>0</v>
      </c>
      <c r="W364">
        <f t="shared" si="80"/>
        <v>0</v>
      </c>
      <c r="X364">
        <f t="shared" si="89"/>
        <v>0</v>
      </c>
      <c r="Y364">
        <f t="shared" si="90"/>
        <v>0</v>
      </c>
      <c r="Z364">
        <f t="shared" si="81"/>
        <v>0</v>
      </c>
      <c r="AA364">
        <f t="shared" si="82"/>
        <v>0</v>
      </c>
      <c r="AB364">
        <f t="shared" si="83"/>
        <v>0</v>
      </c>
      <c r="AC364">
        <f t="shared" si="84"/>
        <v>0</v>
      </c>
      <c r="AD364" s="1">
        <f t="shared" si="85"/>
        <v>0</v>
      </c>
      <c r="AE364">
        <f t="shared" si="86"/>
        <v>0</v>
      </c>
      <c r="AF364">
        <f t="shared" si="87"/>
        <v>0</v>
      </c>
      <c r="AG364">
        <f t="shared" si="88"/>
        <v>0</v>
      </c>
    </row>
    <row r="365" spans="1:33" x14ac:dyDescent="0.25">
      <c r="A365" t="s">
        <v>688</v>
      </c>
      <c r="B365" t="s">
        <v>689</v>
      </c>
      <c r="C365">
        <v>168814</v>
      </c>
      <c r="D365">
        <v>168814</v>
      </c>
      <c r="H365">
        <v>0</v>
      </c>
      <c r="I365">
        <v>10</v>
      </c>
      <c r="J365">
        <v>10</v>
      </c>
      <c r="K365">
        <v>0</v>
      </c>
      <c r="L365">
        <v>0</v>
      </c>
      <c r="M365">
        <v>20</v>
      </c>
      <c r="S365">
        <f t="shared" si="77"/>
        <v>0</v>
      </c>
      <c r="T365">
        <f t="shared" si="78"/>
        <v>1.6666666666666667</v>
      </c>
      <c r="U365">
        <f t="shared" si="76"/>
        <v>1</v>
      </c>
      <c r="V365">
        <f t="shared" si="79"/>
        <v>0</v>
      </c>
      <c r="W365">
        <f t="shared" si="80"/>
        <v>1</v>
      </c>
      <c r="X365">
        <f t="shared" si="89"/>
        <v>0</v>
      </c>
      <c r="Y365">
        <f t="shared" si="90"/>
        <v>0</v>
      </c>
      <c r="Z365">
        <f t="shared" si="81"/>
        <v>0</v>
      </c>
      <c r="AA365">
        <f t="shared" si="82"/>
        <v>0</v>
      </c>
      <c r="AB365">
        <f t="shared" si="83"/>
        <v>0</v>
      </c>
      <c r="AC365">
        <f t="shared" si="84"/>
        <v>0</v>
      </c>
      <c r="AD365" s="1">
        <f t="shared" si="85"/>
        <v>1.6666666666666667</v>
      </c>
      <c r="AE365">
        <f t="shared" si="86"/>
        <v>5</v>
      </c>
      <c r="AF365">
        <f t="shared" si="87"/>
        <v>0</v>
      </c>
      <c r="AG365">
        <f t="shared" si="88"/>
        <v>0</v>
      </c>
    </row>
    <row r="366" spans="1:33" x14ac:dyDescent="0.25">
      <c r="A366" t="s">
        <v>690</v>
      </c>
      <c r="B366" t="s">
        <v>691</v>
      </c>
      <c r="C366">
        <v>168854</v>
      </c>
      <c r="D366">
        <v>168854</v>
      </c>
      <c r="S366">
        <f t="shared" si="77"/>
        <v>0</v>
      </c>
      <c r="T366">
        <f t="shared" si="78"/>
        <v>0</v>
      </c>
      <c r="U366">
        <f t="shared" si="76"/>
        <v>0</v>
      </c>
      <c r="V366">
        <f t="shared" si="79"/>
        <v>0</v>
      </c>
      <c r="W366">
        <f t="shared" si="80"/>
        <v>0</v>
      </c>
      <c r="X366">
        <f t="shared" si="89"/>
        <v>0</v>
      </c>
      <c r="Y366">
        <f t="shared" si="90"/>
        <v>0</v>
      </c>
      <c r="Z366">
        <f t="shared" si="81"/>
        <v>0</v>
      </c>
      <c r="AA366">
        <f t="shared" si="82"/>
        <v>0</v>
      </c>
      <c r="AB366">
        <f t="shared" si="83"/>
        <v>0</v>
      </c>
      <c r="AC366">
        <f t="shared" si="84"/>
        <v>0</v>
      </c>
      <c r="AD366" s="1">
        <f t="shared" si="85"/>
        <v>0</v>
      </c>
      <c r="AE366">
        <f t="shared" si="86"/>
        <v>0</v>
      </c>
      <c r="AF366">
        <f t="shared" si="87"/>
        <v>0</v>
      </c>
      <c r="AG366">
        <f t="shared" si="88"/>
        <v>0</v>
      </c>
    </row>
    <row r="367" spans="1:33" x14ac:dyDescent="0.25">
      <c r="A367" t="s">
        <v>692</v>
      </c>
      <c r="B367" t="s">
        <v>693</v>
      </c>
      <c r="C367">
        <v>164382</v>
      </c>
      <c r="D367">
        <v>164382</v>
      </c>
      <c r="S367">
        <f t="shared" si="77"/>
        <v>0</v>
      </c>
      <c r="T367">
        <f t="shared" si="78"/>
        <v>0</v>
      </c>
      <c r="U367">
        <f t="shared" si="76"/>
        <v>0</v>
      </c>
      <c r="V367">
        <f t="shared" si="79"/>
        <v>0</v>
      </c>
      <c r="W367">
        <f t="shared" si="80"/>
        <v>0</v>
      </c>
      <c r="X367">
        <f t="shared" si="89"/>
        <v>0</v>
      </c>
      <c r="Y367">
        <f t="shared" si="90"/>
        <v>0</v>
      </c>
      <c r="Z367">
        <f t="shared" si="81"/>
        <v>0</v>
      </c>
      <c r="AA367">
        <f t="shared" si="82"/>
        <v>0</v>
      </c>
      <c r="AB367">
        <f t="shared" si="83"/>
        <v>0</v>
      </c>
      <c r="AC367">
        <f t="shared" si="84"/>
        <v>0</v>
      </c>
      <c r="AD367" s="1">
        <f t="shared" si="85"/>
        <v>0</v>
      </c>
      <c r="AE367">
        <f t="shared" si="86"/>
        <v>0</v>
      </c>
      <c r="AF367">
        <f t="shared" si="87"/>
        <v>0</v>
      </c>
      <c r="AG367">
        <f t="shared" si="88"/>
        <v>0</v>
      </c>
    </row>
    <row r="368" spans="1:33" x14ac:dyDescent="0.25">
      <c r="A368" t="s">
        <v>694</v>
      </c>
      <c r="B368" t="s">
        <v>695</v>
      </c>
      <c r="C368">
        <v>168400</v>
      </c>
      <c r="D368">
        <v>168400</v>
      </c>
      <c r="H368">
        <v>10</v>
      </c>
      <c r="I368">
        <v>40</v>
      </c>
      <c r="J368">
        <v>10</v>
      </c>
      <c r="K368">
        <v>0</v>
      </c>
      <c r="L368">
        <v>0</v>
      </c>
      <c r="M368">
        <v>60</v>
      </c>
      <c r="S368">
        <f t="shared" si="77"/>
        <v>0</v>
      </c>
      <c r="T368">
        <f t="shared" si="78"/>
        <v>5</v>
      </c>
      <c r="U368">
        <f t="shared" si="76"/>
        <v>1</v>
      </c>
      <c r="V368">
        <f t="shared" si="79"/>
        <v>0</v>
      </c>
      <c r="W368">
        <f t="shared" si="80"/>
        <v>1</v>
      </c>
      <c r="X368">
        <f t="shared" si="89"/>
        <v>0</v>
      </c>
      <c r="Y368">
        <f t="shared" si="90"/>
        <v>0</v>
      </c>
      <c r="Z368">
        <f t="shared" si="81"/>
        <v>0</v>
      </c>
      <c r="AA368">
        <f t="shared" si="82"/>
        <v>0</v>
      </c>
      <c r="AB368">
        <f t="shared" si="83"/>
        <v>0</v>
      </c>
      <c r="AC368">
        <f t="shared" si="84"/>
        <v>5</v>
      </c>
      <c r="AD368" s="1">
        <f t="shared" si="85"/>
        <v>6.666666666666667</v>
      </c>
      <c r="AE368">
        <f t="shared" si="86"/>
        <v>5</v>
      </c>
      <c r="AF368">
        <f t="shared" si="87"/>
        <v>0</v>
      </c>
      <c r="AG368">
        <f t="shared" si="88"/>
        <v>0</v>
      </c>
    </row>
    <row r="369" spans="1:33" x14ac:dyDescent="0.25">
      <c r="A369" t="s">
        <v>696</v>
      </c>
      <c r="B369" t="s">
        <v>697</v>
      </c>
      <c r="C369">
        <v>162295</v>
      </c>
      <c r="D369">
        <v>162295</v>
      </c>
      <c r="E369">
        <v>50</v>
      </c>
      <c r="F369">
        <v>40</v>
      </c>
      <c r="G369">
        <v>50</v>
      </c>
      <c r="O369">
        <v>140</v>
      </c>
      <c r="S369">
        <f t="shared" si="77"/>
        <v>8.75</v>
      </c>
      <c r="T369">
        <f t="shared" si="78"/>
        <v>0</v>
      </c>
      <c r="U369">
        <f t="shared" si="76"/>
        <v>1</v>
      </c>
      <c r="V369">
        <f t="shared" si="79"/>
        <v>1</v>
      </c>
      <c r="W369">
        <f t="shared" si="80"/>
        <v>0</v>
      </c>
      <c r="X369">
        <f t="shared" si="89"/>
        <v>1</v>
      </c>
      <c r="Y369">
        <f t="shared" si="90"/>
        <v>0</v>
      </c>
      <c r="Z369">
        <f t="shared" si="81"/>
        <v>10</v>
      </c>
      <c r="AA369">
        <f t="shared" si="82"/>
        <v>10</v>
      </c>
      <c r="AB369">
        <f t="shared" si="83"/>
        <v>7.1428571428571432</v>
      </c>
      <c r="AC369">
        <f t="shared" si="84"/>
        <v>0</v>
      </c>
      <c r="AD369" s="1">
        <f t="shared" si="85"/>
        <v>0</v>
      </c>
      <c r="AE369">
        <f t="shared" si="86"/>
        <v>0</v>
      </c>
      <c r="AF369">
        <f t="shared" si="87"/>
        <v>0</v>
      </c>
      <c r="AG369">
        <f t="shared" si="88"/>
        <v>0</v>
      </c>
    </row>
    <row r="370" spans="1:33" x14ac:dyDescent="0.25">
      <c r="A370" t="s">
        <v>698</v>
      </c>
      <c r="B370" t="s">
        <v>699</v>
      </c>
      <c r="C370">
        <v>167317</v>
      </c>
      <c r="D370">
        <v>167317</v>
      </c>
      <c r="H370">
        <v>10</v>
      </c>
      <c r="I370">
        <v>30</v>
      </c>
      <c r="J370">
        <v>20</v>
      </c>
      <c r="K370">
        <v>10</v>
      </c>
      <c r="L370">
        <v>0</v>
      </c>
      <c r="M370">
        <v>70</v>
      </c>
      <c r="S370">
        <f t="shared" si="77"/>
        <v>0</v>
      </c>
      <c r="T370">
        <f t="shared" si="78"/>
        <v>5.833333333333333</v>
      </c>
      <c r="U370">
        <f t="shared" si="76"/>
        <v>1</v>
      </c>
      <c r="V370">
        <f t="shared" si="79"/>
        <v>0</v>
      </c>
      <c r="W370">
        <f t="shared" si="80"/>
        <v>1</v>
      </c>
      <c r="X370">
        <f t="shared" si="89"/>
        <v>0</v>
      </c>
      <c r="Y370">
        <f t="shared" si="90"/>
        <v>0</v>
      </c>
      <c r="Z370">
        <f t="shared" si="81"/>
        <v>0</v>
      </c>
      <c r="AA370">
        <f t="shared" si="82"/>
        <v>0</v>
      </c>
      <c r="AB370">
        <f t="shared" si="83"/>
        <v>0</v>
      </c>
      <c r="AC370">
        <f t="shared" si="84"/>
        <v>5</v>
      </c>
      <c r="AD370" s="1">
        <f t="shared" si="85"/>
        <v>5</v>
      </c>
      <c r="AE370">
        <f t="shared" si="86"/>
        <v>10</v>
      </c>
      <c r="AF370">
        <f t="shared" si="87"/>
        <v>10</v>
      </c>
      <c r="AG370">
        <f t="shared" si="88"/>
        <v>0</v>
      </c>
    </row>
    <row r="371" spans="1:33" x14ac:dyDescent="0.25">
      <c r="A371" t="s">
        <v>700</v>
      </c>
      <c r="B371" t="s">
        <v>701</v>
      </c>
      <c r="C371">
        <v>166736</v>
      </c>
      <c r="D371">
        <v>166736</v>
      </c>
      <c r="S371">
        <f t="shared" si="77"/>
        <v>0</v>
      </c>
      <c r="T371">
        <f t="shared" si="78"/>
        <v>0</v>
      </c>
      <c r="U371">
        <f t="shared" si="76"/>
        <v>0</v>
      </c>
      <c r="V371">
        <f t="shared" si="79"/>
        <v>0</v>
      </c>
      <c r="W371">
        <f t="shared" si="80"/>
        <v>0</v>
      </c>
      <c r="X371">
        <f t="shared" si="89"/>
        <v>0</v>
      </c>
      <c r="Y371">
        <f t="shared" si="90"/>
        <v>0</v>
      </c>
      <c r="Z371">
        <f t="shared" si="81"/>
        <v>0</v>
      </c>
      <c r="AA371">
        <f t="shared" si="82"/>
        <v>0</v>
      </c>
      <c r="AB371">
        <f t="shared" si="83"/>
        <v>0</v>
      </c>
      <c r="AC371">
        <f t="shared" si="84"/>
        <v>0</v>
      </c>
      <c r="AD371" s="1">
        <f t="shared" si="85"/>
        <v>0</v>
      </c>
      <c r="AE371">
        <f t="shared" si="86"/>
        <v>0</v>
      </c>
      <c r="AF371">
        <f t="shared" si="87"/>
        <v>0</v>
      </c>
      <c r="AG371">
        <f t="shared" si="88"/>
        <v>0</v>
      </c>
    </row>
    <row r="372" spans="1:33" x14ac:dyDescent="0.25">
      <c r="A372" t="s">
        <v>702</v>
      </c>
      <c r="B372" t="s">
        <v>703</v>
      </c>
      <c r="C372">
        <v>167830</v>
      </c>
      <c r="D372">
        <v>167830</v>
      </c>
      <c r="E372">
        <v>30</v>
      </c>
      <c r="F372">
        <v>20</v>
      </c>
      <c r="G372">
        <v>50</v>
      </c>
      <c r="O372">
        <v>100</v>
      </c>
      <c r="S372">
        <f t="shared" si="77"/>
        <v>6.25</v>
      </c>
      <c r="T372">
        <f t="shared" si="78"/>
        <v>0</v>
      </c>
      <c r="U372">
        <f t="shared" si="76"/>
        <v>1</v>
      </c>
      <c r="V372">
        <f t="shared" si="79"/>
        <v>1</v>
      </c>
      <c r="W372">
        <f t="shared" si="80"/>
        <v>0</v>
      </c>
      <c r="X372">
        <f t="shared" si="89"/>
        <v>1</v>
      </c>
      <c r="Y372">
        <f t="shared" si="90"/>
        <v>0</v>
      </c>
      <c r="Z372">
        <f t="shared" si="81"/>
        <v>6</v>
      </c>
      <c r="AA372">
        <f t="shared" si="82"/>
        <v>5</v>
      </c>
      <c r="AB372">
        <f t="shared" si="83"/>
        <v>7.1428571428571432</v>
      </c>
      <c r="AC372">
        <f t="shared" si="84"/>
        <v>0</v>
      </c>
      <c r="AD372" s="1">
        <f t="shared" si="85"/>
        <v>0</v>
      </c>
      <c r="AE372">
        <f t="shared" si="86"/>
        <v>0</v>
      </c>
      <c r="AF372">
        <f t="shared" si="87"/>
        <v>0</v>
      </c>
      <c r="AG372">
        <f t="shared" si="88"/>
        <v>0</v>
      </c>
    </row>
    <row r="373" spans="1:33" x14ac:dyDescent="0.25">
      <c r="A373" t="s">
        <v>704</v>
      </c>
      <c r="B373" t="s">
        <v>705</v>
      </c>
      <c r="C373">
        <v>167818</v>
      </c>
      <c r="D373">
        <v>167818</v>
      </c>
      <c r="S373">
        <f t="shared" si="77"/>
        <v>0</v>
      </c>
      <c r="T373">
        <f t="shared" si="78"/>
        <v>0</v>
      </c>
      <c r="U373">
        <f t="shared" si="76"/>
        <v>0</v>
      </c>
      <c r="V373">
        <f t="shared" si="79"/>
        <v>0</v>
      </c>
      <c r="W373">
        <f t="shared" si="80"/>
        <v>0</v>
      </c>
      <c r="X373">
        <f t="shared" si="89"/>
        <v>0</v>
      </c>
      <c r="Y373">
        <f t="shared" si="90"/>
        <v>0</v>
      </c>
      <c r="Z373">
        <f t="shared" si="81"/>
        <v>0</v>
      </c>
      <c r="AA373">
        <f t="shared" si="82"/>
        <v>0</v>
      </c>
      <c r="AB373">
        <f t="shared" si="83"/>
        <v>0</v>
      </c>
      <c r="AC373">
        <f t="shared" si="84"/>
        <v>0</v>
      </c>
      <c r="AD373" s="1">
        <f t="shared" si="85"/>
        <v>0</v>
      </c>
      <c r="AE373">
        <f t="shared" si="86"/>
        <v>0</v>
      </c>
      <c r="AF373">
        <f t="shared" si="87"/>
        <v>0</v>
      </c>
      <c r="AG373">
        <f t="shared" si="88"/>
        <v>0</v>
      </c>
    </row>
    <row r="374" spans="1:33" x14ac:dyDescent="0.25">
      <c r="A374" t="s">
        <v>706</v>
      </c>
      <c r="B374" t="s">
        <v>707</v>
      </c>
      <c r="C374">
        <v>166859</v>
      </c>
      <c r="D374">
        <v>166859</v>
      </c>
      <c r="E374">
        <v>20</v>
      </c>
      <c r="F374">
        <v>20</v>
      </c>
      <c r="G374">
        <v>40</v>
      </c>
      <c r="O374">
        <v>80</v>
      </c>
      <c r="S374">
        <f t="shared" si="77"/>
        <v>5</v>
      </c>
      <c r="T374">
        <f t="shared" si="78"/>
        <v>0</v>
      </c>
      <c r="U374">
        <f t="shared" si="76"/>
        <v>1</v>
      </c>
      <c r="V374">
        <f t="shared" si="79"/>
        <v>1</v>
      </c>
      <c r="W374">
        <f t="shared" si="80"/>
        <v>0</v>
      </c>
      <c r="X374">
        <f t="shared" si="89"/>
        <v>0</v>
      </c>
      <c r="Y374">
        <f t="shared" si="90"/>
        <v>0</v>
      </c>
      <c r="Z374">
        <f t="shared" si="81"/>
        <v>4</v>
      </c>
      <c r="AA374">
        <f t="shared" si="82"/>
        <v>5</v>
      </c>
      <c r="AB374">
        <f t="shared" si="83"/>
        <v>5.7142857142857144</v>
      </c>
      <c r="AC374">
        <f t="shared" si="84"/>
        <v>0</v>
      </c>
      <c r="AD374" s="1">
        <f t="shared" si="85"/>
        <v>0</v>
      </c>
      <c r="AE374">
        <f t="shared" si="86"/>
        <v>0</v>
      </c>
      <c r="AF374">
        <f t="shared" si="87"/>
        <v>0</v>
      </c>
      <c r="AG374">
        <f t="shared" si="88"/>
        <v>0</v>
      </c>
    </row>
    <row r="375" spans="1:33" x14ac:dyDescent="0.25">
      <c r="A375" t="s">
        <v>708</v>
      </c>
      <c r="B375" t="s">
        <v>636</v>
      </c>
      <c r="C375">
        <v>156691</v>
      </c>
      <c r="D375">
        <v>156691</v>
      </c>
      <c r="E375">
        <v>30</v>
      </c>
      <c r="F375">
        <v>40</v>
      </c>
      <c r="G375">
        <v>20</v>
      </c>
      <c r="O375">
        <v>90</v>
      </c>
      <c r="S375">
        <f t="shared" si="77"/>
        <v>5.625</v>
      </c>
      <c r="T375">
        <f t="shared" si="78"/>
        <v>0</v>
      </c>
      <c r="U375">
        <f t="shared" si="76"/>
        <v>1</v>
      </c>
      <c r="V375">
        <f t="shared" si="79"/>
        <v>1</v>
      </c>
      <c r="W375">
        <f t="shared" si="80"/>
        <v>0</v>
      </c>
      <c r="X375">
        <f t="shared" si="89"/>
        <v>0</v>
      </c>
      <c r="Y375">
        <f t="shared" si="90"/>
        <v>0</v>
      </c>
      <c r="Z375">
        <f t="shared" si="81"/>
        <v>6</v>
      </c>
      <c r="AA375">
        <f t="shared" si="82"/>
        <v>10</v>
      </c>
      <c r="AB375">
        <f t="shared" si="83"/>
        <v>2.8571428571428572</v>
      </c>
      <c r="AC375">
        <f t="shared" si="84"/>
        <v>0</v>
      </c>
      <c r="AD375" s="1">
        <f t="shared" si="85"/>
        <v>0</v>
      </c>
      <c r="AE375">
        <f t="shared" si="86"/>
        <v>0</v>
      </c>
      <c r="AF375">
        <f t="shared" si="87"/>
        <v>0</v>
      </c>
      <c r="AG375">
        <f t="shared" si="88"/>
        <v>0</v>
      </c>
    </row>
    <row r="376" spans="1:33" x14ac:dyDescent="0.25">
      <c r="A376" t="s">
        <v>709</v>
      </c>
      <c r="B376" t="s">
        <v>710</v>
      </c>
      <c r="C376">
        <v>162979</v>
      </c>
      <c r="D376">
        <v>162979</v>
      </c>
      <c r="E376">
        <v>20</v>
      </c>
      <c r="F376">
        <v>40</v>
      </c>
      <c r="G376">
        <v>60</v>
      </c>
      <c r="O376">
        <v>120</v>
      </c>
      <c r="S376">
        <f t="shared" si="77"/>
        <v>7.5</v>
      </c>
      <c r="T376">
        <f t="shared" si="78"/>
        <v>0</v>
      </c>
      <c r="U376">
        <f t="shared" si="76"/>
        <v>1</v>
      </c>
      <c r="V376">
        <f t="shared" si="79"/>
        <v>1</v>
      </c>
      <c r="W376">
        <f t="shared" si="80"/>
        <v>0</v>
      </c>
      <c r="X376">
        <f t="shared" si="89"/>
        <v>1</v>
      </c>
      <c r="Y376">
        <f t="shared" si="90"/>
        <v>0</v>
      </c>
      <c r="Z376">
        <f t="shared" si="81"/>
        <v>4</v>
      </c>
      <c r="AA376">
        <f t="shared" si="82"/>
        <v>10</v>
      </c>
      <c r="AB376">
        <f t="shared" si="83"/>
        <v>8.5714285714285712</v>
      </c>
      <c r="AC376">
        <f t="shared" si="84"/>
        <v>0</v>
      </c>
      <c r="AD376" s="1">
        <f t="shared" si="85"/>
        <v>0</v>
      </c>
      <c r="AE376">
        <f t="shared" si="86"/>
        <v>0</v>
      </c>
      <c r="AF376">
        <f t="shared" si="87"/>
        <v>0</v>
      </c>
      <c r="AG376">
        <f t="shared" si="88"/>
        <v>0</v>
      </c>
    </row>
    <row r="377" spans="1:33" x14ac:dyDescent="0.25">
      <c r="A377" t="s">
        <v>711</v>
      </c>
      <c r="B377" t="s">
        <v>174</v>
      </c>
      <c r="C377">
        <v>166770</v>
      </c>
      <c r="D377">
        <v>166770</v>
      </c>
      <c r="H377">
        <v>0</v>
      </c>
      <c r="I377">
        <v>30</v>
      </c>
      <c r="J377">
        <v>10</v>
      </c>
      <c r="K377">
        <v>10</v>
      </c>
      <c r="L377">
        <v>10</v>
      </c>
      <c r="M377">
        <v>60</v>
      </c>
      <c r="S377">
        <f t="shared" si="77"/>
        <v>0</v>
      </c>
      <c r="T377">
        <f t="shared" si="78"/>
        <v>5</v>
      </c>
      <c r="U377">
        <f t="shared" si="76"/>
        <v>1</v>
      </c>
      <c r="V377">
        <f t="shared" si="79"/>
        <v>0</v>
      </c>
      <c r="W377">
        <f t="shared" si="80"/>
        <v>1</v>
      </c>
      <c r="X377">
        <f t="shared" si="89"/>
        <v>0</v>
      </c>
      <c r="Y377">
        <f t="shared" si="90"/>
        <v>0</v>
      </c>
      <c r="Z377">
        <f t="shared" si="81"/>
        <v>0</v>
      </c>
      <c r="AA377">
        <f t="shared" si="82"/>
        <v>0</v>
      </c>
      <c r="AB377">
        <f t="shared" si="83"/>
        <v>0</v>
      </c>
      <c r="AC377">
        <f t="shared" si="84"/>
        <v>0</v>
      </c>
      <c r="AD377" s="1">
        <f t="shared" si="85"/>
        <v>5</v>
      </c>
      <c r="AE377">
        <f t="shared" si="86"/>
        <v>5</v>
      </c>
      <c r="AF377">
        <f t="shared" si="87"/>
        <v>10</v>
      </c>
      <c r="AG377">
        <f t="shared" si="88"/>
        <v>10</v>
      </c>
    </row>
    <row r="378" spans="1:33" x14ac:dyDescent="0.25">
      <c r="A378" t="s">
        <v>712</v>
      </c>
      <c r="B378" t="s">
        <v>713</v>
      </c>
      <c r="C378">
        <v>165671</v>
      </c>
      <c r="D378">
        <v>165671</v>
      </c>
      <c r="E378">
        <v>10</v>
      </c>
      <c r="F378">
        <v>20</v>
      </c>
      <c r="G378">
        <v>40</v>
      </c>
      <c r="O378">
        <v>70</v>
      </c>
      <c r="S378">
        <f t="shared" si="77"/>
        <v>4.375</v>
      </c>
      <c r="T378">
        <f t="shared" si="78"/>
        <v>0</v>
      </c>
      <c r="U378">
        <f t="shared" si="76"/>
        <v>1</v>
      </c>
      <c r="V378">
        <f t="shared" si="79"/>
        <v>1</v>
      </c>
      <c r="W378">
        <f t="shared" si="80"/>
        <v>0</v>
      </c>
      <c r="X378">
        <f t="shared" si="89"/>
        <v>0</v>
      </c>
      <c r="Y378">
        <f t="shared" si="90"/>
        <v>0</v>
      </c>
      <c r="Z378">
        <f t="shared" si="81"/>
        <v>2</v>
      </c>
      <c r="AA378">
        <f t="shared" si="82"/>
        <v>5</v>
      </c>
      <c r="AB378">
        <f t="shared" si="83"/>
        <v>5.7142857142857144</v>
      </c>
      <c r="AC378">
        <f t="shared" si="84"/>
        <v>0</v>
      </c>
      <c r="AD378" s="1">
        <f t="shared" si="85"/>
        <v>0</v>
      </c>
      <c r="AE378">
        <f t="shared" si="86"/>
        <v>0</v>
      </c>
      <c r="AF378">
        <f t="shared" si="87"/>
        <v>0</v>
      </c>
      <c r="AG378">
        <f t="shared" si="88"/>
        <v>0</v>
      </c>
    </row>
    <row r="379" spans="1:33" x14ac:dyDescent="0.25">
      <c r="A379" t="s">
        <v>714</v>
      </c>
      <c r="B379" t="s">
        <v>715</v>
      </c>
      <c r="C379">
        <v>167192</v>
      </c>
      <c r="D379">
        <v>167192</v>
      </c>
      <c r="H379">
        <v>0</v>
      </c>
      <c r="I379">
        <v>30</v>
      </c>
      <c r="J379">
        <v>20</v>
      </c>
      <c r="K379">
        <v>0</v>
      </c>
      <c r="L379">
        <v>0</v>
      </c>
      <c r="M379">
        <v>50</v>
      </c>
      <c r="S379">
        <f t="shared" si="77"/>
        <v>0</v>
      </c>
      <c r="T379">
        <f t="shared" si="78"/>
        <v>4.166666666666667</v>
      </c>
      <c r="U379">
        <f t="shared" si="76"/>
        <v>1</v>
      </c>
      <c r="V379">
        <f t="shared" si="79"/>
        <v>0</v>
      </c>
      <c r="W379">
        <f t="shared" si="80"/>
        <v>1</v>
      </c>
      <c r="X379">
        <f t="shared" si="89"/>
        <v>0</v>
      </c>
      <c r="Y379">
        <f t="shared" si="90"/>
        <v>0</v>
      </c>
      <c r="Z379">
        <f t="shared" si="81"/>
        <v>0</v>
      </c>
      <c r="AA379">
        <f t="shared" si="82"/>
        <v>0</v>
      </c>
      <c r="AB379">
        <f t="shared" si="83"/>
        <v>0</v>
      </c>
      <c r="AC379">
        <f t="shared" si="84"/>
        <v>0</v>
      </c>
      <c r="AD379" s="1">
        <f t="shared" si="85"/>
        <v>5</v>
      </c>
      <c r="AE379">
        <f t="shared" si="86"/>
        <v>10</v>
      </c>
      <c r="AF379">
        <f t="shared" si="87"/>
        <v>0</v>
      </c>
      <c r="AG379">
        <f t="shared" si="88"/>
        <v>0</v>
      </c>
    </row>
    <row r="380" spans="1:33" x14ac:dyDescent="0.25">
      <c r="A380" t="s">
        <v>716</v>
      </c>
      <c r="B380" t="s">
        <v>717</v>
      </c>
      <c r="C380">
        <v>165691</v>
      </c>
      <c r="D380">
        <v>165691</v>
      </c>
      <c r="E380">
        <v>20</v>
      </c>
      <c r="F380">
        <v>20</v>
      </c>
      <c r="G380">
        <v>10</v>
      </c>
      <c r="O380">
        <v>50</v>
      </c>
      <c r="S380">
        <f t="shared" si="77"/>
        <v>3.125</v>
      </c>
      <c r="T380">
        <f t="shared" si="78"/>
        <v>0</v>
      </c>
      <c r="U380">
        <f t="shared" si="76"/>
        <v>1</v>
      </c>
      <c r="V380">
        <f t="shared" si="79"/>
        <v>1</v>
      </c>
      <c r="W380">
        <f t="shared" si="80"/>
        <v>0</v>
      </c>
      <c r="X380">
        <f t="shared" si="89"/>
        <v>0</v>
      </c>
      <c r="Y380">
        <f t="shared" si="90"/>
        <v>0</v>
      </c>
      <c r="Z380">
        <f t="shared" si="81"/>
        <v>4</v>
      </c>
      <c r="AA380">
        <f t="shared" si="82"/>
        <v>5</v>
      </c>
      <c r="AB380">
        <f t="shared" si="83"/>
        <v>1.4285714285714286</v>
      </c>
      <c r="AC380">
        <f t="shared" si="84"/>
        <v>0</v>
      </c>
      <c r="AD380" s="1">
        <f t="shared" si="85"/>
        <v>0</v>
      </c>
      <c r="AE380">
        <f t="shared" si="86"/>
        <v>0</v>
      </c>
      <c r="AF380">
        <f t="shared" si="87"/>
        <v>0</v>
      </c>
      <c r="AG380">
        <f t="shared" si="88"/>
        <v>0</v>
      </c>
    </row>
    <row r="381" spans="1:33" x14ac:dyDescent="0.25">
      <c r="A381" t="s">
        <v>718</v>
      </c>
      <c r="B381" t="s">
        <v>486</v>
      </c>
      <c r="C381">
        <v>166729</v>
      </c>
      <c r="D381">
        <v>166729</v>
      </c>
      <c r="E381">
        <v>20</v>
      </c>
      <c r="F381">
        <v>30</v>
      </c>
      <c r="G381">
        <v>10</v>
      </c>
      <c r="O381">
        <v>60</v>
      </c>
      <c r="S381">
        <f t="shared" si="77"/>
        <v>3.75</v>
      </c>
      <c r="T381">
        <f t="shared" si="78"/>
        <v>0</v>
      </c>
      <c r="U381">
        <f t="shared" si="76"/>
        <v>1</v>
      </c>
      <c r="V381">
        <f t="shared" si="79"/>
        <v>1</v>
      </c>
      <c r="W381">
        <f t="shared" si="80"/>
        <v>0</v>
      </c>
      <c r="X381">
        <f t="shared" si="89"/>
        <v>0</v>
      </c>
      <c r="Y381">
        <f t="shared" si="90"/>
        <v>0</v>
      </c>
      <c r="Z381">
        <f t="shared" si="81"/>
        <v>4</v>
      </c>
      <c r="AA381">
        <f t="shared" si="82"/>
        <v>7.5</v>
      </c>
      <c r="AB381">
        <f t="shared" si="83"/>
        <v>1.4285714285714286</v>
      </c>
      <c r="AC381">
        <f t="shared" si="84"/>
        <v>0</v>
      </c>
      <c r="AD381" s="1">
        <f t="shared" si="85"/>
        <v>0</v>
      </c>
      <c r="AE381">
        <f t="shared" si="86"/>
        <v>0</v>
      </c>
      <c r="AF381">
        <f t="shared" si="87"/>
        <v>0</v>
      </c>
      <c r="AG381">
        <f t="shared" si="88"/>
        <v>0</v>
      </c>
    </row>
    <row r="382" spans="1:33" x14ac:dyDescent="0.25">
      <c r="A382" t="s">
        <v>719</v>
      </c>
      <c r="B382" t="s">
        <v>720</v>
      </c>
      <c r="C382">
        <v>165301</v>
      </c>
      <c r="D382">
        <v>165301</v>
      </c>
      <c r="E382">
        <v>30</v>
      </c>
      <c r="F382">
        <v>20</v>
      </c>
      <c r="G382">
        <v>0</v>
      </c>
      <c r="O382">
        <v>50</v>
      </c>
      <c r="S382">
        <f t="shared" si="77"/>
        <v>3.125</v>
      </c>
      <c r="T382">
        <f t="shared" si="78"/>
        <v>0</v>
      </c>
      <c r="U382">
        <f t="shared" si="76"/>
        <v>1</v>
      </c>
      <c r="V382">
        <f t="shared" si="79"/>
        <v>1</v>
      </c>
      <c r="W382">
        <f t="shared" si="80"/>
        <v>0</v>
      </c>
      <c r="X382">
        <f t="shared" si="89"/>
        <v>0</v>
      </c>
      <c r="Y382">
        <f t="shared" si="90"/>
        <v>0</v>
      </c>
      <c r="Z382">
        <f t="shared" si="81"/>
        <v>6</v>
      </c>
      <c r="AA382">
        <f t="shared" si="82"/>
        <v>5</v>
      </c>
      <c r="AB382">
        <f t="shared" si="83"/>
        <v>0</v>
      </c>
      <c r="AC382">
        <f t="shared" si="84"/>
        <v>0</v>
      </c>
      <c r="AD382" s="1">
        <f t="shared" si="85"/>
        <v>0</v>
      </c>
      <c r="AE382">
        <f t="shared" si="86"/>
        <v>0</v>
      </c>
      <c r="AF382">
        <f t="shared" si="87"/>
        <v>0</v>
      </c>
      <c r="AG382">
        <f t="shared" si="88"/>
        <v>0</v>
      </c>
    </row>
    <row r="383" spans="1:33" x14ac:dyDescent="0.25">
      <c r="A383" t="s">
        <v>721</v>
      </c>
      <c r="B383" t="s">
        <v>722</v>
      </c>
      <c r="C383">
        <v>166760</v>
      </c>
      <c r="D383">
        <v>166760</v>
      </c>
      <c r="E383">
        <v>30</v>
      </c>
      <c r="F383">
        <v>0</v>
      </c>
      <c r="G383">
        <v>20</v>
      </c>
      <c r="O383">
        <v>50</v>
      </c>
      <c r="S383">
        <f t="shared" si="77"/>
        <v>3.125</v>
      </c>
      <c r="T383">
        <f t="shared" si="78"/>
        <v>0</v>
      </c>
      <c r="U383">
        <f t="shared" si="76"/>
        <v>1</v>
      </c>
      <c r="V383">
        <f t="shared" si="79"/>
        <v>1</v>
      </c>
      <c r="W383">
        <f t="shared" si="80"/>
        <v>0</v>
      </c>
      <c r="X383">
        <f t="shared" si="89"/>
        <v>0</v>
      </c>
      <c r="Y383">
        <f t="shared" si="90"/>
        <v>0</v>
      </c>
      <c r="Z383">
        <f t="shared" si="81"/>
        <v>6</v>
      </c>
      <c r="AA383">
        <f t="shared" si="82"/>
        <v>0</v>
      </c>
      <c r="AB383">
        <f t="shared" si="83"/>
        <v>2.8571428571428572</v>
      </c>
      <c r="AC383">
        <f t="shared" si="84"/>
        <v>0</v>
      </c>
      <c r="AD383" s="1">
        <f t="shared" si="85"/>
        <v>0</v>
      </c>
      <c r="AE383">
        <f t="shared" si="86"/>
        <v>0</v>
      </c>
      <c r="AF383">
        <f t="shared" si="87"/>
        <v>0</v>
      </c>
      <c r="AG383">
        <f t="shared" si="88"/>
        <v>0</v>
      </c>
    </row>
    <row r="384" spans="1:33" x14ac:dyDescent="0.25">
      <c r="A384" t="s">
        <v>723</v>
      </c>
      <c r="B384" t="s">
        <v>270</v>
      </c>
      <c r="C384">
        <v>166167</v>
      </c>
      <c r="D384">
        <v>166167</v>
      </c>
      <c r="S384">
        <f t="shared" si="77"/>
        <v>0</v>
      </c>
      <c r="T384">
        <f t="shared" si="78"/>
        <v>0</v>
      </c>
      <c r="U384">
        <f t="shared" si="76"/>
        <v>0</v>
      </c>
      <c r="V384">
        <f t="shared" si="79"/>
        <v>0</v>
      </c>
      <c r="W384">
        <f t="shared" si="80"/>
        <v>0</v>
      </c>
      <c r="X384">
        <f t="shared" si="89"/>
        <v>0</v>
      </c>
      <c r="Y384">
        <f t="shared" si="90"/>
        <v>0</v>
      </c>
      <c r="Z384">
        <f t="shared" si="81"/>
        <v>0</v>
      </c>
      <c r="AA384">
        <f t="shared" si="82"/>
        <v>0</v>
      </c>
      <c r="AB384">
        <f t="shared" si="83"/>
        <v>0</v>
      </c>
      <c r="AC384">
        <f t="shared" si="84"/>
        <v>0</v>
      </c>
      <c r="AD384" s="1">
        <f t="shared" si="85"/>
        <v>0</v>
      </c>
      <c r="AE384">
        <f t="shared" si="86"/>
        <v>0</v>
      </c>
      <c r="AF384">
        <f t="shared" si="87"/>
        <v>0</v>
      </c>
      <c r="AG384">
        <f t="shared" si="88"/>
        <v>0</v>
      </c>
    </row>
    <row r="385" spans="1:33" x14ac:dyDescent="0.25">
      <c r="A385" t="s">
        <v>724</v>
      </c>
      <c r="B385" t="s">
        <v>725</v>
      </c>
      <c r="C385">
        <v>164604</v>
      </c>
      <c r="D385">
        <v>164604</v>
      </c>
      <c r="S385">
        <f t="shared" si="77"/>
        <v>0</v>
      </c>
      <c r="T385">
        <f t="shared" si="78"/>
        <v>0</v>
      </c>
      <c r="U385">
        <f t="shared" si="76"/>
        <v>0</v>
      </c>
      <c r="V385">
        <f t="shared" si="79"/>
        <v>0</v>
      </c>
      <c r="W385">
        <f t="shared" si="80"/>
        <v>0</v>
      </c>
      <c r="X385">
        <f t="shared" si="89"/>
        <v>0</v>
      </c>
      <c r="Y385">
        <f t="shared" si="90"/>
        <v>0</v>
      </c>
      <c r="Z385">
        <f t="shared" si="81"/>
        <v>0</v>
      </c>
      <c r="AA385">
        <f t="shared" si="82"/>
        <v>0</v>
      </c>
      <c r="AB385">
        <f t="shared" si="83"/>
        <v>0</v>
      </c>
      <c r="AC385">
        <f t="shared" si="84"/>
        <v>0</v>
      </c>
      <c r="AD385" s="1">
        <f t="shared" si="85"/>
        <v>0</v>
      </c>
      <c r="AE385">
        <f t="shared" si="86"/>
        <v>0</v>
      </c>
      <c r="AF385">
        <f t="shared" si="87"/>
        <v>0</v>
      </c>
      <c r="AG385">
        <f t="shared" si="88"/>
        <v>0</v>
      </c>
    </row>
    <row r="386" spans="1:33" x14ac:dyDescent="0.25">
      <c r="A386" t="s">
        <v>726</v>
      </c>
      <c r="B386" t="s">
        <v>727</v>
      </c>
      <c r="C386">
        <v>167319</v>
      </c>
      <c r="D386">
        <v>167319</v>
      </c>
      <c r="H386">
        <v>20</v>
      </c>
      <c r="I386">
        <v>40</v>
      </c>
      <c r="J386">
        <v>20</v>
      </c>
      <c r="K386">
        <v>0</v>
      </c>
      <c r="L386">
        <v>0</v>
      </c>
      <c r="M386">
        <v>80</v>
      </c>
      <c r="S386">
        <f t="shared" si="77"/>
        <v>0</v>
      </c>
      <c r="T386">
        <f t="shared" si="78"/>
        <v>6.666666666666667</v>
      </c>
      <c r="U386">
        <f t="shared" ref="U386:U449" si="91">IF(AND(E386="",F386="",G386="",H386="",I386="",J386="",K386="",L386="",M386=""),0,1)</f>
        <v>1</v>
      </c>
      <c r="V386">
        <f t="shared" si="79"/>
        <v>0</v>
      </c>
      <c r="W386">
        <f t="shared" si="80"/>
        <v>1</v>
      </c>
      <c r="X386">
        <f t="shared" si="89"/>
        <v>0</v>
      </c>
      <c r="Y386">
        <f t="shared" si="90"/>
        <v>1</v>
      </c>
      <c r="Z386">
        <f t="shared" si="81"/>
        <v>0</v>
      </c>
      <c r="AA386">
        <f t="shared" si="82"/>
        <v>0</v>
      </c>
      <c r="AB386">
        <f t="shared" si="83"/>
        <v>0</v>
      </c>
      <c r="AC386">
        <f t="shared" si="84"/>
        <v>10</v>
      </c>
      <c r="AD386" s="1">
        <f t="shared" si="85"/>
        <v>6.666666666666667</v>
      </c>
      <c r="AE386">
        <f t="shared" si="86"/>
        <v>10</v>
      </c>
      <c r="AF386">
        <f t="shared" si="87"/>
        <v>0</v>
      </c>
      <c r="AG386">
        <f t="shared" si="88"/>
        <v>0</v>
      </c>
    </row>
    <row r="387" spans="1:33" x14ac:dyDescent="0.25">
      <c r="A387" t="s">
        <v>728</v>
      </c>
      <c r="B387" t="s">
        <v>729</v>
      </c>
      <c r="C387">
        <v>166330</v>
      </c>
      <c r="D387">
        <v>166330</v>
      </c>
      <c r="E387">
        <v>20</v>
      </c>
      <c r="F387">
        <v>10</v>
      </c>
      <c r="G387">
        <v>30</v>
      </c>
      <c r="O387">
        <v>60</v>
      </c>
      <c r="S387">
        <f t="shared" ref="S387:S450" si="92">O387/16</f>
        <v>3.75</v>
      </c>
      <c r="T387">
        <f t="shared" ref="T387:T450" si="93">M387/12</f>
        <v>0</v>
      </c>
      <c r="U387">
        <f t="shared" si="91"/>
        <v>1</v>
      </c>
      <c r="V387">
        <f t="shared" ref="V387:V450" si="94">IF(O387="",0,1)</f>
        <v>1</v>
      </c>
      <c r="W387">
        <f t="shared" ref="W387:W450" si="95">IF(M387="",0,1)</f>
        <v>0</v>
      </c>
      <c r="X387">
        <f t="shared" si="89"/>
        <v>0</v>
      </c>
      <c r="Y387">
        <f t="shared" si="90"/>
        <v>0</v>
      </c>
      <c r="Z387">
        <f t="shared" ref="Z387:Z450" si="96">E387/5</f>
        <v>4</v>
      </c>
      <c r="AA387">
        <f t="shared" ref="AA387:AA450" si="97">F387/4</f>
        <v>2.5</v>
      </c>
      <c r="AB387">
        <f t="shared" ref="AB387:AB450" si="98">G387/7</f>
        <v>4.2857142857142856</v>
      </c>
      <c r="AC387">
        <f t="shared" ref="AC387:AC450" si="99">H387/2</f>
        <v>0</v>
      </c>
      <c r="AD387" s="1">
        <f t="shared" ref="AD387:AD450" si="100">I387/6</f>
        <v>0</v>
      </c>
      <c r="AE387">
        <f t="shared" ref="AE387:AE450" si="101">J387/2</f>
        <v>0</v>
      </c>
      <c r="AF387">
        <f t="shared" ref="AF387:AF450" si="102">K387</f>
        <v>0</v>
      </c>
      <c r="AG387">
        <f t="shared" ref="AG387:AG450" si="103">L387</f>
        <v>0</v>
      </c>
    </row>
    <row r="388" spans="1:33" x14ac:dyDescent="0.25">
      <c r="A388" t="s">
        <v>730</v>
      </c>
      <c r="B388" t="s">
        <v>49</v>
      </c>
      <c r="C388">
        <v>167349</v>
      </c>
      <c r="D388">
        <v>167349</v>
      </c>
      <c r="H388">
        <v>10</v>
      </c>
      <c r="I388">
        <v>50</v>
      </c>
      <c r="J388">
        <v>20</v>
      </c>
      <c r="K388">
        <v>0</v>
      </c>
      <c r="L388">
        <v>10</v>
      </c>
      <c r="M388">
        <v>90</v>
      </c>
      <c r="S388">
        <f t="shared" si="92"/>
        <v>0</v>
      </c>
      <c r="T388">
        <f t="shared" si="93"/>
        <v>7.5</v>
      </c>
      <c r="U388">
        <f t="shared" si="91"/>
        <v>1</v>
      </c>
      <c r="V388">
        <f t="shared" si="94"/>
        <v>0</v>
      </c>
      <c r="W388">
        <f t="shared" si="95"/>
        <v>1</v>
      </c>
      <c r="X388">
        <f t="shared" si="89"/>
        <v>0</v>
      </c>
      <c r="Y388">
        <f t="shared" si="90"/>
        <v>1</v>
      </c>
      <c r="Z388">
        <f t="shared" si="96"/>
        <v>0</v>
      </c>
      <c r="AA388">
        <f t="shared" si="97"/>
        <v>0</v>
      </c>
      <c r="AB388">
        <f t="shared" si="98"/>
        <v>0</v>
      </c>
      <c r="AC388">
        <f t="shared" si="99"/>
        <v>5</v>
      </c>
      <c r="AD388" s="1">
        <f t="shared" si="100"/>
        <v>8.3333333333333339</v>
      </c>
      <c r="AE388">
        <f t="shared" si="101"/>
        <v>10</v>
      </c>
      <c r="AF388">
        <f t="shared" si="102"/>
        <v>0</v>
      </c>
      <c r="AG388">
        <f t="shared" si="103"/>
        <v>10</v>
      </c>
    </row>
    <row r="389" spans="1:33" x14ac:dyDescent="0.25">
      <c r="A389" t="s">
        <v>731</v>
      </c>
      <c r="B389" t="s">
        <v>286</v>
      </c>
      <c r="C389">
        <v>165738</v>
      </c>
      <c r="D389">
        <v>165738</v>
      </c>
      <c r="R389">
        <v>10</v>
      </c>
      <c r="S389">
        <f t="shared" si="92"/>
        <v>0</v>
      </c>
      <c r="T389">
        <f t="shared" si="93"/>
        <v>0</v>
      </c>
      <c r="U389">
        <f t="shared" si="91"/>
        <v>0</v>
      </c>
      <c r="V389">
        <f t="shared" si="94"/>
        <v>0</v>
      </c>
      <c r="W389">
        <f t="shared" si="95"/>
        <v>0</v>
      </c>
      <c r="X389">
        <f t="shared" ref="X389:X452" si="104">IF(AND(V389=1,S389&gt;6),1,0)</f>
        <v>0</v>
      </c>
      <c r="Y389">
        <f t="shared" ref="Y389:Y452" si="105">IF(AND(W389=1,T389&gt;6),1,0)</f>
        <v>0</v>
      </c>
      <c r="Z389">
        <f t="shared" si="96"/>
        <v>0</v>
      </c>
      <c r="AA389">
        <f t="shared" si="97"/>
        <v>0</v>
      </c>
      <c r="AB389">
        <f t="shared" si="98"/>
        <v>0</v>
      </c>
      <c r="AC389">
        <f t="shared" si="99"/>
        <v>0</v>
      </c>
      <c r="AD389" s="1">
        <f t="shared" si="100"/>
        <v>0</v>
      </c>
      <c r="AE389">
        <f t="shared" si="101"/>
        <v>0</v>
      </c>
      <c r="AF389">
        <f t="shared" si="102"/>
        <v>0</v>
      </c>
      <c r="AG389">
        <f t="shared" si="103"/>
        <v>0</v>
      </c>
    </row>
    <row r="390" spans="1:33" x14ac:dyDescent="0.25">
      <c r="A390" t="s">
        <v>732</v>
      </c>
      <c r="B390" t="s">
        <v>733</v>
      </c>
      <c r="C390">
        <v>167169</v>
      </c>
      <c r="D390">
        <v>167169</v>
      </c>
      <c r="S390">
        <f t="shared" si="92"/>
        <v>0</v>
      </c>
      <c r="T390">
        <f t="shared" si="93"/>
        <v>0</v>
      </c>
      <c r="U390">
        <f t="shared" si="91"/>
        <v>0</v>
      </c>
      <c r="V390">
        <f t="shared" si="94"/>
        <v>0</v>
      </c>
      <c r="W390">
        <f t="shared" si="95"/>
        <v>0</v>
      </c>
      <c r="X390">
        <f t="shared" si="104"/>
        <v>0</v>
      </c>
      <c r="Y390">
        <f t="shared" si="105"/>
        <v>0</v>
      </c>
      <c r="Z390">
        <f t="shared" si="96"/>
        <v>0</v>
      </c>
      <c r="AA390">
        <f t="shared" si="97"/>
        <v>0</v>
      </c>
      <c r="AB390">
        <f t="shared" si="98"/>
        <v>0</v>
      </c>
      <c r="AC390">
        <f t="shared" si="99"/>
        <v>0</v>
      </c>
      <c r="AD390" s="1">
        <f t="shared" si="100"/>
        <v>0</v>
      </c>
      <c r="AE390">
        <f t="shared" si="101"/>
        <v>0</v>
      </c>
      <c r="AF390">
        <f t="shared" si="102"/>
        <v>0</v>
      </c>
      <c r="AG390">
        <f t="shared" si="103"/>
        <v>0</v>
      </c>
    </row>
    <row r="391" spans="1:33" x14ac:dyDescent="0.25">
      <c r="A391" t="s">
        <v>734</v>
      </c>
      <c r="B391" t="s">
        <v>735</v>
      </c>
      <c r="C391">
        <v>167582</v>
      </c>
      <c r="D391">
        <v>167582</v>
      </c>
      <c r="H391">
        <v>20</v>
      </c>
      <c r="I391">
        <v>50</v>
      </c>
      <c r="J391">
        <v>10</v>
      </c>
      <c r="K391">
        <v>10</v>
      </c>
      <c r="L391">
        <v>0</v>
      </c>
      <c r="M391">
        <v>90</v>
      </c>
      <c r="S391">
        <f t="shared" si="92"/>
        <v>0</v>
      </c>
      <c r="T391">
        <f t="shared" si="93"/>
        <v>7.5</v>
      </c>
      <c r="U391">
        <f t="shared" si="91"/>
        <v>1</v>
      </c>
      <c r="V391">
        <f t="shared" si="94"/>
        <v>0</v>
      </c>
      <c r="W391">
        <f t="shared" si="95"/>
        <v>1</v>
      </c>
      <c r="X391">
        <f t="shared" si="104"/>
        <v>0</v>
      </c>
      <c r="Y391">
        <f t="shared" si="105"/>
        <v>1</v>
      </c>
      <c r="Z391">
        <f t="shared" si="96"/>
        <v>0</v>
      </c>
      <c r="AA391">
        <f t="shared" si="97"/>
        <v>0</v>
      </c>
      <c r="AB391">
        <f t="shared" si="98"/>
        <v>0</v>
      </c>
      <c r="AC391">
        <f t="shared" si="99"/>
        <v>10</v>
      </c>
      <c r="AD391" s="1">
        <f t="shared" si="100"/>
        <v>8.3333333333333339</v>
      </c>
      <c r="AE391">
        <f t="shared" si="101"/>
        <v>5</v>
      </c>
      <c r="AF391">
        <f t="shared" si="102"/>
        <v>10</v>
      </c>
      <c r="AG391">
        <f t="shared" si="103"/>
        <v>0</v>
      </c>
    </row>
    <row r="392" spans="1:33" x14ac:dyDescent="0.25">
      <c r="A392" t="s">
        <v>736</v>
      </c>
      <c r="B392" t="s">
        <v>737</v>
      </c>
      <c r="C392">
        <v>167831</v>
      </c>
      <c r="D392">
        <v>167831</v>
      </c>
      <c r="H392">
        <v>10</v>
      </c>
      <c r="I392">
        <v>50</v>
      </c>
      <c r="J392">
        <v>10</v>
      </c>
      <c r="K392">
        <v>0</v>
      </c>
      <c r="L392">
        <v>10</v>
      </c>
      <c r="M392">
        <v>80</v>
      </c>
      <c r="S392">
        <f t="shared" si="92"/>
        <v>0</v>
      </c>
      <c r="T392">
        <f t="shared" si="93"/>
        <v>6.666666666666667</v>
      </c>
      <c r="U392">
        <f t="shared" si="91"/>
        <v>1</v>
      </c>
      <c r="V392">
        <f t="shared" si="94"/>
        <v>0</v>
      </c>
      <c r="W392">
        <f t="shared" si="95"/>
        <v>1</v>
      </c>
      <c r="X392">
        <f t="shared" si="104"/>
        <v>0</v>
      </c>
      <c r="Y392">
        <f t="shared" si="105"/>
        <v>1</v>
      </c>
      <c r="Z392">
        <f t="shared" si="96"/>
        <v>0</v>
      </c>
      <c r="AA392">
        <f t="shared" si="97"/>
        <v>0</v>
      </c>
      <c r="AB392">
        <f t="shared" si="98"/>
        <v>0</v>
      </c>
      <c r="AC392">
        <f t="shared" si="99"/>
        <v>5</v>
      </c>
      <c r="AD392" s="1">
        <f t="shared" si="100"/>
        <v>8.3333333333333339</v>
      </c>
      <c r="AE392">
        <f t="shared" si="101"/>
        <v>5</v>
      </c>
      <c r="AF392">
        <f t="shared" si="102"/>
        <v>0</v>
      </c>
      <c r="AG392">
        <f t="shared" si="103"/>
        <v>10</v>
      </c>
    </row>
    <row r="393" spans="1:33" x14ac:dyDescent="0.25">
      <c r="A393" t="s">
        <v>738</v>
      </c>
      <c r="B393" t="s">
        <v>739</v>
      </c>
      <c r="C393">
        <v>167067</v>
      </c>
      <c r="D393">
        <v>167067</v>
      </c>
      <c r="S393">
        <f t="shared" si="92"/>
        <v>0</v>
      </c>
      <c r="T393">
        <f t="shared" si="93"/>
        <v>0</v>
      </c>
      <c r="U393">
        <f t="shared" si="91"/>
        <v>0</v>
      </c>
      <c r="V393">
        <f t="shared" si="94"/>
        <v>0</v>
      </c>
      <c r="W393">
        <f t="shared" si="95"/>
        <v>0</v>
      </c>
      <c r="X393">
        <f t="shared" si="104"/>
        <v>0</v>
      </c>
      <c r="Y393">
        <f t="shared" si="105"/>
        <v>0</v>
      </c>
      <c r="Z393">
        <f t="shared" si="96"/>
        <v>0</v>
      </c>
      <c r="AA393">
        <f t="shared" si="97"/>
        <v>0</v>
      </c>
      <c r="AB393">
        <f t="shared" si="98"/>
        <v>0</v>
      </c>
      <c r="AC393">
        <f t="shared" si="99"/>
        <v>0</v>
      </c>
      <c r="AD393" s="1">
        <f t="shared" si="100"/>
        <v>0</v>
      </c>
      <c r="AE393">
        <f t="shared" si="101"/>
        <v>0</v>
      </c>
      <c r="AF393">
        <f t="shared" si="102"/>
        <v>0</v>
      </c>
      <c r="AG393">
        <f t="shared" si="103"/>
        <v>0</v>
      </c>
    </row>
    <row r="394" spans="1:33" x14ac:dyDescent="0.25">
      <c r="A394" t="s">
        <v>740</v>
      </c>
      <c r="B394" t="s">
        <v>741</v>
      </c>
      <c r="C394">
        <v>166993</v>
      </c>
      <c r="D394">
        <v>166993</v>
      </c>
      <c r="H394">
        <v>10</v>
      </c>
      <c r="I394">
        <v>20</v>
      </c>
      <c r="J394">
        <v>20</v>
      </c>
      <c r="K394">
        <v>10</v>
      </c>
      <c r="L394">
        <v>0</v>
      </c>
      <c r="M394">
        <v>60</v>
      </c>
      <c r="S394">
        <f t="shared" si="92"/>
        <v>0</v>
      </c>
      <c r="T394">
        <f t="shared" si="93"/>
        <v>5</v>
      </c>
      <c r="U394">
        <f t="shared" si="91"/>
        <v>1</v>
      </c>
      <c r="V394">
        <f t="shared" si="94"/>
        <v>0</v>
      </c>
      <c r="W394">
        <f t="shared" si="95"/>
        <v>1</v>
      </c>
      <c r="X394">
        <f t="shared" si="104"/>
        <v>0</v>
      </c>
      <c r="Y394">
        <f t="shared" si="105"/>
        <v>0</v>
      </c>
      <c r="Z394">
        <f t="shared" si="96"/>
        <v>0</v>
      </c>
      <c r="AA394">
        <f t="shared" si="97"/>
        <v>0</v>
      </c>
      <c r="AB394">
        <f t="shared" si="98"/>
        <v>0</v>
      </c>
      <c r="AC394">
        <f t="shared" si="99"/>
        <v>5</v>
      </c>
      <c r="AD394" s="1">
        <f t="shared" si="100"/>
        <v>3.3333333333333335</v>
      </c>
      <c r="AE394">
        <f t="shared" si="101"/>
        <v>10</v>
      </c>
      <c r="AF394">
        <f t="shared" si="102"/>
        <v>10</v>
      </c>
      <c r="AG394">
        <f t="shared" si="103"/>
        <v>0</v>
      </c>
    </row>
    <row r="395" spans="1:33" x14ac:dyDescent="0.25">
      <c r="A395" t="s">
        <v>742</v>
      </c>
      <c r="B395" t="s">
        <v>130</v>
      </c>
      <c r="C395">
        <v>168865</v>
      </c>
      <c r="D395">
        <v>168865</v>
      </c>
      <c r="E395">
        <v>40</v>
      </c>
      <c r="F395">
        <v>20</v>
      </c>
      <c r="G395">
        <v>50</v>
      </c>
      <c r="O395">
        <v>110</v>
      </c>
      <c r="S395">
        <f t="shared" si="92"/>
        <v>6.875</v>
      </c>
      <c r="T395">
        <f t="shared" si="93"/>
        <v>0</v>
      </c>
      <c r="U395">
        <f t="shared" si="91"/>
        <v>1</v>
      </c>
      <c r="V395">
        <f t="shared" si="94"/>
        <v>1</v>
      </c>
      <c r="W395">
        <f t="shared" si="95"/>
        <v>0</v>
      </c>
      <c r="X395">
        <f t="shared" si="104"/>
        <v>1</v>
      </c>
      <c r="Y395">
        <f t="shared" si="105"/>
        <v>0</v>
      </c>
      <c r="Z395">
        <f t="shared" si="96"/>
        <v>8</v>
      </c>
      <c r="AA395">
        <f t="shared" si="97"/>
        <v>5</v>
      </c>
      <c r="AB395">
        <f t="shared" si="98"/>
        <v>7.1428571428571432</v>
      </c>
      <c r="AC395">
        <f t="shared" si="99"/>
        <v>0</v>
      </c>
      <c r="AD395" s="1">
        <f t="shared" si="100"/>
        <v>0</v>
      </c>
      <c r="AE395">
        <f t="shared" si="101"/>
        <v>0</v>
      </c>
      <c r="AF395">
        <f t="shared" si="102"/>
        <v>0</v>
      </c>
      <c r="AG395">
        <f t="shared" si="103"/>
        <v>0</v>
      </c>
    </row>
    <row r="396" spans="1:33" x14ac:dyDescent="0.25">
      <c r="A396" t="s">
        <v>743</v>
      </c>
      <c r="B396" t="s">
        <v>744</v>
      </c>
      <c r="C396">
        <v>168140</v>
      </c>
      <c r="D396">
        <v>168140</v>
      </c>
      <c r="S396">
        <f t="shared" si="92"/>
        <v>0</v>
      </c>
      <c r="T396">
        <f t="shared" si="93"/>
        <v>0</v>
      </c>
      <c r="U396">
        <f t="shared" si="91"/>
        <v>0</v>
      </c>
      <c r="V396">
        <f t="shared" si="94"/>
        <v>0</v>
      </c>
      <c r="W396">
        <f t="shared" si="95"/>
        <v>0</v>
      </c>
      <c r="X396">
        <f t="shared" si="104"/>
        <v>0</v>
      </c>
      <c r="Y396">
        <f t="shared" si="105"/>
        <v>0</v>
      </c>
      <c r="Z396">
        <f t="shared" si="96"/>
        <v>0</v>
      </c>
      <c r="AA396">
        <f t="shared" si="97"/>
        <v>0</v>
      </c>
      <c r="AB396">
        <f t="shared" si="98"/>
        <v>0</v>
      </c>
      <c r="AC396">
        <f t="shared" si="99"/>
        <v>0</v>
      </c>
      <c r="AD396" s="1">
        <f t="shared" si="100"/>
        <v>0</v>
      </c>
      <c r="AE396">
        <f t="shared" si="101"/>
        <v>0</v>
      </c>
      <c r="AF396">
        <f t="shared" si="102"/>
        <v>0</v>
      </c>
      <c r="AG396">
        <f t="shared" si="103"/>
        <v>0</v>
      </c>
    </row>
    <row r="397" spans="1:33" x14ac:dyDescent="0.25">
      <c r="A397" t="s">
        <v>745</v>
      </c>
      <c r="B397" t="s">
        <v>746</v>
      </c>
      <c r="C397">
        <v>168739</v>
      </c>
      <c r="D397">
        <v>168739</v>
      </c>
      <c r="S397">
        <f t="shared" si="92"/>
        <v>0</v>
      </c>
      <c r="T397">
        <f t="shared" si="93"/>
        <v>0</v>
      </c>
      <c r="U397">
        <f t="shared" si="91"/>
        <v>0</v>
      </c>
      <c r="V397">
        <f t="shared" si="94"/>
        <v>0</v>
      </c>
      <c r="W397">
        <f t="shared" si="95"/>
        <v>0</v>
      </c>
      <c r="X397">
        <f t="shared" si="104"/>
        <v>0</v>
      </c>
      <c r="Y397">
        <f t="shared" si="105"/>
        <v>0</v>
      </c>
      <c r="Z397">
        <f t="shared" si="96"/>
        <v>0</v>
      </c>
      <c r="AA397">
        <f t="shared" si="97"/>
        <v>0</v>
      </c>
      <c r="AB397">
        <f t="shared" si="98"/>
        <v>0</v>
      </c>
      <c r="AC397">
        <f t="shared" si="99"/>
        <v>0</v>
      </c>
      <c r="AD397" s="1">
        <f t="shared" si="100"/>
        <v>0</v>
      </c>
      <c r="AE397">
        <f t="shared" si="101"/>
        <v>0</v>
      </c>
      <c r="AF397">
        <f t="shared" si="102"/>
        <v>0</v>
      </c>
      <c r="AG397">
        <f t="shared" si="103"/>
        <v>0</v>
      </c>
    </row>
    <row r="398" spans="1:33" x14ac:dyDescent="0.25">
      <c r="A398" t="s">
        <v>747</v>
      </c>
      <c r="B398" t="s">
        <v>748</v>
      </c>
      <c r="C398">
        <v>166895</v>
      </c>
      <c r="D398">
        <v>166895</v>
      </c>
      <c r="E398">
        <v>10</v>
      </c>
      <c r="F398">
        <v>30</v>
      </c>
      <c r="G398">
        <v>30</v>
      </c>
      <c r="O398">
        <v>70</v>
      </c>
      <c r="S398">
        <f t="shared" si="92"/>
        <v>4.375</v>
      </c>
      <c r="T398">
        <f t="shared" si="93"/>
        <v>0</v>
      </c>
      <c r="U398">
        <f t="shared" si="91"/>
        <v>1</v>
      </c>
      <c r="V398">
        <f t="shared" si="94"/>
        <v>1</v>
      </c>
      <c r="W398">
        <f t="shared" si="95"/>
        <v>0</v>
      </c>
      <c r="X398">
        <f t="shared" si="104"/>
        <v>0</v>
      </c>
      <c r="Y398">
        <f t="shared" si="105"/>
        <v>0</v>
      </c>
      <c r="Z398">
        <f t="shared" si="96"/>
        <v>2</v>
      </c>
      <c r="AA398">
        <f t="shared" si="97"/>
        <v>7.5</v>
      </c>
      <c r="AB398">
        <f t="shared" si="98"/>
        <v>4.2857142857142856</v>
      </c>
      <c r="AC398">
        <f t="shared" si="99"/>
        <v>0</v>
      </c>
      <c r="AD398" s="1">
        <f t="shared" si="100"/>
        <v>0</v>
      </c>
      <c r="AE398">
        <f t="shared" si="101"/>
        <v>0</v>
      </c>
      <c r="AF398">
        <f t="shared" si="102"/>
        <v>0</v>
      </c>
      <c r="AG398">
        <f t="shared" si="103"/>
        <v>0</v>
      </c>
    </row>
    <row r="399" spans="1:33" x14ac:dyDescent="0.25">
      <c r="A399" t="s">
        <v>749</v>
      </c>
      <c r="B399" t="s">
        <v>750</v>
      </c>
      <c r="C399">
        <v>167652</v>
      </c>
      <c r="D399">
        <v>167652</v>
      </c>
      <c r="H399">
        <v>20</v>
      </c>
      <c r="I399">
        <v>40</v>
      </c>
      <c r="J399">
        <v>10</v>
      </c>
      <c r="K399">
        <v>10</v>
      </c>
      <c r="L399">
        <v>10</v>
      </c>
      <c r="M399">
        <v>90</v>
      </c>
      <c r="S399">
        <f t="shared" si="92"/>
        <v>0</v>
      </c>
      <c r="T399">
        <f t="shared" si="93"/>
        <v>7.5</v>
      </c>
      <c r="U399">
        <f t="shared" si="91"/>
        <v>1</v>
      </c>
      <c r="V399">
        <f t="shared" si="94"/>
        <v>0</v>
      </c>
      <c r="W399">
        <f t="shared" si="95"/>
        <v>1</v>
      </c>
      <c r="X399">
        <f t="shared" si="104"/>
        <v>0</v>
      </c>
      <c r="Y399">
        <f t="shared" si="105"/>
        <v>1</v>
      </c>
      <c r="Z399">
        <f t="shared" si="96"/>
        <v>0</v>
      </c>
      <c r="AA399">
        <f t="shared" si="97"/>
        <v>0</v>
      </c>
      <c r="AB399">
        <f t="shared" si="98"/>
        <v>0</v>
      </c>
      <c r="AC399">
        <f t="shared" si="99"/>
        <v>10</v>
      </c>
      <c r="AD399" s="1">
        <f t="shared" si="100"/>
        <v>6.666666666666667</v>
      </c>
      <c r="AE399">
        <f t="shared" si="101"/>
        <v>5</v>
      </c>
      <c r="AF399">
        <f t="shared" si="102"/>
        <v>10</v>
      </c>
      <c r="AG399">
        <f t="shared" si="103"/>
        <v>10</v>
      </c>
    </row>
    <row r="400" spans="1:33" x14ac:dyDescent="0.25">
      <c r="A400" t="s">
        <v>751</v>
      </c>
      <c r="B400" t="s">
        <v>508</v>
      </c>
      <c r="C400">
        <v>162763</v>
      </c>
      <c r="D400">
        <v>162763</v>
      </c>
      <c r="E400">
        <v>20</v>
      </c>
      <c r="F400">
        <v>0</v>
      </c>
      <c r="G400">
        <v>10</v>
      </c>
      <c r="O400">
        <v>30</v>
      </c>
      <c r="S400">
        <f t="shared" si="92"/>
        <v>1.875</v>
      </c>
      <c r="T400">
        <f t="shared" si="93"/>
        <v>0</v>
      </c>
      <c r="U400">
        <f t="shared" si="91"/>
        <v>1</v>
      </c>
      <c r="V400">
        <f t="shared" si="94"/>
        <v>1</v>
      </c>
      <c r="W400">
        <f t="shared" si="95"/>
        <v>0</v>
      </c>
      <c r="X400">
        <f t="shared" si="104"/>
        <v>0</v>
      </c>
      <c r="Y400">
        <f t="shared" si="105"/>
        <v>0</v>
      </c>
      <c r="Z400">
        <f t="shared" si="96"/>
        <v>4</v>
      </c>
      <c r="AA400">
        <f t="shared" si="97"/>
        <v>0</v>
      </c>
      <c r="AB400">
        <f t="shared" si="98"/>
        <v>1.4285714285714286</v>
      </c>
      <c r="AC400">
        <f t="shared" si="99"/>
        <v>0</v>
      </c>
      <c r="AD400" s="1">
        <f t="shared" si="100"/>
        <v>0</v>
      </c>
      <c r="AE400">
        <f t="shared" si="101"/>
        <v>0</v>
      </c>
      <c r="AF400">
        <f t="shared" si="102"/>
        <v>0</v>
      </c>
      <c r="AG400">
        <f t="shared" si="103"/>
        <v>0</v>
      </c>
    </row>
    <row r="401" spans="1:33" x14ac:dyDescent="0.25">
      <c r="A401" t="s">
        <v>752</v>
      </c>
      <c r="B401" t="s">
        <v>753</v>
      </c>
      <c r="C401">
        <v>166713</v>
      </c>
      <c r="D401">
        <v>166713</v>
      </c>
      <c r="H401">
        <v>10</v>
      </c>
      <c r="I401">
        <v>40</v>
      </c>
      <c r="J401">
        <v>10</v>
      </c>
      <c r="K401">
        <v>0</v>
      </c>
      <c r="L401">
        <v>0</v>
      </c>
      <c r="M401">
        <v>60</v>
      </c>
      <c r="S401">
        <f t="shared" si="92"/>
        <v>0</v>
      </c>
      <c r="T401">
        <f t="shared" si="93"/>
        <v>5</v>
      </c>
      <c r="U401">
        <f t="shared" si="91"/>
        <v>1</v>
      </c>
      <c r="V401">
        <f t="shared" si="94"/>
        <v>0</v>
      </c>
      <c r="W401">
        <f t="shared" si="95"/>
        <v>1</v>
      </c>
      <c r="X401">
        <f t="shared" si="104"/>
        <v>0</v>
      </c>
      <c r="Y401">
        <f t="shared" si="105"/>
        <v>0</v>
      </c>
      <c r="Z401">
        <f t="shared" si="96"/>
        <v>0</v>
      </c>
      <c r="AA401">
        <f t="shared" si="97"/>
        <v>0</v>
      </c>
      <c r="AB401">
        <f t="shared" si="98"/>
        <v>0</v>
      </c>
      <c r="AC401">
        <f t="shared" si="99"/>
        <v>5</v>
      </c>
      <c r="AD401" s="1">
        <f t="shared" si="100"/>
        <v>6.666666666666667</v>
      </c>
      <c r="AE401">
        <f t="shared" si="101"/>
        <v>5</v>
      </c>
      <c r="AF401">
        <f t="shared" si="102"/>
        <v>0</v>
      </c>
      <c r="AG401">
        <f t="shared" si="103"/>
        <v>0</v>
      </c>
    </row>
    <row r="402" spans="1:33" x14ac:dyDescent="0.25">
      <c r="A402" t="s">
        <v>754</v>
      </c>
      <c r="B402" t="s">
        <v>755</v>
      </c>
      <c r="C402">
        <v>168877</v>
      </c>
      <c r="D402">
        <v>168877</v>
      </c>
      <c r="H402">
        <v>10</v>
      </c>
      <c r="I402">
        <v>0</v>
      </c>
      <c r="J402">
        <v>0</v>
      </c>
      <c r="M402">
        <v>10</v>
      </c>
      <c r="S402">
        <f t="shared" si="92"/>
        <v>0</v>
      </c>
      <c r="T402">
        <f t="shared" si="93"/>
        <v>0.83333333333333337</v>
      </c>
      <c r="U402">
        <f t="shared" si="91"/>
        <v>1</v>
      </c>
      <c r="V402">
        <f t="shared" si="94"/>
        <v>0</v>
      </c>
      <c r="W402">
        <f t="shared" si="95"/>
        <v>1</v>
      </c>
      <c r="X402">
        <f t="shared" si="104"/>
        <v>0</v>
      </c>
      <c r="Y402">
        <f t="shared" si="105"/>
        <v>0</v>
      </c>
      <c r="Z402">
        <f t="shared" si="96"/>
        <v>0</v>
      </c>
      <c r="AA402">
        <f t="shared" si="97"/>
        <v>0</v>
      </c>
      <c r="AB402">
        <f t="shared" si="98"/>
        <v>0</v>
      </c>
      <c r="AC402">
        <f t="shared" si="99"/>
        <v>5</v>
      </c>
      <c r="AD402" s="1">
        <f t="shared" si="100"/>
        <v>0</v>
      </c>
      <c r="AE402">
        <f t="shared" si="101"/>
        <v>0</v>
      </c>
      <c r="AF402">
        <f t="shared" si="102"/>
        <v>0</v>
      </c>
      <c r="AG402">
        <f t="shared" si="103"/>
        <v>0</v>
      </c>
    </row>
    <row r="403" spans="1:33" x14ac:dyDescent="0.25">
      <c r="A403" t="s">
        <v>756</v>
      </c>
      <c r="B403" t="s">
        <v>757</v>
      </c>
      <c r="C403">
        <v>168444</v>
      </c>
      <c r="D403">
        <v>168444</v>
      </c>
      <c r="E403">
        <v>40</v>
      </c>
      <c r="F403">
        <v>20</v>
      </c>
      <c r="G403">
        <v>40</v>
      </c>
      <c r="O403">
        <v>100</v>
      </c>
      <c r="S403">
        <f t="shared" si="92"/>
        <v>6.25</v>
      </c>
      <c r="T403">
        <f t="shared" si="93"/>
        <v>0</v>
      </c>
      <c r="U403">
        <f t="shared" si="91"/>
        <v>1</v>
      </c>
      <c r="V403">
        <f t="shared" si="94"/>
        <v>1</v>
      </c>
      <c r="W403">
        <f t="shared" si="95"/>
        <v>0</v>
      </c>
      <c r="X403">
        <f t="shared" si="104"/>
        <v>1</v>
      </c>
      <c r="Y403">
        <f t="shared" si="105"/>
        <v>0</v>
      </c>
      <c r="Z403">
        <f t="shared" si="96"/>
        <v>8</v>
      </c>
      <c r="AA403">
        <f t="shared" si="97"/>
        <v>5</v>
      </c>
      <c r="AB403">
        <f t="shared" si="98"/>
        <v>5.7142857142857144</v>
      </c>
      <c r="AC403">
        <f t="shared" si="99"/>
        <v>0</v>
      </c>
      <c r="AD403" s="1">
        <f t="shared" si="100"/>
        <v>0</v>
      </c>
      <c r="AE403">
        <f t="shared" si="101"/>
        <v>0</v>
      </c>
      <c r="AF403">
        <f t="shared" si="102"/>
        <v>0</v>
      </c>
      <c r="AG403">
        <f t="shared" si="103"/>
        <v>0</v>
      </c>
    </row>
    <row r="404" spans="1:33" x14ac:dyDescent="0.25">
      <c r="A404" t="s">
        <v>758</v>
      </c>
      <c r="B404" t="s">
        <v>759</v>
      </c>
      <c r="C404">
        <v>167135</v>
      </c>
      <c r="D404">
        <v>167135</v>
      </c>
      <c r="E404">
        <v>20</v>
      </c>
      <c r="F404">
        <v>30</v>
      </c>
      <c r="G404">
        <v>40</v>
      </c>
      <c r="O404">
        <v>90</v>
      </c>
      <c r="S404">
        <f t="shared" si="92"/>
        <v>5.625</v>
      </c>
      <c r="T404">
        <f t="shared" si="93"/>
        <v>0</v>
      </c>
      <c r="U404">
        <f t="shared" si="91"/>
        <v>1</v>
      </c>
      <c r="V404">
        <f t="shared" si="94"/>
        <v>1</v>
      </c>
      <c r="W404">
        <f t="shared" si="95"/>
        <v>0</v>
      </c>
      <c r="X404">
        <f t="shared" si="104"/>
        <v>0</v>
      </c>
      <c r="Y404">
        <f t="shared" si="105"/>
        <v>0</v>
      </c>
      <c r="Z404">
        <f t="shared" si="96"/>
        <v>4</v>
      </c>
      <c r="AA404">
        <f t="shared" si="97"/>
        <v>7.5</v>
      </c>
      <c r="AB404">
        <f t="shared" si="98"/>
        <v>5.7142857142857144</v>
      </c>
      <c r="AC404">
        <f t="shared" si="99"/>
        <v>0</v>
      </c>
      <c r="AD404" s="1">
        <f t="shared" si="100"/>
        <v>0</v>
      </c>
      <c r="AE404">
        <f t="shared" si="101"/>
        <v>0</v>
      </c>
      <c r="AF404">
        <f t="shared" si="102"/>
        <v>0</v>
      </c>
      <c r="AG404">
        <f t="shared" si="103"/>
        <v>0</v>
      </c>
    </row>
    <row r="405" spans="1:33" x14ac:dyDescent="0.25">
      <c r="A405" t="s">
        <v>760</v>
      </c>
      <c r="B405" t="s">
        <v>761</v>
      </c>
      <c r="C405">
        <v>168148</v>
      </c>
      <c r="D405">
        <v>168148</v>
      </c>
      <c r="H405">
        <v>0</v>
      </c>
      <c r="J405">
        <v>10</v>
      </c>
      <c r="M405">
        <v>10</v>
      </c>
      <c r="S405">
        <f t="shared" si="92"/>
        <v>0</v>
      </c>
      <c r="T405">
        <f t="shared" si="93"/>
        <v>0.83333333333333337</v>
      </c>
      <c r="U405">
        <f t="shared" si="91"/>
        <v>1</v>
      </c>
      <c r="V405">
        <f t="shared" si="94"/>
        <v>0</v>
      </c>
      <c r="W405">
        <f t="shared" si="95"/>
        <v>1</v>
      </c>
      <c r="X405">
        <f t="shared" si="104"/>
        <v>0</v>
      </c>
      <c r="Y405">
        <f t="shared" si="105"/>
        <v>0</v>
      </c>
      <c r="Z405">
        <f t="shared" si="96"/>
        <v>0</v>
      </c>
      <c r="AA405">
        <f t="shared" si="97"/>
        <v>0</v>
      </c>
      <c r="AB405">
        <f t="shared" si="98"/>
        <v>0</v>
      </c>
      <c r="AC405">
        <f t="shared" si="99"/>
        <v>0</v>
      </c>
      <c r="AD405" s="1">
        <f t="shared" si="100"/>
        <v>0</v>
      </c>
      <c r="AE405">
        <f t="shared" si="101"/>
        <v>5</v>
      </c>
      <c r="AF405">
        <f t="shared" si="102"/>
        <v>0</v>
      </c>
      <c r="AG405">
        <f t="shared" si="103"/>
        <v>0</v>
      </c>
    </row>
    <row r="406" spans="1:33" x14ac:dyDescent="0.25">
      <c r="A406" t="s">
        <v>762</v>
      </c>
      <c r="B406" t="s">
        <v>650</v>
      </c>
      <c r="C406">
        <v>165852</v>
      </c>
      <c r="D406">
        <v>165852</v>
      </c>
      <c r="S406">
        <f t="shared" si="92"/>
        <v>0</v>
      </c>
      <c r="T406">
        <f t="shared" si="93"/>
        <v>0</v>
      </c>
      <c r="U406">
        <f t="shared" si="91"/>
        <v>0</v>
      </c>
      <c r="V406">
        <f t="shared" si="94"/>
        <v>0</v>
      </c>
      <c r="W406">
        <f t="shared" si="95"/>
        <v>0</v>
      </c>
      <c r="X406">
        <f t="shared" si="104"/>
        <v>0</v>
      </c>
      <c r="Y406">
        <f t="shared" si="105"/>
        <v>0</v>
      </c>
      <c r="Z406">
        <f t="shared" si="96"/>
        <v>0</v>
      </c>
      <c r="AA406">
        <f t="shared" si="97"/>
        <v>0</v>
      </c>
      <c r="AB406">
        <f t="shared" si="98"/>
        <v>0</v>
      </c>
      <c r="AC406">
        <f t="shared" si="99"/>
        <v>0</v>
      </c>
      <c r="AD406" s="1">
        <f t="shared" si="100"/>
        <v>0</v>
      </c>
      <c r="AE406">
        <f t="shared" si="101"/>
        <v>0</v>
      </c>
      <c r="AF406">
        <f t="shared" si="102"/>
        <v>0</v>
      </c>
      <c r="AG406">
        <f t="shared" si="103"/>
        <v>0</v>
      </c>
    </row>
    <row r="407" spans="1:33" x14ac:dyDescent="0.25">
      <c r="A407" t="s">
        <v>763</v>
      </c>
      <c r="B407" t="s">
        <v>764</v>
      </c>
      <c r="C407">
        <v>166290</v>
      </c>
      <c r="D407">
        <v>166290</v>
      </c>
      <c r="H407">
        <v>20</v>
      </c>
      <c r="I407">
        <v>40</v>
      </c>
      <c r="J407">
        <v>10</v>
      </c>
      <c r="M407">
        <v>70</v>
      </c>
      <c r="S407">
        <f t="shared" si="92"/>
        <v>0</v>
      </c>
      <c r="T407">
        <f t="shared" si="93"/>
        <v>5.833333333333333</v>
      </c>
      <c r="U407">
        <f t="shared" si="91"/>
        <v>1</v>
      </c>
      <c r="V407">
        <f t="shared" si="94"/>
        <v>0</v>
      </c>
      <c r="W407">
        <f t="shared" si="95"/>
        <v>1</v>
      </c>
      <c r="X407">
        <f t="shared" si="104"/>
        <v>0</v>
      </c>
      <c r="Y407">
        <f t="shared" si="105"/>
        <v>0</v>
      </c>
      <c r="Z407">
        <f t="shared" si="96"/>
        <v>0</v>
      </c>
      <c r="AA407">
        <f t="shared" si="97"/>
        <v>0</v>
      </c>
      <c r="AB407">
        <f t="shared" si="98"/>
        <v>0</v>
      </c>
      <c r="AC407">
        <f t="shared" si="99"/>
        <v>10</v>
      </c>
      <c r="AD407" s="1">
        <f t="shared" si="100"/>
        <v>6.666666666666667</v>
      </c>
      <c r="AE407">
        <f t="shared" si="101"/>
        <v>5</v>
      </c>
      <c r="AF407">
        <f t="shared" si="102"/>
        <v>0</v>
      </c>
      <c r="AG407">
        <f t="shared" si="103"/>
        <v>0</v>
      </c>
    </row>
    <row r="408" spans="1:33" x14ac:dyDescent="0.25">
      <c r="A408" t="s">
        <v>765</v>
      </c>
      <c r="B408" t="s">
        <v>766</v>
      </c>
      <c r="C408">
        <v>168270</v>
      </c>
      <c r="D408">
        <v>168270</v>
      </c>
      <c r="E408">
        <v>0</v>
      </c>
      <c r="F408">
        <v>20</v>
      </c>
      <c r="G408">
        <v>40</v>
      </c>
      <c r="O408">
        <v>60</v>
      </c>
      <c r="S408">
        <f t="shared" si="92"/>
        <v>3.75</v>
      </c>
      <c r="T408">
        <f t="shared" si="93"/>
        <v>0</v>
      </c>
      <c r="U408">
        <f t="shared" si="91"/>
        <v>1</v>
      </c>
      <c r="V408">
        <f t="shared" si="94"/>
        <v>1</v>
      </c>
      <c r="W408">
        <f t="shared" si="95"/>
        <v>0</v>
      </c>
      <c r="X408">
        <f t="shared" si="104"/>
        <v>0</v>
      </c>
      <c r="Y408">
        <f t="shared" si="105"/>
        <v>0</v>
      </c>
      <c r="Z408">
        <f t="shared" si="96"/>
        <v>0</v>
      </c>
      <c r="AA408">
        <f t="shared" si="97"/>
        <v>5</v>
      </c>
      <c r="AB408">
        <f t="shared" si="98"/>
        <v>5.7142857142857144</v>
      </c>
      <c r="AC408">
        <f t="shared" si="99"/>
        <v>0</v>
      </c>
      <c r="AD408" s="1">
        <f t="shared" si="100"/>
        <v>0</v>
      </c>
      <c r="AE408">
        <f t="shared" si="101"/>
        <v>0</v>
      </c>
      <c r="AF408">
        <f t="shared" si="102"/>
        <v>0</v>
      </c>
      <c r="AG408">
        <f t="shared" si="103"/>
        <v>0</v>
      </c>
    </row>
    <row r="409" spans="1:33" x14ac:dyDescent="0.25">
      <c r="A409" t="s">
        <v>767</v>
      </c>
      <c r="B409" t="s">
        <v>768</v>
      </c>
      <c r="C409">
        <v>166233</v>
      </c>
      <c r="D409">
        <v>166233</v>
      </c>
      <c r="H409">
        <v>10</v>
      </c>
      <c r="I409">
        <v>20</v>
      </c>
      <c r="J409">
        <v>0</v>
      </c>
      <c r="K409">
        <v>0</v>
      </c>
      <c r="L409">
        <v>0</v>
      </c>
      <c r="M409">
        <v>30</v>
      </c>
      <c r="S409">
        <f t="shared" si="92"/>
        <v>0</v>
      </c>
      <c r="T409">
        <f t="shared" si="93"/>
        <v>2.5</v>
      </c>
      <c r="U409">
        <f t="shared" si="91"/>
        <v>1</v>
      </c>
      <c r="V409">
        <f t="shared" si="94"/>
        <v>0</v>
      </c>
      <c r="W409">
        <f t="shared" si="95"/>
        <v>1</v>
      </c>
      <c r="X409">
        <f t="shared" si="104"/>
        <v>0</v>
      </c>
      <c r="Y409">
        <f t="shared" si="105"/>
        <v>0</v>
      </c>
      <c r="Z409">
        <f t="shared" si="96"/>
        <v>0</v>
      </c>
      <c r="AA409">
        <f t="shared" si="97"/>
        <v>0</v>
      </c>
      <c r="AB409">
        <f t="shared" si="98"/>
        <v>0</v>
      </c>
      <c r="AC409">
        <f t="shared" si="99"/>
        <v>5</v>
      </c>
      <c r="AD409" s="1">
        <f t="shared" si="100"/>
        <v>3.3333333333333335</v>
      </c>
      <c r="AE409">
        <f t="shared" si="101"/>
        <v>0</v>
      </c>
      <c r="AF409">
        <f t="shared" si="102"/>
        <v>0</v>
      </c>
      <c r="AG409">
        <f t="shared" si="103"/>
        <v>0</v>
      </c>
    </row>
    <row r="410" spans="1:33" x14ac:dyDescent="0.25">
      <c r="A410" t="s">
        <v>769</v>
      </c>
      <c r="B410" t="s">
        <v>770</v>
      </c>
      <c r="C410">
        <v>167359</v>
      </c>
      <c r="D410">
        <v>167359</v>
      </c>
      <c r="S410">
        <f t="shared" si="92"/>
        <v>0</v>
      </c>
      <c r="T410">
        <f t="shared" si="93"/>
        <v>0</v>
      </c>
      <c r="U410">
        <f t="shared" si="91"/>
        <v>0</v>
      </c>
      <c r="V410">
        <f t="shared" si="94"/>
        <v>0</v>
      </c>
      <c r="W410">
        <f t="shared" si="95"/>
        <v>0</v>
      </c>
      <c r="X410">
        <f t="shared" si="104"/>
        <v>0</v>
      </c>
      <c r="Y410">
        <f t="shared" si="105"/>
        <v>0</v>
      </c>
      <c r="Z410">
        <f t="shared" si="96"/>
        <v>0</v>
      </c>
      <c r="AA410">
        <f t="shared" si="97"/>
        <v>0</v>
      </c>
      <c r="AB410">
        <f t="shared" si="98"/>
        <v>0</v>
      </c>
      <c r="AC410">
        <f t="shared" si="99"/>
        <v>0</v>
      </c>
      <c r="AD410" s="1">
        <f t="shared" si="100"/>
        <v>0</v>
      </c>
      <c r="AE410">
        <f t="shared" si="101"/>
        <v>0</v>
      </c>
      <c r="AF410">
        <f t="shared" si="102"/>
        <v>0</v>
      </c>
      <c r="AG410">
        <f t="shared" si="103"/>
        <v>0</v>
      </c>
    </row>
    <row r="411" spans="1:33" x14ac:dyDescent="0.25">
      <c r="A411" t="s">
        <v>771</v>
      </c>
      <c r="B411" t="s">
        <v>772</v>
      </c>
      <c r="C411">
        <v>168661</v>
      </c>
      <c r="D411">
        <v>168661</v>
      </c>
      <c r="H411">
        <v>20</v>
      </c>
      <c r="I411">
        <v>40</v>
      </c>
      <c r="J411">
        <v>10</v>
      </c>
      <c r="K411">
        <v>10</v>
      </c>
      <c r="L411">
        <v>0</v>
      </c>
      <c r="M411">
        <v>80</v>
      </c>
      <c r="S411">
        <f t="shared" si="92"/>
        <v>0</v>
      </c>
      <c r="T411">
        <f t="shared" si="93"/>
        <v>6.666666666666667</v>
      </c>
      <c r="U411">
        <f t="shared" si="91"/>
        <v>1</v>
      </c>
      <c r="V411">
        <f t="shared" si="94"/>
        <v>0</v>
      </c>
      <c r="W411">
        <f t="shared" si="95"/>
        <v>1</v>
      </c>
      <c r="X411">
        <f t="shared" si="104"/>
        <v>0</v>
      </c>
      <c r="Y411">
        <f t="shared" si="105"/>
        <v>1</v>
      </c>
      <c r="Z411">
        <f t="shared" si="96"/>
        <v>0</v>
      </c>
      <c r="AA411">
        <f t="shared" si="97"/>
        <v>0</v>
      </c>
      <c r="AB411">
        <f t="shared" si="98"/>
        <v>0</v>
      </c>
      <c r="AC411">
        <f t="shared" si="99"/>
        <v>10</v>
      </c>
      <c r="AD411" s="1">
        <f t="shared" si="100"/>
        <v>6.666666666666667</v>
      </c>
      <c r="AE411">
        <f t="shared" si="101"/>
        <v>5</v>
      </c>
      <c r="AF411">
        <f t="shared" si="102"/>
        <v>10</v>
      </c>
      <c r="AG411">
        <f t="shared" si="103"/>
        <v>0</v>
      </c>
    </row>
    <row r="412" spans="1:33" x14ac:dyDescent="0.25">
      <c r="A412" t="s">
        <v>773</v>
      </c>
      <c r="B412" t="s">
        <v>774</v>
      </c>
      <c r="C412">
        <v>165555</v>
      </c>
      <c r="D412">
        <v>165555</v>
      </c>
      <c r="H412">
        <v>20</v>
      </c>
      <c r="I412">
        <v>30</v>
      </c>
      <c r="J412">
        <v>20</v>
      </c>
      <c r="M412">
        <v>70</v>
      </c>
      <c r="S412">
        <f t="shared" si="92"/>
        <v>0</v>
      </c>
      <c r="T412">
        <f t="shared" si="93"/>
        <v>5.833333333333333</v>
      </c>
      <c r="U412">
        <f t="shared" si="91"/>
        <v>1</v>
      </c>
      <c r="V412">
        <f t="shared" si="94"/>
        <v>0</v>
      </c>
      <c r="W412">
        <f t="shared" si="95"/>
        <v>1</v>
      </c>
      <c r="X412">
        <f t="shared" si="104"/>
        <v>0</v>
      </c>
      <c r="Y412">
        <f t="shared" si="105"/>
        <v>0</v>
      </c>
      <c r="Z412">
        <f t="shared" si="96"/>
        <v>0</v>
      </c>
      <c r="AA412">
        <f t="shared" si="97"/>
        <v>0</v>
      </c>
      <c r="AB412">
        <f t="shared" si="98"/>
        <v>0</v>
      </c>
      <c r="AC412">
        <f t="shared" si="99"/>
        <v>10</v>
      </c>
      <c r="AD412" s="1">
        <f t="shared" si="100"/>
        <v>5</v>
      </c>
      <c r="AE412">
        <f t="shared" si="101"/>
        <v>10</v>
      </c>
      <c r="AF412">
        <f t="shared" si="102"/>
        <v>0</v>
      </c>
      <c r="AG412">
        <f t="shared" si="103"/>
        <v>0</v>
      </c>
    </row>
    <row r="413" spans="1:33" x14ac:dyDescent="0.25">
      <c r="A413" t="s">
        <v>775</v>
      </c>
      <c r="B413" t="s">
        <v>396</v>
      </c>
      <c r="C413">
        <v>168524</v>
      </c>
      <c r="D413">
        <v>168524</v>
      </c>
      <c r="E413">
        <v>20</v>
      </c>
      <c r="F413">
        <v>20</v>
      </c>
      <c r="G413">
        <v>60</v>
      </c>
      <c r="O413">
        <v>100</v>
      </c>
      <c r="S413">
        <f t="shared" si="92"/>
        <v>6.25</v>
      </c>
      <c r="T413">
        <f t="shared" si="93"/>
        <v>0</v>
      </c>
      <c r="U413">
        <f t="shared" si="91"/>
        <v>1</v>
      </c>
      <c r="V413">
        <f t="shared" si="94"/>
        <v>1</v>
      </c>
      <c r="W413">
        <f t="shared" si="95"/>
        <v>0</v>
      </c>
      <c r="X413">
        <f t="shared" si="104"/>
        <v>1</v>
      </c>
      <c r="Y413">
        <f t="shared" si="105"/>
        <v>0</v>
      </c>
      <c r="Z413">
        <f t="shared" si="96"/>
        <v>4</v>
      </c>
      <c r="AA413">
        <f t="shared" si="97"/>
        <v>5</v>
      </c>
      <c r="AB413">
        <f t="shared" si="98"/>
        <v>8.5714285714285712</v>
      </c>
      <c r="AC413">
        <f t="shared" si="99"/>
        <v>0</v>
      </c>
      <c r="AD413" s="1">
        <f t="shared" si="100"/>
        <v>0</v>
      </c>
      <c r="AE413">
        <f t="shared" si="101"/>
        <v>0</v>
      </c>
      <c r="AF413">
        <f t="shared" si="102"/>
        <v>0</v>
      </c>
      <c r="AG413">
        <f t="shared" si="103"/>
        <v>0</v>
      </c>
    </row>
    <row r="414" spans="1:33" x14ac:dyDescent="0.25">
      <c r="A414" t="s">
        <v>776</v>
      </c>
      <c r="B414" t="s">
        <v>777</v>
      </c>
      <c r="C414">
        <v>167448</v>
      </c>
      <c r="D414">
        <v>167448</v>
      </c>
      <c r="H414">
        <v>0</v>
      </c>
      <c r="I414">
        <v>30</v>
      </c>
      <c r="J414">
        <v>20</v>
      </c>
      <c r="K414">
        <v>0</v>
      </c>
      <c r="L414">
        <v>0</v>
      </c>
      <c r="M414">
        <v>50</v>
      </c>
      <c r="S414">
        <f t="shared" si="92"/>
        <v>0</v>
      </c>
      <c r="T414">
        <f t="shared" si="93"/>
        <v>4.166666666666667</v>
      </c>
      <c r="U414">
        <f t="shared" si="91"/>
        <v>1</v>
      </c>
      <c r="V414">
        <f t="shared" si="94"/>
        <v>0</v>
      </c>
      <c r="W414">
        <f t="shared" si="95"/>
        <v>1</v>
      </c>
      <c r="X414">
        <f t="shared" si="104"/>
        <v>0</v>
      </c>
      <c r="Y414">
        <f t="shared" si="105"/>
        <v>0</v>
      </c>
      <c r="Z414">
        <f t="shared" si="96"/>
        <v>0</v>
      </c>
      <c r="AA414">
        <f t="shared" si="97"/>
        <v>0</v>
      </c>
      <c r="AB414">
        <f t="shared" si="98"/>
        <v>0</v>
      </c>
      <c r="AC414">
        <f t="shared" si="99"/>
        <v>0</v>
      </c>
      <c r="AD414" s="1">
        <f t="shared" si="100"/>
        <v>5</v>
      </c>
      <c r="AE414">
        <f t="shared" si="101"/>
        <v>10</v>
      </c>
      <c r="AF414">
        <f t="shared" si="102"/>
        <v>0</v>
      </c>
      <c r="AG414">
        <f t="shared" si="103"/>
        <v>0</v>
      </c>
    </row>
    <row r="415" spans="1:33" x14ac:dyDescent="0.25">
      <c r="A415" t="s">
        <v>778</v>
      </c>
      <c r="B415" t="s">
        <v>779</v>
      </c>
      <c r="C415">
        <v>168535</v>
      </c>
      <c r="D415">
        <v>168535</v>
      </c>
      <c r="H415">
        <v>10</v>
      </c>
      <c r="I415">
        <v>20</v>
      </c>
      <c r="J415">
        <v>0</v>
      </c>
      <c r="K415">
        <v>0</v>
      </c>
      <c r="L415">
        <v>10</v>
      </c>
      <c r="M415">
        <v>40</v>
      </c>
      <c r="S415">
        <f t="shared" si="92"/>
        <v>0</v>
      </c>
      <c r="T415">
        <f t="shared" si="93"/>
        <v>3.3333333333333335</v>
      </c>
      <c r="U415">
        <f t="shared" si="91"/>
        <v>1</v>
      </c>
      <c r="V415">
        <f t="shared" si="94"/>
        <v>0</v>
      </c>
      <c r="W415">
        <f t="shared" si="95"/>
        <v>1</v>
      </c>
      <c r="X415">
        <f t="shared" si="104"/>
        <v>0</v>
      </c>
      <c r="Y415">
        <f t="shared" si="105"/>
        <v>0</v>
      </c>
      <c r="Z415">
        <f t="shared" si="96"/>
        <v>0</v>
      </c>
      <c r="AA415">
        <f t="shared" si="97"/>
        <v>0</v>
      </c>
      <c r="AB415">
        <f t="shared" si="98"/>
        <v>0</v>
      </c>
      <c r="AC415">
        <f t="shared" si="99"/>
        <v>5</v>
      </c>
      <c r="AD415" s="1">
        <f t="shared" si="100"/>
        <v>3.3333333333333335</v>
      </c>
      <c r="AE415">
        <f t="shared" si="101"/>
        <v>0</v>
      </c>
      <c r="AF415">
        <f t="shared" si="102"/>
        <v>0</v>
      </c>
      <c r="AG415">
        <f t="shared" si="103"/>
        <v>10</v>
      </c>
    </row>
    <row r="416" spans="1:33" x14ac:dyDescent="0.25">
      <c r="A416" t="s">
        <v>780</v>
      </c>
      <c r="B416" t="s">
        <v>781</v>
      </c>
      <c r="C416">
        <v>168743</v>
      </c>
      <c r="D416">
        <v>168743</v>
      </c>
      <c r="H416">
        <v>0</v>
      </c>
      <c r="I416">
        <v>10</v>
      </c>
      <c r="J416">
        <v>10</v>
      </c>
      <c r="K416">
        <v>0</v>
      </c>
      <c r="L416">
        <v>0</v>
      </c>
      <c r="M416">
        <v>20</v>
      </c>
      <c r="S416">
        <f t="shared" si="92"/>
        <v>0</v>
      </c>
      <c r="T416">
        <f t="shared" si="93"/>
        <v>1.6666666666666667</v>
      </c>
      <c r="U416">
        <f t="shared" si="91"/>
        <v>1</v>
      </c>
      <c r="V416">
        <f t="shared" si="94"/>
        <v>0</v>
      </c>
      <c r="W416">
        <f t="shared" si="95"/>
        <v>1</v>
      </c>
      <c r="X416">
        <f t="shared" si="104"/>
        <v>0</v>
      </c>
      <c r="Y416">
        <f t="shared" si="105"/>
        <v>0</v>
      </c>
      <c r="Z416">
        <f t="shared" si="96"/>
        <v>0</v>
      </c>
      <c r="AA416">
        <f t="shared" si="97"/>
        <v>0</v>
      </c>
      <c r="AB416">
        <f t="shared" si="98"/>
        <v>0</v>
      </c>
      <c r="AC416">
        <f t="shared" si="99"/>
        <v>0</v>
      </c>
      <c r="AD416" s="1">
        <f t="shared" si="100"/>
        <v>1.6666666666666667</v>
      </c>
      <c r="AE416">
        <f t="shared" si="101"/>
        <v>5</v>
      </c>
      <c r="AF416">
        <f t="shared" si="102"/>
        <v>0</v>
      </c>
      <c r="AG416">
        <f t="shared" si="103"/>
        <v>0</v>
      </c>
    </row>
    <row r="417" spans="1:33" x14ac:dyDescent="0.25">
      <c r="A417" t="s">
        <v>782</v>
      </c>
      <c r="B417" t="s">
        <v>577</v>
      </c>
      <c r="C417">
        <v>166471</v>
      </c>
      <c r="D417">
        <v>166471</v>
      </c>
      <c r="H417">
        <v>20</v>
      </c>
      <c r="I417">
        <v>40</v>
      </c>
      <c r="J417">
        <v>20</v>
      </c>
      <c r="K417">
        <v>10</v>
      </c>
      <c r="L417">
        <v>0</v>
      </c>
      <c r="M417">
        <v>90</v>
      </c>
      <c r="S417">
        <f t="shared" si="92"/>
        <v>0</v>
      </c>
      <c r="T417">
        <f t="shared" si="93"/>
        <v>7.5</v>
      </c>
      <c r="U417">
        <f t="shared" si="91"/>
        <v>1</v>
      </c>
      <c r="V417">
        <f t="shared" si="94"/>
        <v>0</v>
      </c>
      <c r="W417">
        <f t="shared" si="95"/>
        <v>1</v>
      </c>
      <c r="X417">
        <f t="shared" si="104"/>
        <v>0</v>
      </c>
      <c r="Y417">
        <f t="shared" si="105"/>
        <v>1</v>
      </c>
      <c r="Z417">
        <f t="shared" si="96"/>
        <v>0</v>
      </c>
      <c r="AA417">
        <f t="shared" si="97"/>
        <v>0</v>
      </c>
      <c r="AB417">
        <f t="shared" si="98"/>
        <v>0</v>
      </c>
      <c r="AC417">
        <f t="shared" si="99"/>
        <v>10</v>
      </c>
      <c r="AD417" s="1">
        <f t="shared" si="100"/>
        <v>6.666666666666667</v>
      </c>
      <c r="AE417">
        <f t="shared" si="101"/>
        <v>10</v>
      </c>
      <c r="AF417">
        <f t="shared" si="102"/>
        <v>10</v>
      </c>
      <c r="AG417">
        <f t="shared" si="103"/>
        <v>0</v>
      </c>
    </row>
    <row r="418" spans="1:33" x14ac:dyDescent="0.25">
      <c r="A418" t="s">
        <v>783</v>
      </c>
      <c r="B418" t="s">
        <v>784</v>
      </c>
      <c r="C418">
        <v>166201</v>
      </c>
      <c r="D418">
        <v>166201</v>
      </c>
      <c r="S418">
        <f t="shared" si="92"/>
        <v>0</v>
      </c>
      <c r="T418">
        <f t="shared" si="93"/>
        <v>0</v>
      </c>
      <c r="U418">
        <f t="shared" si="91"/>
        <v>0</v>
      </c>
      <c r="V418">
        <f t="shared" si="94"/>
        <v>0</v>
      </c>
      <c r="W418">
        <f t="shared" si="95"/>
        <v>0</v>
      </c>
      <c r="X418">
        <f t="shared" si="104"/>
        <v>0</v>
      </c>
      <c r="Y418">
        <f t="shared" si="105"/>
        <v>0</v>
      </c>
      <c r="Z418">
        <f t="shared" si="96"/>
        <v>0</v>
      </c>
      <c r="AA418">
        <f t="shared" si="97"/>
        <v>0</v>
      </c>
      <c r="AB418">
        <f t="shared" si="98"/>
        <v>0</v>
      </c>
      <c r="AC418">
        <f t="shared" si="99"/>
        <v>0</v>
      </c>
      <c r="AD418" s="1">
        <f t="shared" si="100"/>
        <v>0</v>
      </c>
      <c r="AE418">
        <f t="shared" si="101"/>
        <v>0</v>
      </c>
      <c r="AF418">
        <f t="shared" si="102"/>
        <v>0</v>
      </c>
      <c r="AG418">
        <f t="shared" si="103"/>
        <v>0</v>
      </c>
    </row>
    <row r="419" spans="1:33" x14ac:dyDescent="0.25">
      <c r="A419" t="s">
        <v>785</v>
      </c>
      <c r="B419" t="s">
        <v>761</v>
      </c>
      <c r="C419">
        <v>144321</v>
      </c>
      <c r="D419">
        <v>144321</v>
      </c>
      <c r="S419">
        <f t="shared" si="92"/>
        <v>0</v>
      </c>
      <c r="T419">
        <f t="shared" si="93"/>
        <v>0</v>
      </c>
      <c r="U419">
        <f t="shared" si="91"/>
        <v>0</v>
      </c>
      <c r="V419">
        <f t="shared" si="94"/>
        <v>0</v>
      </c>
      <c r="W419">
        <f t="shared" si="95"/>
        <v>0</v>
      </c>
      <c r="X419">
        <f t="shared" si="104"/>
        <v>0</v>
      </c>
      <c r="Y419">
        <f t="shared" si="105"/>
        <v>0</v>
      </c>
      <c r="Z419">
        <f t="shared" si="96"/>
        <v>0</v>
      </c>
      <c r="AA419">
        <f t="shared" si="97"/>
        <v>0</v>
      </c>
      <c r="AB419">
        <f t="shared" si="98"/>
        <v>0</v>
      </c>
      <c r="AC419">
        <f t="shared" si="99"/>
        <v>0</v>
      </c>
      <c r="AD419" s="1">
        <f t="shared" si="100"/>
        <v>0</v>
      </c>
      <c r="AE419">
        <f t="shared" si="101"/>
        <v>0</v>
      </c>
      <c r="AF419">
        <f t="shared" si="102"/>
        <v>0</v>
      </c>
      <c r="AG419">
        <f t="shared" si="103"/>
        <v>0</v>
      </c>
    </row>
    <row r="420" spans="1:33" x14ac:dyDescent="0.25">
      <c r="A420" t="s">
        <v>786</v>
      </c>
      <c r="B420" t="s">
        <v>787</v>
      </c>
      <c r="C420">
        <v>168620</v>
      </c>
      <c r="D420">
        <v>168620</v>
      </c>
      <c r="R420">
        <v>10</v>
      </c>
      <c r="S420">
        <f t="shared" si="92"/>
        <v>0</v>
      </c>
      <c r="T420">
        <f t="shared" si="93"/>
        <v>0</v>
      </c>
      <c r="U420">
        <f t="shared" si="91"/>
        <v>0</v>
      </c>
      <c r="V420">
        <f t="shared" si="94"/>
        <v>0</v>
      </c>
      <c r="W420">
        <f t="shared" si="95"/>
        <v>0</v>
      </c>
      <c r="X420">
        <f t="shared" si="104"/>
        <v>0</v>
      </c>
      <c r="Y420">
        <f t="shared" si="105"/>
        <v>0</v>
      </c>
      <c r="Z420">
        <f t="shared" si="96"/>
        <v>0</v>
      </c>
      <c r="AA420">
        <f t="shared" si="97"/>
        <v>0</v>
      </c>
      <c r="AB420">
        <f t="shared" si="98"/>
        <v>0</v>
      </c>
      <c r="AC420">
        <f t="shared" si="99"/>
        <v>0</v>
      </c>
      <c r="AD420" s="1">
        <f t="shared" si="100"/>
        <v>0</v>
      </c>
      <c r="AE420">
        <f t="shared" si="101"/>
        <v>0</v>
      </c>
      <c r="AF420">
        <f t="shared" si="102"/>
        <v>0</v>
      </c>
      <c r="AG420">
        <f t="shared" si="103"/>
        <v>0</v>
      </c>
    </row>
    <row r="421" spans="1:33" x14ac:dyDescent="0.25">
      <c r="A421" t="s">
        <v>788</v>
      </c>
      <c r="B421" t="s">
        <v>789</v>
      </c>
      <c r="C421">
        <v>168221</v>
      </c>
      <c r="D421">
        <v>168221</v>
      </c>
      <c r="H421">
        <v>0</v>
      </c>
      <c r="I421">
        <v>30</v>
      </c>
      <c r="J421">
        <v>0</v>
      </c>
      <c r="K421">
        <v>0</v>
      </c>
      <c r="L421">
        <v>10</v>
      </c>
      <c r="M421">
        <v>40</v>
      </c>
      <c r="S421">
        <f t="shared" si="92"/>
        <v>0</v>
      </c>
      <c r="T421">
        <f t="shared" si="93"/>
        <v>3.3333333333333335</v>
      </c>
      <c r="U421">
        <f t="shared" si="91"/>
        <v>1</v>
      </c>
      <c r="V421">
        <f t="shared" si="94"/>
        <v>0</v>
      </c>
      <c r="W421">
        <f t="shared" si="95"/>
        <v>1</v>
      </c>
      <c r="X421">
        <f t="shared" si="104"/>
        <v>0</v>
      </c>
      <c r="Y421">
        <f t="shared" si="105"/>
        <v>0</v>
      </c>
      <c r="Z421">
        <f t="shared" si="96"/>
        <v>0</v>
      </c>
      <c r="AA421">
        <f t="shared" si="97"/>
        <v>0</v>
      </c>
      <c r="AB421">
        <f t="shared" si="98"/>
        <v>0</v>
      </c>
      <c r="AC421">
        <f t="shared" si="99"/>
        <v>0</v>
      </c>
      <c r="AD421" s="1">
        <f t="shared" si="100"/>
        <v>5</v>
      </c>
      <c r="AE421">
        <f t="shared" si="101"/>
        <v>0</v>
      </c>
      <c r="AF421">
        <f t="shared" si="102"/>
        <v>0</v>
      </c>
      <c r="AG421">
        <f t="shared" si="103"/>
        <v>10</v>
      </c>
    </row>
    <row r="422" spans="1:33" x14ac:dyDescent="0.25">
      <c r="A422" t="s">
        <v>790</v>
      </c>
      <c r="B422" t="s">
        <v>791</v>
      </c>
      <c r="C422">
        <v>164871</v>
      </c>
      <c r="D422">
        <v>164871</v>
      </c>
      <c r="S422">
        <f t="shared" si="92"/>
        <v>0</v>
      </c>
      <c r="T422">
        <f t="shared" si="93"/>
        <v>0</v>
      </c>
      <c r="U422">
        <f t="shared" si="91"/>
        <v>0</v>
      </c>
      <c r="V422">
        <f t="shared" si="94"/>
        <v>0</v>
      </c>
      <c r="W422">
        <f t="shared" si="95"/>
        <v>0</v>
      </c>
      <c r="X422">
        <f t="shared" si="104"/>
        <v>0</v>
      </c>
      <c r="Y422">
        <f t="shared" si="105"/>
        <v>0</v>
      </c>
      <c r="Z422">
        <f t="shared" si="96"/>
        <v>0</v>
      </c>
      <c r="AA422">
        <f t="shared" si="97"/>
        <v>0</v>
      </c>
      <c r="AB422">
        <f t="shared" si="98"/>
        <v>0</v>
      </c>
      <c r="AC422">
        <f t="shared" si="99"/>
        <v>0</v>
      </c>
      <c r="AD422" s="1">
        <f t="shared" si="100"/>
        <v>0</v>
      </c>
      <c r="AE422">
        <f t="shared" si="101"/>
        <v>0</v>
      </c>
      <c r="AF422">
        <f t="shared" si="102"/>
        <v>0</v>
      </c>
      <c r="AG422">
        <f t="shared" si="103"/>
        <v>0</v>
      </c>
    </row>
    <row r="423" spans="1:33" x14ac:dyDescent="0.25">
      <c r="A423" t="s">
        <v>792</v>
      </c>
      <c r="B423" t="s">
        <v>793</v>
      </c>
      <c r="C423">
        <v>166777</v>
      </c>
      <c r="D423">
        <v>166777</v>
      </c>
      <c r="H423">
        <v>0</v>
      </c>
      <c r="I423">
        <v>30</v>
      </c>
      <c r="J423">
        <v>20</v>
      </c>
      <c r="K423">
        <v>10</v>
      </c>
      <c r="L423">
        <v>0</v>
      </c>
      <c r="M423">
        <v>60</v>
      </c>
      <c r="S423">
        <f t="shared" si="92"/>
        <v>0</v>
      </c>
      <c r="T423">
        <f t="shared" si="93"/>
        <v>5</v>
      </c>
      <c r="U423">
        <f t="shared" si="91"/>
        <v>1</v>
      </c>
      <c r="V423">
        <f t="shared" si="94"/>
        <v>0</v>
      </c>
      <c r="W423">
        <f t="shared" si="95"/>
        <v>1</v>
      </c>
      <c r="X423">
        <f t="shared" si="104"/>
        <v>0</v>
      </c>
      <c r="Y423">
        <f t="shared" si="105"/>
        <v>0</v>
      </c>
      <c r="Z423">
        <f t="shared" si="96"/>
        <v>0</v>
      </c>
      <c r="AA423">
        <f t="shared" si="97"/>
        <v>0</v>
      </c>
      <c r="AB423">
        <f t="shared" si="98"/>
        <v>0</v>
      </c>
      <c r="AC423">
        <f t="shared" si="99"/>
        <v>0</v>
      </c>
      <c r="AD423" s="1">
        <f t="shared" si="100"/>
        <v>5</v>
      </c>
      <c r="AE423">
        <f t="shared" si="101"/>
        <v>10</v>
      </c>
      <c r="AF423">
        <f t="shared" si="102"/>
        <v>10</v>
      </c>
      <c r="AG423">
        <f t="shared" si="103"/>
        <v>0</v>
      </c>
    </row>
    <row r="424" spans="1:33" x14ac:dyDescent="0.25">
      <c r="A424" t="s">
        <v>794</v>
      </c>
      <c r="B424" t="s">
        <v>795</v>
      </c>
      <c r="C424">
        <v>167140</v>
      </c>
      <c r="D424">
        <v>167140</v>
      </c>
      <c r="H424">
        <v>20</v>
      </c>
      <c r="I424">
        <v>20</v>
      </c>
      <c r="J424">
        <v>10</v>
      </c>
      <c r="K424">
        <v>0</v>
      </c>
      <c r="L424">
        <v>10</v>
      </c>
      <c r="M424">
        <v>60</v>
      </c>
      <c r="S424">
        <f t="shared" si="92"/>
        <v>0</v>
      </c>
      <c r="T424">
        <f t="shared" si="93"/>
        <v>5</v>
      </c>
      <c r="U424">
        <f t="shared" si="91"/>
        <v>1</v>
      </c>
      <c r="V424">
        <f t="shared" si="94"/>
        <v>0</v>
      </c>
      <c r="W424">
        <f t="shared" si="95"/>
        <v>1</v>
      </c>
      <c r="X424">
        <f t="shared" si="104"/>
        <v>0</v>
      </c>
      <c r="Y424">
        <f t="shared" si="105"/>
        <v>0</v>
      </c>
      <c r="Z424">
        <f t="shared" si="96"/>
        <v>0</v>
      </c>
      <c r="AA424">
        <f t="shared" si="97"/>
        <v>0</v>
      </c>
      <c r="AB424">
        <f t="shared" si="98"/>
        <v>0</v>
      </c>
      <c r="AC424">
        <f t="shared" si="99"/>
        <v>10</v>
      </c>
      <c r="AD424" s="1">
        <f t="shared" si="100"/>
        <v>3.3333333333333335</v>
      </c>
      <c r="AE424">
        <f t="shared" si="101"/>
        <v>5</v>
      </c>
      <c r="AF424">
        <f t="shared" si="102"/>
        <v>0</v>
      </c>
      <c r="AG424">
        <f t="shared" si="103"/>
        <v>10</v>
      </c>
    </row>
    <row r="425" spans="1:33" x14ac:dyDescent="0.25">
      <c r="A425" t="s">
        <v>796</v>
      </c>
      <c r="B425" t="s">
        <v>797</v>
      </c>
      <c r="C425">
        <v>162575</v>
      </c>
      <c r="D425">
        <v>162575</v>
      </c>
      <c r="S425">
        <f t="shared" si="92"/>
        <v>0</v>
      </c>
      <c r="T425">
        <f t="shared" si="93"/>
        <v>0</v>
      </c>
      <c r="U425">
        <f t="shared" si="91"/>
        <v>0</v>
      </c>
      <c r="V425">
        <f t="shared" si="94"/>
        <v>0</v>
      </c>
      <c r="W425">
        <f t="shared" si="95"/>
        <v>0</v>
      </c>
      <c r="X425">
        <f t="shared" si="104"/>
        <v>0</v>
      </c>
      <c r="Y425">
        <f t="shared" si="105"/>
        <v>0</v>
      </c>
      <c r="Z425">
        <f t="shared" si="96"/>
        <v>0</v>
      </c>
      <c r="AA425">
        <f t="shared" si="97"/>
        <v>0</v>
      </c>
      <c r="AB425">
        <f t="shared" si="98"/>
        <v>0</v>
      </c>
      <c r="AC425">
        <f t="shared" si="99"/>
        <v>0</v>
      </c>
      <c r="AD425" s="1">
        <f t="shared" si="100"/>
        <v>0</v>
      </c>
      <c r="AE425">
        <f t="shared" si="101"/>
        <v>0</v>
      </c>
      <c r="AF425">
        <f t="shared" si="102"/>
        <v>0</v>
      </c>
      <c r="AG425">
        <f t="shared" si="103"/>
        <v>0</v>
      </c>
    </row>
    <row r="426" spans="1:33" x14ac:dyDescent="0.25">
      <c r="A426" t="s">
        <v>798</v>
      </c>
      <c r="B426" t="s">
        <v>799</v>
      </c>
      <c r="C426">
        <v>166432</v>
      </c>
      <c r="D426">
        <v>166432</v>
      </c>
      <c r="H426">
        <v>20</v>
      </c>
      <c r="I426">
        <v>50</v>
      </c>
      <c r="J426">
        <v>10</v>
      </c>
      <c r="K426">
        <v>10</v>
      </c>
      <c r="L426">
        <v>0</v>
      </c>
      <c r="M426">
        <v>90</v>
      </c>
      <c r="S426">
        <f t="shared" si="92"/>
        <v>0</v>
      </c>
      <c r="T426">
        <f t="shared" si="93"/>
        <v>7.5</v>
      </c>
      <c r="U426">
        <f t="shared" si="91"/>
        <v>1</v>
      </c>
      <c r="V426">
        <f t="shared" si="94"/>
        <v>0</v>
      </c>
      <c r="W426">
        <f t="shared" si="95"/>
        <v>1</v>
      </c>
      <c r="X426">
        <f t="shared" si="104"/>
        <v>0</v>
      </c>
      <c r="Y426">
        <f t="shared" si="105"/>
        <v>1</v>
      </c>
      <c r="Z426">
        <f t="shared" si="96"/>
        <v>0</v>
      </c>
      <c r="AA426">
        <f t="shared" si="97"/>
        <v>0</v>
      </c>
      <c r="AB426">
        <f t="shared" si="98"/>
        <v>0</v>
      </c>
      <c r="AC426">
        <f t="shared" si="99"/>
        <v>10</v>
      </c>
      <c r="AD426" s="1">
        <f t="shared" si="100"/>
        <v>8.3333333333333339</v>
      </c>
      <c r="AE426">
        <f t="shared" si="101"/>
        <v>5</v>
      </c>
      <c r="AF426">
        <f t="shared" si="102"/>
        <v>10</v>
      </c>
      <c r="AG426">
        <f t="shared" si="103"/>
        <v>0</v>
      </c>
    </row>
    <row r="427" spans="1:33" x14ac:dyDescent="0.25">
      <c r="A427" t="s">
        <v>800</v>
      </c>
      <c r="B427" t="s">
        <v>512</v>
      </c>
      <c r="C427">
        <v>168567</v>
      </c>
      <c r="D427">
        <v>168567</v>
      </c>
      <c r="S427">
        <f t="shared" si="92"/>
        <v>0</v>
      </c>
      <c r="T427">
        <f t="shared" si="93"/>
        <v>0</v>
      </c>
      <c r="U427">
        <f t="shared" si="91"/>
        <v>0</v>
      </c>
      <c r="V427">
        <f t="shared" si="94"/>
        <v>0</v>
      </c>
      <c r="W427">
        <f t="shared" si="95"/>
        <v>0</v>
      </c>
      <c r="X427">
        <f t="shared" si="104"/>
        <v>0</v>
      </c>
      <c r="Y427">
        <f t="shared" si="105"/>
        <v>0</v>
      </c>
      <c r="Z427">
        <f t="shared" si="96"/>
        <v>0</v>
      </c>
      <c r="AA427">
        <f t="shared" si="97"/>
        <v>0</v>
      </c>
      <c r="AB427">
        <f t="shared" si="98"/>
        <v>0</v>
      </c>
      <c r="AC427">
        <f t="shared" si="99"/>
        <v>0</v>
      </c>
      <c r="AD427" s="1">
        <f t="shared" si="100"/>
        <v>0</v>
      </c>
      <c r="AE427">
        <f t="shared" si="101"/>
        <v>0</v>
      </c>
      <c r="AF427">
        <f t="shared" si="102"/>
        <v>0</v>
      </c>
      <c r="AG427">
        <f t="shared" si="103"/>
        <v>0</v>
      </c>
    </row>
    <row r="428" spans="1:33" x14ac:dyDescent="0.25">
      <c r="A428" t="s">
        <v>801</v>
      </c>
      <c r="B428" t="s">
        <v>802</v>
      </c>
      <c r="C428">
        <v>163045</v>
      </c>
      <c r="D428">
        <v>163045</v>
      </c>
      <c r="S428">
        <f t="shared" si="92"/>
        <v>0</v>
      </c>
      <c r="T428">
        <f t="shared" si="93"/>
        <v>0</v>
      </c>
      <c r="U428">
        <f t="shared" si="91"/>
        <v>0</v>
      </c>
      <c r="V428">
        <f t="shared" si="94"/>
        <v>0</v>
      </c>
      <c r="W428">
        <f t="shared" si="95"/>
        <v>0</v>
      </c>
      <c r="X428">
        <f t="shared" si="104"/>
        <v>0</v>
      </c>
      <c r="Y428">
        <f t="shared" si="105"/>
        <v>0</v>
      </c>
      <c r="Z428">
        <f t="shared" si="96"/>
        <v>0</v>
      </c>
      <c r="AA428">
        <f t="shared" si="97"/>
        <v>0</v>
      </c>
      <c r="AB428">
        <f t="shared" si="98"/>
        <v>0</v>
      </c>
      <c r="AC428">
        <f t="shared" si="99"/>
        <v>0</v>
      </c>
      <c r="AD428" s="1">
        <f t="shared" si="100"/>
        <v>0</v>
      </c>
      <c r="AE428">
        <f t="shared" si="101"/>
        <v>0</v>
      </c>
      <c r="AF428">
        <f t="shared" si="102"/>
        <v>0</v>
      </c>
      <c r="AG428">
        <f t="shared" si="103"/>
        <v>0</v>
      </c>
    </row>
    <row r="429" spans="1:33" x14ac:dyDescent="0.25">
      <c r="A429" t="s">
        <v>803</v>
      </c>
      <c r="B429" t="s">
        <v>804</v>
      </c>
      <c r="C429">
        <v>168624</v>
      </c>
      <c r="D429">
        <v>168624</v>
      </c>
      <c r="S429">
        <f t="shared" si="92"/>
        <v>0</v>
      </c>
      <c r="T429">
        <f t="shared" si="93"/>
        <v>0</v>
      </c>
      <c r="U429">
        <f t="shared" si="91"/>
        <v>0</v>
      </c>
      <c r="V429">
        <f t="shared" si="94"/>
        <v>0</v>
      </c>
      <c r="W429">
        <f t="shared" si="95"/>
        <v>0</v>
      </c>
      <c r="X429">
        <f t="shared" si="104"/>
        <v>0</v>
      </c>
      <c r="Y429">
        <f t="shared" si="105"/>
        <v>0</v>
      </c>
      <c r="Z429">
        <f t="shared" si="96"/>
        <v>0</v>
      </c>
      <c r="AA429">
        <f t="shared" si="97"/>
        <v>0</v>
      </c>
      <c r="AB429">
        <f t="shared" si="98"/>
        <v>0</v>
      </c>
      <c r="AC429">
        <f t="shared" si="99"/>
        <v>0</v>
      </c>
      <c r="AD429" s="1">
        <f t="shared" si="100"/>
        <v>0</v>
      </c>
      <c r="AE429">
        <f t="shared" si="101"/>
        <v>0</v>
      </c>
      <c r="AF429">
        <f t="shared" si="102"/>
        <v>0</v>
      </c>
      <c r="AG429">
        <f t="shared" si="103"/>
        <v>0</v>
      </c>
    </row>
    <row r="430" spans="1:33" x14ac:dyDescent="0.25">
      <c r="A430" t="s">
        <v>805</v>
      </c>
      <c r="B430" t="s">
        <v>806</v>
      </c>
      <c r="C430">
        <v>166845</v>
      </c>
      <c r="D430">
        <v>166845</v>
      </c>
      <c r="E430">
        <v>10</v>
      </c>
      <c r="F430">
        <v>10</v>
      </c>
      <c r="G430">
        <v>40</v>
      </c>
      <c r="O430">
        <v>60</v>
      </c>
      <c r="S430">
        <f t="shared" si="92"/>
        <v>3.75</v>
      </c>
      <c r="T430">
        <f t="shared" si="93"/>
        <v>0</v>
      </c>
      <c r="U430">
        <f t="shared" si="91"/>
        <v>1</v>
      </c>
      <c r="V430">
        <f t="shared" si="94"/>
        <v>1</v>
      </c>
      <c r="W430">
        <f t="shared" si="95"/>
        <v>0</v>
      </c>
      <c r="X430">
        <f t="shared" si="104"/>
        <v>0</v>
      </c>
      <c r="Y430">
        <f t="shared" si="105"/>
        <v>0</v>
      </c>
      <c r="Z430">
        <f t="shared" si="96"/>
        <v>2</v>
      </c>
      <c r="AA430">
        <f t="shared" si="97"/>
        <v>2.5</v>
      </c>
      <c r="AB430">
        <f t="shared" si="98"/>
        <v>5.7142857142857144</v>
      </c>
      <c r="AC430">
        <f t="shared" si="99"/>
        <v>0</v>
      </c>
      <c r="AD430" s="1">
        <f t="shared" si="100"/>
        <v>0</v>
      </c>
      <c r="AE430">
        <f t="shared" si="101"/>
        <v>0</v>
      </c>
      <c r="AF430">
        <f t="shared" si="102"/>
        <v>0</v>
      </c>
      <c r="AG430">
        <f t="shared" si="103"/>
        <v>0</v>
      </c>
    </row>
    <row r="431" spans="1:33" x14ac:dyDescent="0.25">
      <c r="A431" t="s">
        <v>807</v>
      </c>
      <c r="B431" t="s">
        <v>808</v>
      </c>
      <c r="C431">
        <v>168476</v>
      </c>
      <c r="D431">
        <v>168476</v>
      </c>
      <c r="H431">
        <v>20</v>
      </c>
      <c r="I431">
        <v>30</v>
      </c>
      <c r="J431">
        <v>10</v>
      </c>
      <c r="K431">
        <v>0</v>
      </c>
      <c r="L431">
        <v>10</v>
      </c>
      <c r="M431">
        <v>70</v>
      </c>
      <c r="S431">
        <f t="shared" si="92"/>
        <v>0</v>
      </c>
      <c r="T431">
        <f t="shared" si="93"/>
        <v>5.833333333333333</v>
      </c>
      <c r="U431">
        <f t="shared" si="91"/>
        <v>1</v>
      </c>
      <c r="V431">
        <f t="shared" si="94"/>
        <v>0</v>
      </c>
      <c r="W431">
        <f t="shared" si="95"/>
        <v>1</v>
      </c>
      <c r="X431">
        <f t="shared" si="104"/>
        <v>0</v>
      </c>
      <c r="Y431">
        <f t="shared" si="105"/>
        <v>0</v>
      </c>
      <c r="Z431">
        <f t="shared" si="96"/>
        <v>0</v>
      </c>
      <c r="AA431">
        <f t="shared" si="97"/>
        <v>0</v>
      </c>
      <c r="AB431">
        <f t="shared" si="98"/>
        <v>0</v>
      </c>
      <c r="AC431">
        <f t="shared" si="99"/>
        <v>10</v>
      </c>
      <c r="AD431" s="1">
        <f t="shared" si="100"/>
        <v>5</v>
      </c>
      <c r="AE431">
        <f t="shared" si="101"/>
        <v>5</v>
      </c>
      <c r="AF431">
        <f t="shared" si="102"/>
        <v>0</v>
      </c>
      <c r="AG431">
        <f t="shared" si="103"/>
        <v>10</v>
      </c>
    </row>
    <row r="432" spans="1:33" x14ac:dyDescent="0.25">
      <c r="A432" t="s">
        <v>809</v>
      </c>
      <c r="B432" t="s">
        <v>99</v>
      </c>
      <c r="C432">
        <v>167540</v>
      </c>
      <c r="D432">
        <v>167540</v>
      </c>
      <c r="E432">
        <v>0</v>
      </c>
      <c r="F432">
        <v>10</v>
      </c>
      <c r="G432">
        <v>30</v>
      </c>
      <c r="O432">
        <v>40</v>
      </c>
      <c r="S432">
        <f t="shared" si="92"/>
        <v>2.5</v>
      </c>
      <c r="T432">
        <f t="shared" si="93"/>
        <v>0</v>
      </c>
      <c r="U432">
        <f t="shared" si="91"/>
        <v>1</v>
      </c>
      <c r="V432">
        <f t="shared" si="94"/>
        <v>1</v>
      </c>
      <c r="W432">
        <f t="shared" si="95"/>
        <v>0</v>
      </c>
      <c r="X432">
        <f t="shared" si="104"/>
        <v>0</v>
      </c>
      <c r="Y432">
        <f t="shared" si="105"/>
        <v>0</v>
      </c>
      <c r="Z432">
        <f t="shared" si="96"/>
        <v>0</v>
      </c>
      <c r="AA432">
        <f t="shared" si="97"/>
        <v>2.5</v>
      </c>
      <c r="AB432">
        <f t="shared" si="98"/>
        <v>4.2857142857142856</v>
      </c>
      <c r="AC432">
        <f t="shared" si="99"/>
        <v>0</v>
      </c>
      <c r="AD432" s="1">
        <f t="shared" si="100"/>
        <v>0</v>
      </c>
      <c r="AE432">
        <f t="shared" si="101"/>
        <v>0</v>
      </c>
      <c r="AF432">
        <f t="shared" si="102"/>
        <v>0</v>
      </c>
      <c r="AG432">
        <f t="shared" si="103"/>
        <v>0</v>
      </c>
    </row>
    <row r="433" spans="1:33" x14ac:dyDescent="0.25">
      <c r="A433" t="s">
        <v>810</v>
      </c>
      <c r="B433" t="s">
        <v>811</v>
      </c>
      <c r="C433">
        <v>166700</v>
      </c>
      <c r="D433">
        <v>166700</v>
      </c>
      <c r="H433">
        <v>0</v>
      </c>
      <c r="I433">
        <v>20</v>
      </c>
      <c r="J433">
        <v>0</v>
      </c>
      <c r="K433">
        <v>10</v>
      </c>
      <c r="L433">
        <v>10</v>
      </c>
      <c r="M433">
        <v>40</v>
      </c>
      <c r="S433">
        <f t="shared" si="92"/>
        <v>0</v>
      </c>
      <c r="T433">
        <f t="shared" si="93"/>
        <v>3.3333333333333335</v>
      </c>
      <c r="U433">
        <f t="shared" si="91"/>
        <v>1</v>
      </c>
      <c r="V433">
        <f t="shared" si="94"/>
        <v>0</v>
      </c>
      <c r="W433">
        <f t="shared" si="95"/>
        <v>1</v>
      </c>
      <c r="X433">
        <f t="shared" si="104"/>
        <v>0</v>
      </c>
      <c r="Y433">
        <f t="shared" si="105"/>
        <v>0</v>
      </c>
      <c r="Z433">
        <f t="shared" si="96"/>
        <v>0</v>
      </c>
      <c r="AA433">
        <f t="shared" si="97"/>
        <v>0</v>
      </c>
      <c r="AB433">
        <f t="shared" si="98"/>
        <v>0</v>
      </c>
      <c r="AC433">
        <f t="shared" si="99"/>
        <v>0</v>
      </c>
      <c r="AD433" s="1">
        <f t="shared" si="100"/>
        <v>3.3333333333333335</v>
      </c>
      <c r="AE433">
        <f t="shared" si="101"/>
        <v>0</v>
      </c>
      <c r="AF433">
        <f t="shared" si="102"/>
        <v>10</v>
      </c>
      <c r="AG433">
        <f t="shared" si="103"/>
        <v>10</v>
      </c>
    </row>
    <row r="434" spans="1:33" x14ac:dyDescent="0.25">
      <c r="A434" t="s">
        <v>812</v>
      </c>
      <c r="B434" t="s">
        <v>813</v>
      </c>
      <c r="C434">
        <v>166179</v>
      </c>
      <c r="D434">
        <v>166179</v>
      </c>
      <c r="S434">
        <f t="shared" si="92"/>
        <v>0</v>
      </c>
      <c r="T434">
        <f t="shared" si="93"/>
        <v>0</v>
      </c>
      <c r="U434">
        <f t="shared" si="91"/>
        <v>0</v>
      </c>
      <c r="V434">
        <f t="shared" si="94"/>
        <v>0</v>
      </c>
      <c r="W434">
        <f t="shared" si="95"/>
        <v>0</v>
      </c>
      <c r="X434">
        <f t="shared" si="104"/>
        <v>0</v>
      </c>
      <c r="Y434">
        <f t="shared" si="105"/>
        <v>0</v>
      </c>
      <c r="Z434">
        <f t="shared" si="96"/>
        <v>0</v>
      </c>
      <c r="AA434">
        <f t="shared" si="97"/>
        <v>0</v>
      </c>
      <c r="AB434">
        <f t="shared" si="98"/>
        <v>0</v>
      </c>
      <c r="AC434">
        <f t="shared" si="99"/>
        <v>0</v>
      </c>
      <c r="AD434" s="1">
        <f t="shared" si="100"/>
        <v>0</v>
      </c>
      <c r="AE434">
        <f t="shared" si="101"/>
        <v>0</v>
      </c>
      <c r="AF434">
        <f t="shared" si="102"/>
        <v>0</v>
      </c>
      <c r="AG434">
        <f t="shared" si="103"/>
        <v>0</v>
      </c>
    </row>
    <row r="435" spans="1:33" x14ac:dyDescent="0.25">
      <c r="A435" t="s">
        <v>814</v>
      </c>
      <c r="B435" t="s">
        <v>197</v>
      </c>
      <c r="C435">
        <v>165936</v>
      </c>
      <c r="D435">
        <v>165936</v>
      </c>
      <c r="E435">
        <v>40</v>
      </c>
      <c r="F435">
        <v>20</v>
      </c>
      <c r="G435">
        <v>30</v>
      </c>
      <c r="O435">
        <v>90</v>
      </c>
      <c r="S435">
        <f t="shared" si="92"/>
        <v>5.625</v>
      </c>
      <c r="T435">
        <f t="shared" si="93"/>
        <v>0</v>
      </c>
      <c r="U435">
        <f t="shared" si="91"/>
        <v>1</v>
      </c>
      <c r="V435">
        <f t="shared" si="94"/>
        <v>1</v>
      </c>
      <c r="W435">
        <f t="shared" si="95"/>
        <v>0</v>
      </c>
      <c r="X435">
        <f t="shared" si="104"/>
        <v>0</v>
      </c>
      <c r="Y435">
        <f t="shared" si="105"/>
        <v>0</v>
      </c>
      <c r="Z435">
        <f t="shared" si="96"/>
        <v>8</v>
      </c>
      <c r="AA435">
        <f t="shared" si="97"/>
        <v>5</v>
      </c>
      <c r="AB435">
        <f t="shared" si="98"/>
        <v>4.2857142857142856</v>
      </c>
      <c r="AC435">
        <f t="shared" si="99"/>
        <v>0</v>
      </c>
      <c r="AD435" s="1">
        <f t="shared" si="100"/>
        <v>0</v>
      </c>
      <c r="AE435">
        <f t="shared" si="101"/>
        <v>0</v>
      </c>
      <c r="AF435">
        <f t="shared" si="102"/>
        <v>0</v>
      </c>
      <c r="AG435">
        <f t="shared" si="103"/>
        <v>0</v>
      </c>
    </row>
    <row r="436" spans="1:33" x14ac:dyDescent="0.25">
      <c r="A436" t="s">
        <v>815</v>
      </c>
      <c r="B436" t="s">
        <v>45</v>
      </c>
      <c r="C436">
        <v>165972</v>
      </c>
      <c r="D436">
        <v>165972</v>
      </c>
      <c r="H436">
        <v>20</v>
      </c>
      <c r="I436">
        <v>20</v>
      </c>
      <c r="J436">
        <v>20</v>
      </c>
      <c r="K436">
        <v>10</v>
      </c>
      <c r="L436">
        <v>0</v>
      </c>
      <c r="M436">
        <v>70</v>
      </c>
      <c r="S436">
        <f t="shared" si="92"/>
        <v>0</v>
      </c>
      <c r="T436">
        <f t="shared" si="93"/>
        <v>5.833333333333333</v>
      </c>
      <c r="U436">
        <f t="shared" si="91"/>
        <v>1</v>
      </c>
      <c r="V436">
        <f t="shared" si="94"/>
        <v>0</v>
      </c>
      <c r="W436">
        <f t="shared" si="95"/>
        <v>1</v>
      </c>
      <c r="X436">
        <f t="shared" si="104"/>
        <v>0</v>
      </c>
      <c r="Y436">
        <f t="shared" si="105"/>
        <v>0</v>
      </c>
      <c r="Z436">
        <f t="shared" si="96"/>
        <v>0</v>
      </c>
      <c r="AA436">
        <f t="shared" si="97"/>
        <v>0</v>
      </c>
      <c r="AB436">
        <f t="shared" si="98"/>
        <v>0</v>
      </c>
      <c r="AC436">
        <f t="shared" si="99"/>
        <v>10</v>
      </c>
      <c r="AD436" s="1">
        <f t="shared" si="100"/>
        <v>3.3333333333333335</v>
      </c>
      <c r="AE436">
        <f t="shared" si="101"/>
        <v>10</v>
      </c>
      <c r="AF436">
        <f t="shared" si="102"/>
        <v>10</v>
      </c>
      <c r="AG436">
        <f t="shared" si="103"/>
        <v>0</v>
      </c>
    </row>
    <row r="437" spans="1:33" x14ac:dyDescent="0.25">
      <c r="A437" t="s">
        <v>816</v>
      </c>
      <c r="B437" t="s">
        <v>340</v>
      </c>
      <c r="C437">
        <v>167836</v>
      </c>
      <c r="D437">
        <v>167836</v>
      </c>
      <c r="E437">
        <v>0</v>
      </c>
      <c r="F437">
        <v>20</v>
      </c>
      <c r="G437">
        <v>40</v>
      </c>
      <c r="O437">
        <v>60</v>
      </c>
      <c r="S437">
        <f t="shared" si="92"/>
        <v>3.75</v>
      </c>
      <c r="T437">
        <f t="shared" si="93"/>
        <v>0</v>
      </c>
      <c r="U437">
        <f t="shared" si="91"/>
        <v>1</v>
      </c>
      <c r="V437">
        <f t="shared" si="94"/>
        <v>1</v>
      </c>
      <c r="W437">
        <f t="shared" si="95"/>
        <v>0</v>
      </c>
      <c r="X437">
        <f t="shared" si="104"/>
        <v>0</v>
      </c>
      <c r="Y437">
        <f t="shared" si="105"/>
        <v>0</v>
      </c>
      <c r="Z437">
        <f t="shared" si="96"/>
        <v>0</v>
      </c>
      <c r="AA437">
        <f t="shared" si="97"/>
        <v>5</v>
      </c>
      <c r="AB437">
        <f t="shared" si="98"/>
        <v>5.7142857142857144</v>
      </c>
      <c r="AC437">
        <f t="shared" si="99"/>
        <v>0</v>
      </c>
      <c r="AD437" s="1">
        <f t="shared" si="100"/>
        <v>0</v>
      </c>
      <c r="AE437">
        <f t="shared" si="101"/>
        <v>0</v>
      </c>
      <c r="AF437">
        <f t="shared" si="102"/>
        <v>0</v>
      </c>
      <c r="AG437">
        <f t="shared" si="103"/>
        <v>0</v>
      </c>
    </row>
    <row r="438" spans="1:33" x14ac:dyDescent="0.25">
      <c r="A438" t="s">
        <v>817</v>
      </c>
      <c r="B438" t="s">
        <v>818</v>
      </c>
      <c r="C438">
        <v>165391</v>
      </c>
      <c r="D438">
        <v>165391</v>
      </c>
      <c r="H438">
        <v>10</v>
      </c>
      <c r="I438">
        <v>60</v>
      </c>
      <c r="J438">
        <v>20</v>
      </c>
      <c r="K438">
        <v>10</v>
      </c>
      <c r="L438">
        <v>0</v>
      </c>
      <c r="M438">
        <v>100</v>
      </c>
      <c r="S438">
        <f t="shared" si="92"/>
        <v>0</v>
      </c>
      <c r="T438">
        <f t="shared" si="93"/>
        <v>8.3333333333333339</v>
      </c>
      <c r="U438">
        <f t="shared" si="91"/>
        <v>1</v>
      </c>
      <c r="V438">
        <f t="shared" si="94"/>
        <v>0</v>
      </c>
      <c r="W438">
        <f t="shared" si="95"/>
        <v>1</v>
      </c>
      <c r="X438">
        <f t="shared" si="104"/>
        <v>0</v>
      </c>
      <c r="Y438">
        <f t="shared" si="105"/>
        <v>1</v>
      </c>
      <c r="Z438">
        <f t="shared" si="96"/>
        <v>0</v>
      </c>
      <c r="AA438">
        <f t="shared" si="97"/>
        <v>0</v>
      </c>
      <c r="AB438">
        <f t="shared" si="98"/>
        <v>0</v>
      </c>
      <c r="AC438">
        <f t="shared" si="99"/>
        <v>5</v>
      </c>
      <c r="AD438" s="1">
        <f t="shared" si="100"/>
        <v>10</v>
      </c>
      <c r="AE438">
        <f t="shared" si="101"/>
        <v>10</v>
      </c>
      <c r="AF438">
        <f t="shared" si="102"/>
        <v>10</v>
      </c>
      <c r="AG438">
        <f t="shared" si="103"/>
        <v>0</v>
      </c>
    </row>
    <row r="439" spans="1:33" x14ac:dyDescent="0.25">
      <c r="A439" t="s">
        <v>819</v>
      </c>
      <c r="B439" t="s">
        <v>510</v>
      </c>
      <c r="C439">
        <v>166916</v>
      </c>
      <c r="D439">
        <v>166916</v>
      </c>
      <c r="H439">
        <v>10</v>
      </c>
      <c r="I439">
        <v>20</v>
      </c>
      <c r="J439">
        <v>10</v>
      </c>
      <c r="M439">
        <v>40</v>
      </c>
      <c r="S439">
        <f t="shared" si="92"/>
        <v>0</v>
      </c>
      <c r="T439">
        <f t="shared" si="93"/>
        <v>3.3333333333333335</v>
      </c>
      <c r="U439">
        <f t="shared" si="91"/>
        <v>1</v>
      </c>
      <c r="V439">
        <f t="shared" si="94"/>
        <v>0</v>
      </c>
      <c r="W439">
        <f t="shared" si="95"/>
        <v>1</v>
      </c>
      <c r="X439">
        <f t="shared" si="104"/>
        <v>0</v>
      </c>
      <c r="Y439">
        <f t="shared" si="105"/>
        <v>0</v>
      </c>
      <c r="Z439">
        <f t="shared" si="96"/>
        <v>0</v>
      </c>
      <c r="AA439">
        <f t="shared" si="97"/>
        <v>0</v>
      </c>
      <c r="AB439">
        <f t="shared" si="98"/>
        <v>0</v>
      </c>
      <c r="AC439">
        <f t="shared" si="99"/>
        <v>5</v>
      </c>
      <c r="AD439" s="1">
        <f t="shared" si="100"/>
        <v>3.3333333333333335</v>
      </c>
      <c r="AE439">
        <f t="shared" si="101"/>
        <v>5</v>
      </c>
      <c r="AF439">
        <f t="shared" si="102"/>
        <v>0</v>
      </c>
      <c r="AG439">
        <f t="shared" si="103"/>
        <v>0</v>
      </c>
    </row>
    <row r="440" spans="1:33" x14ac:dyDescent="0.25">
      <c r="A440" t="s">
        <v>820</v>
      </c>
      <c r="B440" t="s">
        <v>821</v>
      </c>
      <c r="C440">
        <v>168410</v>
      </c>
      <c r="D440">
        <v>168410</v>
      </c>
      <c r="E440">
        <v>20</v>
      </c>
      <c r="F440">
        <v>0</v>
      </c>
      <c r="G440">
        <v>10</v>
      </c>
      <c r="O440">
        <v>30</v>
      </c>
      <c r="R440" t="s">
        <v>20</v>
      </c>
      <c r="S440">
        <f t="shared" si="92"/>
        <v>1.875</v>
      </c>
      <c r="T440">
        <f t="shared" si="93"/>
        <v>0</v>
      </c>
      <c r="U440">
        <f t="shared" si="91"/>
        <v>1</v>
      </c>
      <c r="V440">
        <f t="shared" si="94"/>
        <v>1</v>
      </c>
      <c r="W440">
        <f t="shared" si="95"/>
        <v>0</v>
      </c>
      <c r="X440">
        <f t="shared" si="104"/>
        <v>0</v>
      </c>
      <c r="Y440">
        <f t="shared" si="105"/>
        <v>0</v>
      </c>
      <c r="Z440">
        <f t="shared" si="96"/>
        <v>4</v>
      </c>
      <c r="AA440">
        <f t="shared" si="97"/>
        <v>0</v>
      </c>
      <c r="AB440">
        <f t="shared" si="98"/>
        <v>1.4285714285714286</v>
      </c>
      <c r="AC440">
        <f t="shared" si="99"/>
        <v>0</v>
      </c>
      <c r="AD440" s="1">
        <f t="shared" si="100"/>
        <v>0</v>
      </c>
      <c r="AE440">
        <f t="shared" si="101"/>
        <v>0</v>
      </c>
      <c r="AF440">
        <f t="shared" si="102"/>
        <v>0</v>
      </c>
      <c r="AG440">
        <f t="shared" si="103"/>
        <v>0</v>
      </c>
    </row>
    <row r="441" spans="1:33" x14ac:dyDescent="0.25">
      <c r="A441" t="s">
        <v>822</v>
      </c>
      <c r="B441" t="s">
        <v>158</v>
      </c>
      <c r="C441">
        <v>166158</v>
      </c>
      <c r="D441">
        <v>166158</v>
      </c>
      <c r="E441">
        <v>40</v>
      </c>
      <c r="F441">
        <v>30</v>
      </c>
      <c r="G441">
        <v>30</v>
      </c>
      <c r="O441">
        <v>100</v>
      </c>
      <c r="S441">
        <f t="shared" si="92"/>
        <v>6.25</v>
      </c>
      <c r="T441">
        <f t="shared" si="93"/>
        <v>0</v>
      </c>
      <c r="U441">
        <f t="shared" si="91"/>
        <v>1</v>
      </c>
      <c r="V441">
        <f t="shared" si="94"/>
        <v>1</v>
      </c>
      <c r="W441">
        <f t="shared" si="95"/>
        <v>0</v>
      </c>
      <c r="X441">
        <f t="shared" si="104"/>
        <v>1</v>
      </c>
      <c r="Y441">
        <f t="shared" si="105"/>
        <v>0</v>
      </c>
      <c r="Z441">
        <f t="shared" si="96"/>
        <v>8</v>
      </c>
      <c r="AA441">
        <f t="shared" si="97"/>
        <v>7.5</v>
      </c>
      <c r="AB441">
        <f t="shared" si="98"/>
        <v>4.2857142857142856</v>
      </c>
      <c r="AC441">
        <f t="shared" si="99"/>
        <v>0</v>
      </c>
      <c r="AD441" s="1">
        <f t="shared" si="100"/>
        <v>0</v>
      </c>
      <c r="AE441">
        <f t="shared" si="101"/>
        <v>0</v>
      </c>
      <c r="AF441">
        <f t="shared" si="102"/>
        <v>0</v>
      </c>
      <c r="AG441">
        <f t="shared" si="103"/>
        <v>0</v>
      </c>
    </row>
    <row r="442" spans="1:33" x14ac:dyDescent="0.25">
      <c r="A442" t="s">
        <v>823</v>
      </c>
      <c r="B442" t="s">
        <v>824</v>
      </c>
      <c r="C442">
        <v>163339</v>
      </c>
      <c r="D442">
        <v>163339</v>
      </c>
      <c r="S442">
        <f t="shared" si="92"/>
        <v>0</v>
      </c>
      <c r="T442">
        <f t="shared" si="93"/>
        <v>0</v>
      </c>
      <c r="U442">
        <f t="shared" si="91"/>
        <v>0</v>
      </c>
      <c r="V442">
        <f t="shared" si="94"/>
        <v>0</v>
      </c>
      <c r="W442">
        <f t="shared" si="95"/>
        <v>0</v>
      </c>
      <c r="X442">
        <f t="shared" si="104"/>
        <v>0</v>
      </c>
      <c r="Y442">
        <f t="shared" si="105"/>
        <v>0</v>
      </c>
      <c r="Z442">
        <f t="shared" si="96"/>
        <v>0</v>
      </c>
      <c r="AA442">
        <f t="shared" si="97"/>
        <v>0</v>
      </c>
      <c r="AB442">
        <f t="shared" si="98"/>
        <v>0</v>
      </c>
      <c r="AC442">
        <f t="shared" si="99"/>
        <v>0</v>
      </c>
      <c r="AD442" s="1">
        <f t="shared" si="100"/>
        <v>0</v>
      </c>
      <c r="AE442">
        <f t="shared" si="101"/>
        <v>0</v>
      </c>
      <c r="AF442">
        <f t="shared" si="102"/>
        <v>0</v>
      </c>
      <c r="AG442">
        <f t="shared" si="103"/>
        <v>0</v>
      </c>
    </row>
    <row r="443" spans="1:33" x14ac:dyDescent="0.25">
      <c r="A443" t="s">
        <v>825</v>
      </c>
      <c r="B443" t="s">
        <v>826</v>
      </c>
      <c r="C443">
        <v>166924</v>
      </c>
      <c r="D443">
        <v>166924</v>
      </c>
      <c r="E443">
        <v>50</v>
      </c>
      <c r="F443">
        <v>20</v>
      </c>
      <c r="G443">
        <v>50</v>
      </c>
      <c r="O443">
        <v>120</v>
      </c>
      <c r="R443">
        <v>10</v>
      </c>
      <c r="S443">
        <f t="shared" si="92"/>
        <v>7.5</v>
      </c>
      <c r="T443">
        <f t="shared" si="93"/>
        <v>0</v>
      </c>
      <c r="U443">
        <f t="shared" si="91"/>
        <v>1</v>
      </c>
      <c r="V443">
        <f t="shared" si="94"/>
        <v>1</v>
      </c>
      <c r="W443">
        <f t="shared" si="95"/>
        <v>0</v>
      </c>
      <c r="X443">
        <f t="shared" si="104"/>
        <v>1</v>
      </c>
      <c r="Y443">
        <f t="shared" si="105"/>
        <v>0</v>
      </c>
      <c r="Z443">
        <f t="shared" si="96"/>
        <v>10</v>
      </c>
      <c r="AA443">
        <f t="shared" si="97"/>
        <v>5</v>
      </c>
      <c r="AB443">
        <f t="shared" si="98"/>
        <v>7.1428571428571432</v>
      </c>
      <c r="AC443">
        <f t="shared" si="99"/>
        <v>0</v>
      </c>
      <c r="AD443" s="1">
        <f t="shared" si="100"/>
        <v>0</v>
      </c>
      <c r="AE443">
        <f t="shared" si="101"/>
        <v>0</v>
      </c>
      <c r="AF443">
        <f t="shared" si="102"/>
        <v>0</v>
      </c>
      <c r="AG443">
        <f t="shared" si="103"/>
        <v>0</v>
      </c>
    </row>
    <row r="444" spans="1:33" x14ac:dyDescent="0.25">
      <c r="A444" t="s">
        <v>827</v>
      </c>
      <c r="B444" t="s">
        <v>828</v>
      </c>
      <c r="C444">
        <v>164993</v>
      </c>
      <c r="D444">
        <v>164993</v>
      </c>
      <c r="E444">
        <v>30</v>
      </c>
      <c r="F444">
        <v>40</v>
      </c>
      <c r="G444">
        <v>20</v>
      </c>
      <c r="O444">
        <v>90</v>
      </c>
      <c r="S444">
        <f t="shared" si="92"/>
        <v>5.625</v>
      </c>
      <c r="T444">
        <f t="shared" si="93"/>
        <v>0</v>
      </c>
      <c r="U444">
        <f t="shared" si="91"/>
        <v>1</v>
      </c>
      <c r="V444">
        <f t="shared" si="94"/>
        <v>1</v>
      </c>
      <c r="W444">
        <f t="shared" si="95"/>
        <v>0</v>
      </c>
      <c r="X444">
        <f t="shared" si="104"/>
        <v>0</v>
      </c>
      <c r="Y444">
        <f t="shared" si="105"/>
        <v>0</v>
      </c>
      <c r="Z444">
        <f t="shared" si="96"/>
        <v>6</v>
      </c>
      <c r="AA444">
        <f t="shared" si="97"/>
        <v>10</v>
      </c>
      <c r="AB444">
        <f t="shared" si="98"/>
        <v>2.8571428571428572</v>
      </c>
      <c r="AC444">
        <f t="shared" si="99"/>
        <v>0</v>
      </c>
      <c r="AD444" s="1">
        <f t="shared" si="100"/>
        <v>0</v>
      </c>
      <c r="AE444">
        <f t="shared" si="101"/>
        <v>0</v>
      </c>
      <c r="AF444">
        <f t="shared" si="102"/>
        <v>0</v>
      </c>
      <c r="AG444">
        <f t="shared" si="103"/>
        <v>0</v>
      </c>
    </row>
    <row r="445" spans="1:33" x14ac:dyDescent="0.25">
      <c r="A445" t="s">
        <v>827</v>
      </c>
      <c r="B445" t="s">
        <v>367</v>
      </c>
      <c r="C445">
        <v>168517</v>
      </c>
      <c r="D445">
        <v>168517</v>
      </c>
      <c r="S445">
        <f t="shared" si="92"/>
        <v>0</v>
      </c>
      <c r="T445">
        <f t="shared" si="93"/>
        <v>0</v>
      </c>
      <c r="U445">
        <f t="shared" si="91"/>
        <v>0</v>
      </c>
      <c r="V445">
        <f t="shared" si="94"/>
        <v>0</v>
      </c>
      <c r="W445">
        <f t="shared" si="95"/>
        <v>0</v>
      </c>
      <c r="X445">
        <f t="shared" si="104"/>
        <v>0</v>
      </c>
      <c r="Y445">
        <f t="shared" si="105"/>
        <v>0</v>
      </c>
      <c r="Z445">
        <f t="shared" si="96"/>
        <v>0</v>
      </c>
      <c r="AA445">
        <f t="shared" si="97"/>
        <v>0</v>
      </c>
      <c r="AB445">
        <f t="shared" si="98"/>
        <v>0</v>
      </c>
      <c r="AC445">
        <f t="shared" si="99"/>
        <v>0</v>
      </c>
      <c r="AD445" s="1">
        <f t="shared" si="100"/>
        <v>0</v>
      </c>
      <c r="AE445">
        <f t="shared" si="101"/>
        <v>0</v>
      </c>
      <c r="AF445">
        <f t="shared" si="102"/>
        <v>0</v>
      </c>
      <c r="AG445">
        <f t="shared" si="103"/>
        <v>0</v>
      </c>
    </row>
    <row r="446" spans="1:33" x14ac:dyDescent="0.25">
      <c r="A446" t="s">
        <v>829</v>
      </c>
      <c r="B446" t="s">
        <v>830</v>
      </c>
      <c r="C446">
        <v>168291</v>
      </c>
      <c r="D446">
        <v>168291</v>
      </c>
      <c r="H446">
        <v>0</v>
      </c>
      <c r="I446">
        <v>30</v>
      </c>
      <c r="J446">
        <v>20</v>
      </c>
      <c r="K446">
        <v>10</v>
      </c>
      <c r="L446">
        <v>10</v>
      </c>
      <c r="M446">
        <v>70</v>
      </c>
      <c r="S446">
        <f t="shared" si="92"/>
        <v>0</v>
      </c>
      <c r="T446">
        <f t="shared" si="93"/>
        <v>5.833333333333333</v>
      </c>
      <c r="U446">
        <f t="shared" si="91"/>
        <v>1</v>
      </c>
      <c r="V446">
        <f t="shared" si="94"/>
        <v>0</v>
      </c>
      <c r="W446">
        <f t="shared" si="95"/>
        <v>1</v>
      </c>
      <c r="X446">
        <f t="shared" si="104"/>
        <v>0</v>
      </c>
      <c r="Y446">
        <f t="shared" si="105"/>
        <v>0</v>
      </c>
      <c r="Z446">
        <f t="shared" si="96"/>
        <v>0</v>
      </c>
      <c r="AA446">
        <f t="shared" si="97"/>
        <v>0</v>
      </c>
      <c r="AB446">
        <f t="shared" si="98"/>
        <v>0</v>
      </c>
      <c r="AC446">
        <f t="shared" si="99"/>
        <v>0</v>
      </c>
      <c r="AD446" s="1">
        <f t="shared" si="100"/>
        <v>5</v>
      </c>
      <c r="AE446">
        <f t="shared" si="101"/>
        <v>10</v>
      </c>
      <c r="AF446">
        <f t="shared" si="102"/>
        <v>10</v>
      </c>
      <c r="AG446">
        <f t="shared" si="103"/>
        <v>10</v>
      </c>
    </row>
    <row r="447" spans="1:33" x14ac:dyDescent="0.25">
      <c r="A447" t="s">
        <v>831</v>
      </c>
      <c r="B447" t="s">
        <v>832</v>
      </c>
      <c r="C447">
        <v>159357</v>
      </c>
      <c r="D447">
        <v>159357</v>
      </c>
      <c r="E447">
        <v>40</v>
      </c>
      <c r="F447">
        <v>30</v>
      </c>
      <c r="G447">
        <v>50</v>
      </c>
      <c r="O447">
        <v>120</v>
      </c>
      <c r="S447">
        <f t="shared" si="92"/>
        <v>7.5</v>
      </c>
      <c r="T447">
        <f t="shared" si="93"/>
        <v>0</v>
      </c>
      <c r="U447">
        <f t="shared" si="91"/>
        <v>1</v>
      </c>
      <c r="V447">
        <f t="shared" si="94"/>
        <v>1</v>
      </c>
      <c r="W447">
        <f t="shared" si="95"/>
        <v>0</v>
      </c>
      <c r="X447">
        <f t="shared" si="104"/>
        <v>1</v>
      </c>
      <c r="Y447">
        <f t="shared" si="105"/>
        <v>0</v>
      </c>
      <c r="Z447">
        <f t="shared" si="96"/>
        <v>8</v>
      </c>
      <c r="AA447">
        <f t="shared" si="97"/>
        <v>7.5</v>
      </c>
      <c r="AB447">
        <f t="shared" si="98"/>
        <v>7.1428571428571432</v>
      </c>
      <c r="AC447">
        <f t="shared" si="99"/>
        <v>0</v>
      </c>
      <c r="AD447" s="1">
        <f t="shared" si="100"/>
        <v>0</v>
      </c>
      <c r="AE447">
        <f t="shared" si="101"/>
        <v>0</v>
      </c>
      <c r="AF447">
        <f t="shared" si="102"/>
        <v>0</v>
      </c>
      <c r="AG447">
        <f t="shared" si="103"/>
        <v>0</v>
      </c>
    </row>
    <row r="448" spans="1:33" x14ac:dyDescent="0.25">
      <c r="A448" t="s">
        <v>833</v>
      </c>
      <c r="B448" t="s">
        <v>834</v>
      </c>
      <c r="C448">
        <v>164461</v>
      </c>
      <c r="D448">
        <v>164461</v>
      </c>
      <c r="S448">
        <f t="shared" si="92"/>
        <v>0</v>
      </c>
      <c r="T448">
        <f t="shared" si="93"/>
        <v>0</v>
      </c>
      <c r="U448">
        <f t="shared" si="91"/>
        <v>0</v>
      </c>
      <c r="V448">
        <f t="shared" si="94"/>
        <v>0</v>
      </c>
      <c r="W448">
        <f t="shared" si="95"/>
        <v>0</v>
      </c>
      <c r="X448">
        <f t="shared" si="104"/>
        <v>0</v>
      </c>
      <c r="Y448">
        <f t="shared" si="105"/>
        <v>0</v>
      </c>
      <c r="Z448">
        <f t="shared" si="96"/>
        <v>0</v>
      </c>
      <c r="AA448">
        <f t="shared" si="97"/>
        <v>0</v>
      </c>
      <c r="AB448">
        <f t="shared" si="98"/>
        <v>0</v>
      </c>
      <c r="AC448">
        <f t="shared" si="99"/>
        <v>0</v>
      </c>
      <c r="AD448" s="1">
        <f t="shared" si="100"/>
        <v>0</v>
      </c>
      <c r="AE448">
        <f t="shared" si="101"/>
        <v>0</v>
      </c>
      <c r="AF448">
        <f t="shared" si="102"/>
        <v>0</v>
      </c>
      <c r="AG448">
        <f t="shared" si="103"/>
        <v>0</v>
      </c>
    </row>
    <row r="449" spans="1:33" x14ac:dyDescent="0.25">
      <c r="A449" t="s">
        <v>835</v>
      </c>
      <c r="B449" t="s">
        <v>836</v>
      </c>
      <c r="C449">
        <v>167051</v>
      </c>
      <c r="D449">
        <v>167051</v>
      </c>
      <c r="S449">
        <f t="shared" si="92"/>
        <v>0</v>
      </c>
      <c r="T449">
        <f t="shared" si="93"/>
        <v>0</v>
      </c>
      <c r="U449">
        <f t="shared" si="91"/>
        <v>0</v>
      </c>
      <c r="V449">
        <f t="shared" si="94"/>
        <v>0</v>
      </c>
      <c r="W449">
        <f t="shared" si="95"/>
        <v>0</v>
      </c>
      <c r="X449">
        <f t="shared" si="104"/>
        <v>0</v>
      </c>
      <c r="Y449">
        <f t="shared" si="105"/>
        <v>0</v>
      </c>
      <c r="Z449">
        <f t="shared" si="96"/>
        <v>0</v>
      </c>
      <c r="AA449">
        <f t="shared" si="97"/>
        <v>0</v>
      </c>
      <c r="AB449">
        <f t="shared" si="98"/>
        <v>0</v>
      </c>
      <c r="AC449">
        <f t="shared" si="99"/>
        <v>0</v>
      </c>
      <c r="AD449" s="1">
        <f t="shared" si="100"/>
        <v>0</v>
      </c>
      <c r="AE449">
        <f t="shared" si="101"/>
        <v>0</v>
      </c>
      <c r="AF449">
        <f t="shared" si="102"/>
        <v>0</v>
      </c>
      <c r="AG449">
        <f t="shared" si="103"/>
        <v>0</v>
      </c>
    </row>
    <row r="450" spans="1:33" x14ac:dyDescent="0.25">
      <c r="A450" t="s">
        <v>837</v>
      </c>
      <c r="B450" t="s">
        <v>209</v>
      </c>
      <c r="C450">
        <v>168425</v>
      </c>
      <c r="D450">
        <v>168425</v>
      </c>
      <c r="E450">
        <v>10</v>
      </c>
      <c r="F450">
        <v>10</v>
      </c>
      <c r="G450">
        <v>30</v>
      </c>
      <c r="O450">
        <v>50</v>
      </c>
      <c r="S450">
        <f t="shared" si="92"/>
        <v>3.125</v>
      </c>
      <c r="T450">
        <f t="shared" si="93"/>
        <v>0</v>
      </c>
      <c r="U450">
        <f t="shared" ref="U450:U513" si="106">IF(AND(E450="",F450="",G450="",H450="",I450="",J450="",K450="",L450="",M450=""),0,1)</f>
        <v>1</v>
      </c>
      <c r="V450">
        <f t="shared" si="94"/>
        <v>1</v>
      </c>
      <c r="W450">
        <f t="shared" si="95"/>
        <v>0</v>
      </c>
      <c r="X450">
        <f t="shared" si="104"/>
        <v>0</v>
      </c>
      <c r="Y450">
        <f t="shared" si="105"/>
        <v>0</v>
      </c>
      <c r="Z450">
        <f t="shared" si="96"/>
        <v>2</v>
      </c>
      <c r="AA450">
        <f t="shared" si="97"/>
        <v>2.5</v>
      </c>
      <c r="AB450">
        <f t="shared" si="98"/>
        <v>4.2857142857142856</v>
      </c>
      <c r="AC450">
        <f t="shared" si="99"/>
        <v>0</v>
      </c>
      <c r="AD450" s="1">
        <f t="shared" si="100"/>
        <v>0</v>
      </c>
      <c r="AE450">
        <f t="shared" si="101"/>
        <v>0</v>
      </c>
      <c r="AF450">
        <f t="shared" si="102"/>
        <v>0</v>
      </c>
      <c r="AG450">
        <f t="shared" si="103"/>
        <v>0</v>
      </c>
    </row>
    <row r="451" spans="1:33" x14ac:dyDescent="0.25">
      <c r="A451" t="s">
        <v>838</v>
      </c>
      <c r="B451" t="s">
        <v>839</v>
      </c>
      <c r="C451">
        <v>167343</v>
      </c>
      <c r="D451">
        <v>167343</v>
      </c>
      <c r="H451">
        <v>20</v>
      </c>
      <c r="I451">
        <v>40</v>
      </c>
      <c r="J451">
        <v>10</v>
      </c>
      <c r="K451">
        <v>10</v>
      </c>
      <c r="L451">
        <v>0</v>
      </c>
      <c r="M451">
        <v>80</v>
      </c>
      <c r="S451">
        <f t="shared" ref="S451:S514" si="107">O451/16</f>
        <v>0</v>
      </c>
      <c r="T451">
        <f t="shared" ref="T451:T514" si="108">M451/12</f>
        <v>6.666666666666667</v>
      </c>
      <c r="U451">
        <f t="shared" si="106"/>
        <v>1</v>
      </c>
      <c r="V451">
        <f t="shared" ref="V451:V514" si="109">IF(O451="",0,1)</f>
        <v>0</v>
      </c>
      <c r="W451">
        <f t="shared" ref="W451:W514" si="110">IF(M451="",0,1)</f>
        <v>1</v>
      </c>
      <c r="X451">
        <f t="shared" si="104"/>
        <v>0</v>
      </c>
      <c r="Y451">
        <f t="shared" si="105"/>
        <v>1</v>
      </c>
      <c r="Z451">
        <f t="shared" ref="Z451:Z514" si="111">E451/5</f>
        <v>0</v>
      </c>
      <c r="AA451">
        <f t="shared" ref="AA451:AA514" si="112">F451/4</f>
        <v>0</v>
      </c>
      <c r="AB451">
        <f t="shared" ref="AB451:AB514" si="113">G451/7</f>
        <v>0</v>
      </c>
      <c r="AC451">
        <f t="shared" ref="AC451:AC514" si="114">H451/2</f>
        <v>10</v>
      </c>
      <c r="AD451" s="1">
        <f t="shared" ref="AD451:AD514" si="115">I451/6</f>
        <v>6.666666666666667</v>
      </c>
      <c r="AE451">
        <f t="shared" ref="AE451:AE514" si="116">J451/2</f>
        <v>5</v>
      </c>
      <c r="AF451">
        <f t="shared" ref="AF451:AF514" si="117">K451</f>
        <v>10</v>
      </c>
      <c r="AG451">
        <f t="shared" ref="AG451:AG514" si="118">L451</f>
        <v>0</v>
      </c>
    </row>
    <row r="452" spans="1:33" x14ac:dyDescent="0.25">
      <c r="A452" t="s">
        <v>840</v>
      </c>
      <c r="B452" t="s">
        <v>841</v>
      </c>
      <c r="C452">
        <v>167852</v>
      </c>
      <c r="D452">
        <v>167852</v>
      </c>
      <c r="E452">
        <v>20</v>
      </c>
      <c r="F452">
        <v>30</v>
      </c>
      <c r="G452">
        <v>40</v>
      </c>
      <c r="O452">
        <v>90</v>
      </c>
      <c r="S452">
        <f t="shared" si="107"/>
        <v>5.625</v>
      </c>
      <c r="T452">
        <f t="shared" si="108"/>
        <v>0</v>
      </c>
      <c r="U452">
        <f t="shared" si="106"/>
        <v>1</v>
      </c>
      <c r="V452">
        <f t="shared" si="109"/>
        <v>1</v>
      </c>
      <c r="W452">
        <f t="shared" si="110"/>
        <v>0</v>
      </c>
      <c r="X452">
        <f t="shared" si="104"/>
        <v>0</v>
      </c>
      <c r="Y452">
        <f t="shared" si="105"/>
        <v>0</v>
      </c>
      <c r="Z452">
        <f t="shared" si="111"/>
        <v>4</v>
      </c>
      <c r="AA452">
        <f t="shared" si="112"/>
        <v>7.5</v>
      </c>
      <c r="AB452">
        <f t="shared" si="113"/>
        <v>5.7142857142857144</v>
      </c>
      <c r="AC452">
        <f t="shared" si="114"/>
        <v>0</v>
      </c>
      <c r="AD452" s="1">
        <f t="shared" si="115"/>
        <v>0</v>
      </c>
      <c r="AE452">
        <f t="shared" si="116"/>
        <v>0</v>
      </c>
      <c r="AF452">
        <f t="shared" si="117"/>
        <v>0</v>
      </c>
      <c r="AG452">
        <f t="shared" si="118"/>
        <v>0</v>
      </c>
    </row>
    <row r="453" spans="1:33" x14ac:dyDescent="0.25">
      <c r="A453" t="s">
        <v>842</v>
      </c>
      <c r="B453" t="s">
        <v>843</v>
      </c>
      <c r="C453">
        <v>166295</v>
      </c>
      <c r="D453">
        <v>166295</v>
      </c>
      <c r="E453">
        <v>20</v>
      </c>
      <c r="F453">
        <v>30</v>
      </c>
      <c r="G453">
        <v>0</v>
      </c>
      <c r="O453">
        <v>50</v>
      </c>
      <c r="S453">
        <f t="shared" si="107"/>
        <v>3.125</v>
      </c>
      <c r="T453">
        <f t="shared" si="108"/>
        <v>0</v>
      </c>
      <c r="U453">
        <f t="shared" si="106"/>
        <v>1</v>
      </c>
      <c r="V453">
        <f t="shared" si="109"/>
        <v>1</v>
      </c>
      <c r="W453">
        <f t="shared" si="110"/>
        <v>0</v>
      </c>
      <c r="X453">
        <f t="shared" ref="X453:X516" si="119">IF(AND(V453=1,S453&gt;6),1,0)</f>
        <v>0</v>
      </c>
      <c r="Y453">
        <f t="shared" ref="Y453:Y516" si="120">IF(AND(W453=1,T453&gt;6),1,0)</f>
        <v>0</v>
      </c>
      <c r="Z453">
        <f t="shared" si="111"/>
        <v>4</v>
      </c>
      <c r="AA453">
        <f t="shared" si="112"/>
        <v>7.5</v>
      </c>
      <c r="AB453">
        <f t="shared" si="113"/>
        <v>0</v>
      </c>
      <c r="AC453">
        <f t="shared" si="114"/>
        <v>0</v>
      </c>
      <c r="AD453" s="1">
        <f t="shared" si="115"/>
        <v>0</v>
      </c>
      <c r="AE453">
        <f t="shared" si="116"/>
        <v>0</v>
      </c>
      <c r="AF453">
        <f t="shared" si="117"/>
        <v>0</v>
      </c>
      <c r="AG453">
        <f t="shared" si="118"/>
        <v>0</v>
      </c>
    </row>
    <row r="454" spans="1:33" x14ac:dyDescent="0.25">
      <c r="A454" t="s">
        <v>844</v>
      </c>
      <c r="B454" t="s">
        <v>45</v>
      </c>
      <c r="C454">
        <v>168810</v>
      </c>
      <c r="D454">
        <v>168810</v>
      </c>
      <c r="S454">
        <f t="shared" si="107"/>
        <v>0</v>
      </c>
      <c r="T454">
        <f t="shared" si="108"/>
        <v>0</v>
      </c>
      <c r="U454">
        <f t="shared" si="106"/>
        <v>0</v>
      </c>
      <c r="V454">
        <f t="shared" si="109"/>
        <v>0</v>
      </c>
      <c r="W454">
        <f t="shared" si="110"/>
        <v>0</v>
      </c>
      <c r="X454">
        <f t="shared" si="119"/>
        <v>0</v>
      </c>
      <c r="Y454">
        <f t="shared" si="120"/>
        <v>0</v>
      </c>
      <c r="Z454">
        <f t="shared" si="111"/>
        <v>0</v>
      </c>
      <c r="AA454">
        <f t="shared" si="112"/>
        <v>0</v>
      </c>
      <c r="AB454">
        <f t="shared" si="113"/>
        <v>0</v>
      </c>
      <c r="AC454">
        <f t="shared" si="114"/>
        <v>0</v>
      </c>
      <c r="AD454" s="1">
        <f t="shared" si="115"/>
        <v>0</v>
      </c>
      <c r="AE454">
        <f t="shared" si="116"/>
        <v>0</v>
      </c>
      <c r="AF454">
        <f t="shared" si="117"/>
        <v>0</v>
      </c>
      <c r="AG454">
        <f t="shared" si="118"/>
        <v>0</v>
      </c>
    </row>
    <row r="455" spans="1:33" x14ac:dyDescent="0.25">
      <c r="A455" t="s">
        <v>845</v>
      </c>
      <c r="B455" t="s">
        <v>846</v>
      </c>
      <c r="C455" t="s">
        <v>847</v>
      </c>
      <c r="S455">
        <f t="shared" si="107"/>
        <v>0</v>
      </c>
      <c r="T455">
        <f t="shared" si="108"/>
        <v>0</v>
      </c>
      <c r="U455">
        <f t="shared" si="106"/>
        <v>0</v>
      </c>
      <c r="V455">
        <f t="shared" si="109"/>
        <v>0</v>
      </c>
      <c r="W455">
        <f t="shared" si="110"/>
        <v>0</v>
      </c>
      <c r="X455">
        <f t="shared" si="119"/>
        <v>0</v>
      </c>
      <c r="Y455">
        <f t="shared" si="120"/>
        <v>0</v>
      </c>
      <c r="Z455">
        <f t="shared" si="111"/>
        <v>0</v>
      </c>
      <c r="AA455">
        <f t="shared" si="112"/>
        <v>0</v>
      </c>
      <c r="AB455">
        <f t="shared" si="113"/>
        <v>0</v>
      </c>
      <c r="AC455">
        <f t="shared" si="114"/>
        <v>0</v>
      </c>
      <c r="AD455" s="1">
        <f t="shared" si="115"/>
        <v>0</v>
      </c>
      <c r="AE455">
        <f t="shared" si="116"/>
        <v>0</v>
      </c>
      <c r="AF455">
        <f t="shared" si="117"/>
        <v>0</v>
      </c>
      <c r="AG455">
        <f t="shared" si="118"/>
        <v>0</v>
      </c>
    </row>
    <row r="456" spans="1:33" x14ac:dyDescent="0.25">
      <c r="A456" t="s">
        <v>848</v>
      </c>
      <c r="B456" t="s">
        <v>486</v>
      </c>
      <c r="C456">
        <v>168635</v>
      </c>
      <c r="D456">
        <v>168635</v>
      </c>
      <c r="E456">
        <v>30</v>
      </c>
      <c r="F456">
        <v>20</v>
      </c>
      <c r="G456">
        <v>30</v>
      </c>
      <c r="O456">
        <v>80</v>
      </c>
      <c r="S456">
        <f t="shared" si="107"/>
        <v>5</v>
      </c>
      <c r="T456">
        <f t="shared" si="108"/>
        <v>0</v>
      </c>
      <c r="U456">
        <f t="shared" si="106"/>
        <v>1</v>
      </c>
      <c r="V456">
        <f t="shared" si="109"/>
        <v>1</v>
      </c>
      <c r="W456">
        <f t="shared" si="110"/>
        <v>0</v>
      </c>
      <c r="X456">
        <f t="shared" si="119"/>
        <v>0</v>
      </c>
      <c r="Y456">
        <f t="shared" si="120"/>
        <v>0</v>
      </c>
      <c r="Z456">
        <f t="shared" si="111"/>
        <v>6</v>
      </c>
      <c r="AA456">
        <f t="shared" si="112"/>
        <v>5</v>
      </c>
      <c r="AB456">
        <f t="shared" si="113"/>
        <v>4.2857142857142856</v>
      </c>
      <c r="AC456">
        <f t="shared" si="114"/>
        <v>0</v>
      </c>
      <c r="AD456" s="1">
        <f t="shared" si="115"/>
        <v>0</v>
      </c>
      <c r="AE456">
        <f t="shared" si="116"/>
        <v>0</v>
      </c>
      <c r="AF456">
        <f t="shared" si="117"/>
        <v>0</v>
      </c>
      <c r="AG456">
        <f t="shared" si="118"/>
        <v>0</v>
      </c>
    </row>
    <row r="457" spans="1:33" x14ac:dyDescent="0.25">
      <c r="A457" t="s">
        <v>849</v>
      </c>
      <c r="B457" t="s">
        <v>850</v>
      </c>
      <c r="C457">
        <v>167888</v>
      </c>
      <c r="D457">
        <v>167888</v>
      </c>
      <c r="E457">
        <v>20</v>
      </c>
      <c r="F457">
        <v>20</v>
      </c>
      <c r="G457">
        <v>30</v>
      </c>
      <c r="O457">
        <v>70</v>
      </c>
      <c r="S457">
        <f t="shared" si="107"/>
        <v>4.375</v>
      </c>
      <c r="T457">
        <f t="shared" si="108"/>
        <v>0</v>
      </c>
      <c r="U457">
        <f t="shared" si="106"/>
        <v>1</v>
      </c>
      <c r="V457">
        <f t="shared" si="109"/>
        <v>1</v>
      </c>
      <c r="W457">
        <f t="shared" si="110"/>
        <v>0</v>
      </c>
      <c r="X457">
        <f t="shared" si="119"/>
        <v>0</v>
      </c>
      <c r="Y457">
        <f t="shared" si="120"/>
        <v>0</v>
      </c>
      <c r="Z457">
        <f t="shared" si="111"/>
        <v>4</v>
      </c>
      <c r="AA457">
        <f t="shared" si="112"/>
        <v>5</v>
      </c>
      <c r="AB457">
        <f t="shared" si="113"/>
        <v>4.2857142857142856</v>
      </c>
      <c r="AC457">
        <f t="shared" si="114"/>
        <v>0</v>
      </c>
      <c r="AD457" s="1">
        <f t="shared" si="115"/>
        <v>0</v>
      </c>
      <c r="AE457">
        <f t="shared" si="116"/>
        <v>0</v>
      </c>
      <c r="AF457">
        <f t="shared" si="117"/>
        <v>0</v>
      </c>
      <c r="AG457">
        <f t="shared" si="118"/>
        <v>0</v>
      </c>
    </row>
    <row r="458" spans="1:33" x14ac:dyDescent="0.25">
      <c r="A458" t="s">
        <v>851</v>
      </c>
      <c r="B458" t="s">
        <v>577</v>
      </c>
      <c r="C458">
        <v>166584</v>
      </c>
      <c r="D458">
        <v>166584</v>
      </c>
      <c r="E458">
        <v>40</v>
      </c>
      <c r="F458">
        <v>20</v>
      </c>
      <c r="G458">
        <v>50</v>
      </c>
      <c r="O458">
        <v>110</v>
      </c>
      <c r="S458">
        <f t="shared" si="107"/>
        <v>6.875</v>
      </c>
      <c r="T458">
        <f t="shared" si="108"/>
        <v>0</v>
      </c>
      <c r="U458">
        <f t="shared" si="106"/>
        <v>1</v>
      </c>
      <c r="V458">
        <f t="shared" si="109"/>
        <v>1</v>
      </c>
      <c r="W458">
        <f t="shared" si="110"/>
        <v>0</v>
      </c>
      <c r="X458">
        <f t="shared" si="119"/>
        <v>1</v>
      </c>
      <c r="Y458">
        <f t="shared" si="120"/>
        <v>0</v>
      </c>
      <c r="Z458">
        <f t="shared" si="111"/>
        <v>8</v>
      </c>
      <c r="AA458">
        <f t="shared" si="112"/>
        <v>5</v>
      </c>
      <c r="AB458">
        <f t="shared" si="113"/>
        <v>7.1428571428571432</v>
      </c>
      <c r="AC458">
        <f t="shared" si="114"/>
        <v>0</v>
      </c>
      <c r="AD458" s="1">
        <f t="shared" si="115"/>
        <v>0</v>
      </c>
      <c r="AE458">
        <f t="shared" si="116"/>
        <v>0</v>
      </c>
      <c r="AF458">
        <f t="shared" si="117"/>
        <v>0</v>
      </c>
      <c r="AG458">
        <f t="shared" si="118"/>
        <v>0</v>
      </c>
    </row>
    <row r="459" spans="1:33" x14ac:dyDescent="0.25">
      <c r="A459" t="s">
        <v>852</v>
      </c>
      <c r="B459" t="s">
        <v>218</v>
      </c>
      <c r="C459">
        <v>167363</v>
      </c>
      <c r="D459">
        <v>167363</v>
      </c>
      <c r="E459">
        <v>30</v>
      </c>
      <c r="F459">
        <v>10</v>
      </c>
      <c r="G459">
        <v>20</v>
      </c>
      <c r="O459">
        <v>60</v>
      </c>
      <c r="S459">
        <f t="shared" si="107"/>
        <v>3.75</v>
      </c>
      <c r="T459">
        <f t="shared" si="108"/>
        <v>0</v>
      </c>
      <c r="U459">
        <f t="shared" si="106"/>
        <v>1</v>
      </c>
      <c r="V459">
        <f t="shared" si="109"/>
        <v>1</v>
      </c>
      <c r="W459">
        <f t="shared" si="110"/>
        <v>0</v>
      </c>
      <c r="X459">
        <f t="shared" si="119"/>
        <v>0</v>
      </c>
      <c r="Y459">
        <f t="shared" si="120"/>
        <v>0</v>
      </c>
      <c r="Z459">
        <f t="shared" si="111"/>
        <v>6</v>
      </c>
      <c r="AA459">
        <f t="shared" si="112"/>
        <v>2.5</v>
      </c>
      <c r="AB459">
        <f t="shared" si="113"/>
        <v>2.8571428571428572</v>
      </c>
      <c r="AC459">
        <f t="shared" si="114"/>
        <v>0</v>
      </c>
      <c r="AD459" s="1">
        <f t="shared" si="115"/>
        <v>0</v>
      </c>
      <c r="AE459">
        <f t="shared" si="116"/>
        <v>0</v>
      </c>
      <c r="AF459">
        <f t="shared" si="117"/>
        <v>0</v>
      </c>
      <c r="AG459">
        <f t="shared" si="118"/>
        <v>0</v>
      </c>
    </row>
    <row r="460" spans="1:33" x14ac:dyDescent="0.25">
      <c r="A460" t="s">
        <v>853</v>
      </c>
      <c r="B460" t="s">
        <v>45</v>
      </c>
      <c r="C460">
        <v>167293</v>
      </c>
      <c r="D460">
        <v>167293</v>
      </c>
      <c r="E460">
        <v>10</v>
      </c>
      <c r="F460">
        <v>10</v>
      </c>
      <c r="G460">
        <v>20</v>
      </c>
      <c r="O460">
        <v>40</v>
      </c>
      <c r="S460">
        <f t="shared" si="107"/>
        <v>2.5</v>
      </c>
      <c r="T460">
        <f t="shared" si="108"/>
        <v>0</v>
      </c>
      <c r="U460">
        <f t="shared" si="106"/>
        <v>1</v>
      </c>
      <c r="V460">
        <f t="shared" si="109"/>
        <v>1</v>
      </c>
      <c r="W460">
        <f t="shared" si="110"/>
        <v>0</v>
      </c>
      <c r="X460">
        <f t="shared" si="119"/>
        <v>0</v>
      </c>
      <c r="Y460">
        <f t="shared" si="120"/>
        <v>0</v>
      </c>
      <c r="Z460">
        <f t="shared" si="111"/>
        <v>2</v>
      </c>
      <c r="AA460">
        <f t="shared" si="112"/>
        <v>2.5</v>
      </c>
      <c r="AB460">
        <f t="shared" si="113"/>
        <v>2.8571428571428572</v>
      </c>
      <c r="AC460">
        <f t="shared" si="114"/>
        <v>0</v>
      </c>
      <c r="AD460" s="1">
        <f t="shared" si="115"/>
        <v>0</v>
      </c>
      <c r="AE460">
        <f t="shared" si="116"/>
        <v>0</v>
      </c>
      <c r="AF460">
        <f t="shared" si="117"/>
        <v>0</v>
      </c>
      <c r="AG460">
        <f t="shared" si="118"/>
        <v>0</v>
      </c>
    </row>
    <row r="461" spans="1:33" x14ac:dyDescent="0.25">
      <c r="A461" t="s">
        <v>854</v>
      </c>
      <c r="B461" t="s">
        <v>55</v>
      </c>
      <c r="C461">
        <v>167194</v>
      </c>
      <c r="D461">
        <v>167194</v>
      </c>
      <c r="S461">
        <f t="shared" si="107"/>
        <v>0</v>
      </c>
      <c r="T461">
        <f t="shared" si="108"/>
        <v>0</v>
      </c>
      <c r="U461">
        <f t="shared" si="106"/>
        <v>0</v>
      </c>
      <c r="V461">
        <f t="shared" si="109"/>
        <v>0</v>
      </c>
      <c r="W461">
        <f t="shared" si="110"/>
        <v>0</v>
      </c>
      <c r="X461">
        <f t="shared" si="119"/>
        <v>0</v>
      </c>
      <c r="Y461">
        <f t="shared" si="120"/>
        <v>0</v>
      </c>
      <c r="Z461">
        <f t="shared" si="111"/>
        <v>0</v>
      </c>
      <c r="AA461">
        <f t="shared" si="112"/>
        <v>0</v>
      </c>
      <c r="AB461">
        <f t="shared" si="113"/>
        <v>0</v>
      </c>
      <c r="AC461">
        <f t="shared" si="114"/>
        <v>0</v>
      </c>
      <c r="AD461" s="1">
        <f t="shared" si="115"/>
        <v>0</v>
      </c>
      <c r="AE461">
        <f t="shared" si="116"/>
        <v>0</v>
      </c>
      <c r="AF461">
        <f t="shared" si="117"/>
        <v>0</v>
      </c>
      <c r="AG461">
        <f t="shared" si="118"/>
        <v>0</v>
      </c>
    </row>
    <row r="462" spans="1:33" x14ac:dyDescent="0.25">
      <c r="A462" t="s">
        <v>855</v>
      </c>
      <c r="B462" t="s">
        <v>49</v>
      </c>
      <c r="C462">
        <v>165909</v>
      </c>
      <c r="D462">
        <v>165909</v>
      </c>
      <c r="S462">
        <f t="shared" si="107"/>
        <v>0</v>
      </c>
      <c r="T462">
        <f t="shared" si="108"/>
        <v>0</v>
      </c>
      <c r="U462">
        <f t="shared" si="106"/>
        <v>0</v>
      </c>
      <c r="V462">
        <f t="shared" si="109"/>
        <v>0</v>
      </c>
      <c r="W462">
        <f t="shared" si="110"/>
        <v>0</v>
      </c>
      <c r="X462">
        <f t="shared" si="119"/>
        <v>0</v>
      </c>
      <c r="Y462">
        <f t="shared" si="120"/>
        <v>0</v>
      </c>
      <c r="Z462">
        <f t="shared" si="111"/>
        <v>0</v>
      </c>
      <c r="AA462">
        <f t="shared" si="112"/>
        <v>0</v>
      </c>
      <c r="AB462">
        <f t="shared" si="113"/>
        <v>0</v>
      </c>
      <c r="AC462">
        <f t="shared" si="114"/>
        <v>0</v>
      </c>
      <c r="AD462" s="1">
        <f t="shared" si="115"/>
        <v>0</v>
      </c>
      <c r="AE462">
        <f t="shared" si="116"/>
        <v>0</v>
      </c>
      <c r="AF462">
        <f t="shared" si="117"/>
        <v>0</v>
      </c>
      <c r="AG462">
        <f t="shared" si="118"/>
        <v>0</v>
      </c>
    </row>
    <row r="463" spans="1:33" x14ac:dyDescent="0.25">
      <c r="A463" t="s">
        <v>856</v>
      </c>
      <c r="B463" t="s">
        <v>857</v>
      </c>
      <c r="C463">
        <v>164272</v>
      </c>
      <c r="D463">
        <v>164272</v>
      </c>
      <c r="E463">
        <v>20</v>
      </c>
      <c r="F463">
        <v>30</v>
      </c>
      <c r="G463">
        <v>30</v>
      </c>
      <c r="O463">
        <v>80</v>
      </c>
      <c r="S463">
        <f t="shared" si="107"/>
        <v>5</v>
      </c>
      <c r="T463">
        <f t="shared" si="108"/>
        <v>0</v>
      </c>
      <c r="U463">
        <f t="shared" si="106"/>
        <v>1</v>
      </c>
      <c r="V463">
        <f t="shared" si="109"/>
        <v>1</v>
      </c>
      <c r="W463">
        <f t="shared" si="110"/>
        <v>0</v>
      </c>
      <c r="X463">
        <f t="shared" si="119"/>
        <v>0</v>
      </c>
      <c r="Y463">
        <f t="shared" si="120"/>
        <v>0</v>
      </c>
      <c r="Z463">
        <f t="shared" si="111"/>
        <v>4</v>
      </c>
      <c r="AA463">
        <f t="shared" si="112"/>
        <v>7.5</v>
      </c>
      <c r="AB463">
        <f t="shared" si="113"/>
        <v>4.2857142857142856</v>
      </c>
      <c r="AC463">
        <f t="shared" si="114"/>
        <v>0</v>
      </c>
      <c r="AD463" s="1">
        <f t="shared" si="115"/>
        <v>0</v>
      </c>
      <c r="AE463">
        <f t="shared" si="116"/>
        <v>0</v>
      </c>
      <c r="AF463">
        <f t="shared" si="117"/>
        <v>0</v>
      </c>
      <c r="AG463">
        <f t="shared" si="118"/>
        <v>0</v>
      </c>
    </row>
    <row r="464" spans="1:33" x14ac:dyDescent="0.25">
      <c r="A464" t="s">
        <v>858</v>
      </c>
      <c r="B464" t="s">
        <v>859</v>
      </c>
      <c r="C464">
        <v>167690</v>
      </c>
      <c r="D464">
        <v>167690</v>
      </c>
      <c r="E464">
        <v>20</v>
      </c>
      <c r="F464">
        <v>30</v>
      </c>
      <c r="G464">
        <v>40</v>
      </c>
      <c r="O464">
        <v>90</v>
      </c>
      <c r="S464">
        <f t="shared" si="107"/>
        <v>5.625</v>
      </c>
      <c r="T464">
        <f t="shared" si="108"/>
        <v>0</v>
      </c>
      <c r="U464">
        <f t="shared" si="106"/>
        <v>1</v>
      </c>
      <c r="V464">
        <f t="shared" si="109"/>
        <v>1</v>
      </c>
      <c r="W464">
        <f t="shared" si="110"/>
        <v>0</v>
      </c>
      <c r="X464">
        <f t="shared" si="119"/>
        <v>0</v>
      </c>
      <c r="Y464">
        <f t="shared" si="120"/>
        <v>0</v>
      </c>
      <c r="Z464">
        <f t="shared" si="111"/>
        <v>4</v>
      </c>
      <c r="AA464">
        <f t="shared" si="112"/>
        <v>7.5</v>
      </c>
      <c r="AB464">
        <f t="shared" si="113"/>
        <v>5.7142857142857144</v>
      </c>
      <c r="AC464">
        <f t="shared" si="114"/>
        <v>0</v>
      </c>
      <c r="AD464" s="1">
        <f t="shared" si="115"/>
        <v>0</v>
      </c>
      <c r="AE464">
        <f t="shared" si="116"/>
        <v>0</v>
      </c>
      <c r="AF464">
        <f t="shared" si="117"/>
        <v>0</v>
      </c>
      <c r="AG464">
        <f t="shared" si="118"/>
        <v>0</v>
      </c>
    </row>
    <row r="465" spans="1:33" x14ac:dyDescent="0.25">
      <c r="A465" t="s">
        <v>860</v>
      </c>
      <c r="B465" t="s">
        <v>861</v>
      </c>
      <c r="C465">
        <v>166372</v>
      </c>
      <c r="D465">
        <v>166372</v>
      </c>
      <c r="E465">
        <v>30</v>
      </c>
      <c r="F465">
        <v>20</v>
      </c>
      <c r="G465">
        <v>0</v>
      </c>
      <c r="O465">
        <v>50</v>
      </c>
      <c r="S465">
        <f t="shared" si="107"/>
        <v>3.125</v>
      </c>
      <c r="T465">
        <f t="shared" si="108"/>
        <v>0</v>
      </c>
      <c r="U465">
        <f t="shared" si="106"/>
        <v>1</v>
      </c>
      <c r="V465">
        <f t="shared" si="109"/>
        <v>1</v>
      </c>
      <c r="W465">
        <f t="shared" si="110"/>
        <v>0</v>
      </c>
      <c r="X465">
        <f t="shared" si="119"/>
        <v>0</v>
      </c>
      <c r="Y465">
        <f t="shared" si="120"/>
        <v>0</v>
      </c>
      <c r="Z465">
        <f t="shared" si="111"/>
        <v>6</v>
      </c>
      <c r="AA465">
        <f t="shared" si="112"/>
        <v>5</v>
      </c>
      <c r="AB465">
        <f t="shared" si="113"/>
        <v>0</v>
      </c>
      <c r="AC465">
        <f t="shared" si="114"/>
        <v>0</v>
      </c>
      <c r="AD465" s="1">
        <f t="shared" si="115"/>
        <v>0</v>
      </c>
      <c r="AE465">
        <f t="shared" si="116"/>
        <v>0</v>
      </c>
      <c r="AF465">
        <f t="shared" si="117"/>
        <v>0</v>
      </c>
      <c r="AG465">
        <f t="shared" si="118"/>
        <v>0</v>
      </c>
    </row>
    <row r="466" spans="1:33" x14ac:dyDescent="0.25">
      <c r="A466" t="s">
        <v>862</v>
      </c>
      <c r="B466" t="s">
        <v>176</v>
      </c>
      <c r="C466">
        <v>167438</v>
      </c>
      <c r="D466">
        <v>167438</v>
      </c>
      <c r="H466">
        <v>10</v>
      </c>
      <c r="I466">
        <v>20</v>
      </c>
      <c r="J466">
        <v>10</v>
      </c>
      <c r="K466">
        <v>0</v>
      </c>
      <c r="L466">
        <v>0</v>
      </c>
      <c r="M466">
        <v>40</v>
      </c>
      <c r="S466">
        <f t="shared" si="107"/>
        <v>0</v>
      </c>
      <c r="T466">
        <f t="shared" si="108"/>
        <v>3.3333333333333335</v>
      </c>
      <c r="U466">
        <f t="shared" si="106"/>
        <v>1</v>
      </c>
      <c r="V466">
        <f t="shared" si="109"/>
        <v>0</v>
      </c>
      <c r="W466">
        <f t="shared" si="110"/>
        <v>1</v>
      </c>
      <c r="X466">
        <f t="shared" si="119"/>
        <v>0</v>
      </c>
      <c r="Y466">
        <f t="shared" si="120"/>
        <v>0</v>
      </c>
      <c r="Z466">
        <f t="shared" si="111"/>
        <v>0</v>
      </c>
      <c r="AA466">
        <f t="shared" si="112"/>
        <v>0</v>
      </c>
      <c r="AB466">
        <f t="shared" si="113"/>
        <v>0</v>
      </c>
      <c r="AC466">
        <f t="shared" si="114"/>
        <v>5</v>
      </c>
      <c r="AD466" s="1">
        <f t="shared" si="115"/>
        <v>3.3333333333333335</v>
      </c>
      <c r="AE466">
        <f t="shared" si="116"/>
        <v>5</v>
      </c>
      <c r="AF466">
        <f t="shared" si="117"/>
        <v>0</v>
      </c>
      <c r="AG466">
        <f t="shared" si="118"/>
        <v>0</v>
      </c>
    </row>
    <row r="467" spans="1:33" x14ac:dyDescent="0.25">
      <c r="A467" t="s">
        <v>863</v>
      </c>
      <c r="B467" t="s">
        <v>636</v>
      </c>
      <c r="C467">
        <v>166875</v>
      </c>
      <c r="D467">
        <v>166875</v>
      </c>
      <c r="H467">
        <v>0</v>
      </c>
      <c r="I467">
        <v>10</v>
      </c>
      <c r="J467">
        <v>20</v>
      </c>
      <c r="K467">
        <v>0</v>
      </c>
      <c r="L467">
        <v>10</v>
      </c>
      <c r="M467">
        <v>40</v>
      </c>
      <c r="S467">
        <f t="shared" si="107"/>
        <v>0</v>
      </c>
      <c r="T467">
        <f t="shared" si="108"/>
        <v>3.3333333333333335</v>
      </c>
      <c r="U467">
        <f t="shared" si="106"/>
        <v>1</v>
      </c>
      <c r="V467">
        <f t="shared" si="109"/>
        <v>0</v>
      </c>
      <c r="W467">
        <f t="shared" si="110"/>
        <v>1</v>
      </c>
      <c r="X467">
        <f t="shared" si="119"/>
        <v>0</v>
      </c>
      <c r="Y467">
        <f t="shared" si="120"/>
        <v>0</v>
      </c>
      <c r="Z467">
        <f t="shared" si="111"/>
        <v>0</v>
      </c>
      <c r="AA467">
        <f t="shared" si="112"/>
        <v>0</v>
      </c>
      <c r="AB467">
        <f t="shared" si="113"/>
        <v>0</v>
      </c>
      <c r="AC467">
        <f t="shared" si="114"/>
        <v>0</v>
      </c>
      <c r="AD467" s="1">
        <f t="shared" si="115"/>
        <v>1.6666666666666667</v>
      </c>
      <c r="AE467">
        <f t="shared" si="116"/>
        <v>10</v>
      </c>
      <c r="AF467">
        <f t="shared" si="117"/>
        <v>0</v>
      </c>
      <c r="AG467">
        <f t="shared" si="118"/>
        <v>10</v>
      </c>
    </row>
    <row r="468" spans="1:33" x14ac:dyDescent="0.25">
      <c r="A468" t="s">
        <v>864</v>
      </c>
      <c r="B468" t="s">
        <v>865</v>
      </c>
      <c r="C468">
        <v>167151</v>
      </c>
      <c r="D468">
        <v>167151</v>
      </c>
      <c r="E468">
        <v>10</v>
      </c>
      <c r="F468">
        <v>10</v>
      </c>
      <c r="G468">
        <v>50</v>
      </c>
      <c r="O468">
        <v>70</v>
      </c>
      <c r="S468">
        <f t="shared" si="107"/>
        <v>4.375</v>
      </c>
      <c r="T468">
        <f t="shared" si="108"/>
        <v>0</v>
      </c>
      <c r="U468">
        <f t="shared" si="106"/>
        <v>1</v>
      </c>
      <c r="V468">
        <f t="shared" si="109"/>
        <v>1</v>
      </c>
      <c r="W468">
        <f t="shared" si="110"/>
        <v>0</v>
      </c>
      <c r="X468">
        <f t="shared" si="119"/>
        <v>0</v>
      </c>
      <c r="Y468">
        <f t="shared" si="120"/>
        <v>0</v>
      </c>
      <c r="Z468">
        <f t="shared" si="111"/>
        <v>2</v>
      </c>
      <c r="AA468">
        <f t="shared" si="112"/>
        <v>2.5</v>
      </c>
      <c r="AB468">
        <f t="shared" si="113"/>
        <v>7.1428571428571432</v>
      </c>
      <c r="AC468">
        <f t="shared" si="114"/>
        <v>0</v>
      </c>
      <c r="AD468" s="1">
        <f t="shared" si="115"/>
        <v>0</v>
      </c>
      <c r="AE468">
        <f t="shared" si="116"/>
        <v>0</v>
      </c>
      <c r="AF468">
        <f t="shared" si="117"/>
        <v>0</v>
      </c>
      <c r="AG468">
        <f t="shared" si="118"/>
        <v>0</v>
      </c>
    </row>
    <row r="469" spans="1:33" x14ac:dyDescent="0.25">
      <c r="A469" t="s">
        <v>866</v>
      </c>
      <c r="B469" t="s">
        <v>228</v>
      </c>
      <c r="C469">
        <v>165953</v>
      </c>
      <c r="D469">
        <v>165953</v>
      </c>
      <c r="E469">
        <v>30</v>
      </c>
      <c r="F469">
        <v>30</v>
      </c>
      <c r="G469">
        <v>30</v>
      </c>
      <c r="O469">
        <v>90</v>
      </c>
      <c r="S469">
        <f t="shared" si="107"/>
        <v>5.625</v>
      </c>
      <c r="T469">
        <f t="shared" si="108"/>
        <v>0</v>
      </c>
      <c r="U469">
        <f t="shared" si="106"/>
        <v>1</v>
      </c>
      <c r="V469">
        <f t="shared" si="109"/>
        <v>1</v>
      </c>
      <c r="W469">
        <f t="shared" si="110"/>
        <v>0</v>
      </c>
      <c r="X469">
        <f t="shared" si="119"/>
        <v>0</v>
      </c>
      <c r="Y469">
        <f t="shared" si="120"/>
        <v>0</v>
      </c>
      <c r="Z469">
        <f t="shared" si="111"/>
        <v>6</v>
      </c>
      <c r="AA469">
        <f t="shared" si="112"/>
        <v>7.5</v>
      </c>
      <c r="AB469">
        <f t="shared" si="113"/>
        <v>4.2857142857142856</v>
      </c>
      <c r="AC469">
        <f t="shared" si="114"/>
        <v>0</v>
      </c>
      <c r="AD469" s="1">
        <f t="shared" si="115"/>
        <v>0</v>
      </c>
      <c r="AE469">
        <f t="shared" si="116"/>
        <v>0</v>
      </c>
      <c r="AF469">
        <f t="shared" si="117"/>
        <v>0</v>
      </c>
      <c r="AG469">
        <f t="shared" si="118"/>
        <v>0</v>
      </c>
    </row>
    <row r="470" spans="1:33" x14ac:dyDescent="0.25">
      <c r="A470" t="s">
        <v>867</v>
      </c>
      <c r="B470" t="s">
        <v>868</v>
      </c>
      <c r="C470">
        <v>166256</v>
      </c>
      <c r="D470">
        <v>166256</v>
      </c>
      <c r="H470">
        <v>0</v>
      </c>
      <c r="I470">
        <v>20</v>
      </c>
      <c r="J470">
        <v>10</v>
      </c>
      <c r="K470">
        <v>10</v>
      </c>
      <c r="L470">
        <v>0</v>
      </c>
      <c r="M470">
        <v>40</v>
      </c>
      <c r="R470">
        <v>10</v>
      </c>
      <c r="S470">
        <f t="shared" si="107"/>
        <v>0</v>
      </c>
      <c r="T470">
        <f t="shared" si="108"/>
        <v>3.3333333333333335</v>
      </c>
      <c r="U470">
        <f t="shared" si="106"/>
        <v>1</v>
      </c>
      <c r="V470">
        <f t="shared" si="109"/>
        <v>0</v>
      </c>
      <c r="W470">
        <f t="shared" si="110"/>
        <v>1</v>
      </c>
      <c r="X470">
        <f t="shared" si="119"/>
        <v>0</v>
      </c>
      <c r="Y470">
        <f t="shared" si="120"/>
        <v>0</v>
      </c>
      <c r="Z470">
        <f t="shared" si="111"/>
        <v>0</v>
      </c>
      <c r="AA470">
        <f t="shared" si="112"/>
        <v>0</v>
      </c>
      <c r="AB470">
        <f t="shared" si="113"/>
        <v>0</v>
      </c>
      <c r="AC470">
        <f t="shared" si="114"/>
        <v>0</v>
      </c>
      <c r="AD470" s="1">
        <f t="shared" si="115"/>
        <v>3.3333333333333335</v>
      </c>
      <c r="AE470">
        <f t="shared" si="116"/>
        <v>5</v>
      </c>
      <c r="AF470">
        <f t="shared" si="117"/>
        <v>10</v>
      </c>
      <c r="AG470">
        <f t="shared" si="118"/>
        <v>0</v>
      </c>
    </row>
    <row r="471" spans="1:33" x14ac:dyDescent="0.25">
      <c r="A471" t="s">
        <v>869</v>
      </c>
      <c r="B471" t="s">
        <v>870</v>
      </c>
      <c r="C471">
        <v>167125</v>
      </c>
      <c r="D471">
        <v>167125</v>
      </c>
      <c r="H471">
        <v>20</v>
      </c>
      <c r="I471">
        <v>40</v>
      </c>
      <c r="J471">
        <v>10</v>
      </c>
      <c r="K471">
        <v>10</v>
      </c>
      <c r="L471">
        <v>10</v>
      </c>
      <c r="M471">
        <v>90</v>
      </c>
      <c r="S471">
        <f t="shared" si="107"/>
        <v>0</v>
      </c>
      <c r="T471">
        <f t="shared" si="108"/>
        <v>7.5</v>
      </c>
      <c r="U471">
        <f t="shared" si="106"/>
        <v>1</v>
      </c>
      <c r="V471">
        <f t="shared" si="109"/>
        <v>0</v>
      </c>
      <c r="W471">
        <f t="shared" si="110"/>
        <v>1</v>
      </c>
      <c r="X471">
        <f t="shared" si="119"/>
        <v>0</v>
      </c>
      <c r="Y471">
        <f t="shared" si="120"/>
        <v>1</v>
      </c>
      <c r="Z471">
        <f t="shared" si="111"/>
        <v>0</v>
      </c>
      <c r="AA471">
        <f t="shared" si="112"/>
        <v>0</v>
      </c>
      <c r="AB471">
        <f t="shared" si="113"/>
        <v>0</v>
      </c>
      <c r="AC471">
        <f t="shared" si="114"/>
        <v>10</v>
      </c>
      <c r="AD471" s="1">
        <f t="shared" si="115"/>
        <v>6.666666666666667</v>
      </c>
      <c r="AE471">
        <f t="shared" si="116"/>
        <v>5</v>
      </c>
      <c r="AF471">
        <f t="shared" si="117"/>
        <v>10</v>
      </c>
      <c r="AG471">
        <f t="shared" si="118"/>
        <v>10</v>
      </c>
    </row>
    <row r="472" spans="1:33" x14ac:dyDescent="0.25">
      <c r="A472" t="s">
        <v>871</v>
      </c>
      <c r="B472" t="s">
        <v>872</v>
      </c>
      <c r="C472">
        <v>161997</v>
      </c>
      <c r="D472">
        <v>161997</v>
      </c>
      <c r="S472">
        <f t="shared" si="107"/>
        <v>0</v>
      </c>
      <c r="T472">
        <f t="shared" si="108"/>
        <v>0</v>
      </c>
      <c r="U472">
        <f t="shared" si="106"/>
        <v>0</v>
      </c>
      <c r="V472">
        <f t="shared" si="109"/>
        <v>0</v>
      </c>
      <c r="W472">
        <f t="shared" si="110"/>
        <v>0</v>
      </c>
      <c r="X472">
        <f t="shared" si="119"/>
        <v>0</v>
      </c>
      <c r="Y472">
        <f t="shared" si="120"/>
        <v>0</v>
      </c>
      <c r="Z472">
        <f t="shared" si="111"/>
        <v>0</v>
      </c>
      <c r="AA472">
        <f t="shared" si="112"/>
        <v>0</v>
      </c>
      <c r="AB472">
        <f t="shared" si="113"/>
        <v>0</v>
      </c>
      <c r="AC472">
        <f t="shared" si="114"/>
        <v>0</v>
      </c>
      <c r="AD472" s="1">
        <f t="shared" si="115"/>
        <v>0</v>
      </c>
      <c r="AE472">
        <f t="shared" si="116"/>
        <v>0</v>
      </c>
      <c r="AF472">
        <f t="shared" si="117"/>
        <v>0</v>
      </c>
      <c r="AG472">
        <f t="shared" si="118"/>
        <v>0</v>
      </c>
    </row>
    <row r="473" spans="1:33" x14ac:dyDescent="0.25">
      <c r="A473" t="s">
        <v>873</v>
      </c>
      <c r="B473" t="s">
        <v>874</v>
      </c>
      <c r="C473">
        <v>168461</v>
      </c>
      <c r="D473">
        <v>168461</v>
      </c>
      <c r="H473">
        <v>10</v>
      </c>
      <c r="I473">
        <v>40</v>
      </c>
      <c r="J473">
        <v>20</v>
      </c>
      <c r="K473">
        <v>10</v>
      </c>
      <c r="L473">
        <v>10</v>
      </c>
      <c r="M473">
        <v>90</v>
      </c>
      <c r="S473">
        <f t="shared" si="107"/>
        <v>0</v>
      </c>
      <c r="T473">
        <f t="shared" si="108"/>
        <v>7.5</v>
      </c>
      <c r="U473">
        <f t="shared" si="106"/>
        <v>1</v>
      </c>
      <c r="V473">
        <f t="shared" si="109"/>
        <v>0</v>
      </c>
      <c r="W473">
        <f t="shared" si="110"/>
        <v>1</v>
      </c>
      <c r="X473">
        <f t="shared" si="119"/>
        <v>0</v>
      </c>
      <c r="Y473">
        <f t="shared" si="120"/>
        <v>1</v>
      </c>
      <c r="Z473">
        <f t="shared" si="111"/>
        <v>0</v>
      </c>
      <c r="AA473">
        <f t="shared" si="112"/>
        <v>0</v>
      </c>
      <c r="AB473">
        <f t="shared" si="113"/>
        <v>0</v>
      </c>
      <c r="AC473">
        <f t="shared" si="114"/>
        <v>5</v>
      </c>
      <c r="AD473" s="1">
        <f t="shared" si="115"/>
        <v>6.666666666666667</v>
      </c>
      <c r="AE473">
        <f t="shared" si="116"/>
        <v>10</v>
      </c>
      <c r="AF473">
        <f t="shared" si="117"/>
        <v>10</v>
      </c>
      <c r="AG473">
        <f t="shared" si="118"/>
        <v>10</v>
      </c>
    </row>
    <row r="474" spans="1:33" x14ac:dyDescent="0.25">
      <c r="A474" t="s">
        <v>875</v>
      </c>
      <c r="B474" t="s">
        <v>876</v>
      </c>
      <c r="C474">
        <v>166876</v>
      </c>
      <c r="D474">
        <v>166876</v>
      </c>
      <c r="H474">
        <v>0</v>
      </c>
      <c r="I474">
        <v>20</v>
      </c>
      <c r="J474">
        <v>10</v>
      </c>
      <c r="K474">
        <v>0</v>
      </c>
      <c r="L474">
        <v>0</v>
      </c>
      <c r="M474">
        <v>30</v>
      </c>
      <c r="S474">
        <f t="shared" si="107"/>
        <v>0</v>
      </c>
      <c r="T474">
        <f t="shared" si="108"/>
        <v>2.5</v>
      </c>
      <c r="U474">
        <f t="shared" si="106"/>
        <v>1</v>
      </c>
      <c r="V474">
        <f t="shared" si="109"/>
        <v>0</v>
      </c>
      <c r="W474">
        <f t="shared" si="110"/>
        <v>1</v>
      </c>
      <c r="X474">
        <f t="shared" si="119"/>
        <v>0</v>
      </c>
      <c r="Y474">
        <f t="shared" si="120"/>
        <v>0</v>
      </c>
      <c r="Z474">
        <f t="shared" si="111"/>
        <v>0</v>
      </c>
      <c r="AA474">
        <f t="shared" si="112"/>
        <v>0</v>
      </c>
      <c r="AB474">
        <f t="shared" si="113"/>
        <v>0</v>
      </c>
      <c r="AC474">
        <f t="shared" si="114"/>
        <v>0</v>
      </c>
      <c r="AD474" s="1">
        <f t="shared" si="115"/>
        <v>3.3333333333333335</v>
      </c>
      <c r="AE474">
        <f t="shared" si="116"/>
        <v>5</v>
      </c>
      <c r="AF474">
        <f t="shared" si="117"/>
        <v>0</v>
      </c>
      <c r="AG474">
        <f t="shared" si="118"/>
        <v>0</v>
      </c>
    </row>
    <row r="475" spans="1:33" x14ac:dyDescent="0.25">
      <c r="A475" t="s">
        <v>877</v>
      </c>
      <c r="B475" t="s">
        <v>510</v>
      </c>
      <c r="C475">
        <v>167785</v>
      </c>
      <c r="D475">
        <v>167785</v>
      </c>
      <c r="E475">
        <v>30</v>
      </c>
      <c r="F475">
        <v>30</v>
      </c>
      <c r="G475">
        <v>20</v>
      </c>
      <c r="O475">
        <v>80</v>
      </c>
      <c r="S475">
        <f t="shared" si="107"/>
        <v>5</v>
      </c>
      <c r="T475">
        <f t="shared" si="108"/>
        <v>0</v>
      </c>
      <c r="U475">
        <f t="shared" si="106"/>
        <v>1</v>
      </c>
      <c r="V475">
        <f t="shared" si="109"/>
        <v>1</v>
      </c>
      <c r="W475">
        <f t="shared" si="110"/>
        <v>0</v>
      </c>
      <c r="X475">
        <f t="shared" si="119"/>
        <v>0</v>
      </c>
      <c r="Y475">
        <f t="shared" si="120"/>
        <v>0</v>
      </c>
      <c r="Z475">
        <f t="shared" si="111"/>
        <v>6</v>
      </c>
      <c r="AA475">
        <f t="shared" si="112"/>
        <v>7.5</v>
      </c>
      <c r="AB475">
        <f t="shared" si="113"/>
        <v>2.8571428571428572</v>
      </c>
      <c r="AC475">
        <f t="shared" si="114"/>
        <v>0</v>
      </c>
      <c r="AD475" s="1">
        <f t="shared" si="115"/>
        <v>0</v>
      </c>
      <c r="AE475">
        <f t="shared" si="116"/>
        <v>0</v>
      </c>
      <c r="AF475">
        <f t="shared" si="117"/>
        <v>0</v>
      </c>
      <c r="AG475">
        <f t="shared" si="118"/>
        <v>0</v>
      </c>
    </row>
    <row r="476" spans="1:33" x14ac:dyDescent="0.25">
      <c r="A476" t="s">
        <v>878</v>
      </c>
      <c r="B476" t="s">
        <v>117</v>
      </c>
      <c r="C476">
        <v>167444</v>
      </c>
      <c r="D476">
        <v>167444</v>
      </c>
      <c r="H476">
        <v>20</v>
      </c>
      <c r="I476">
        <v>60</v>
      </c>
      <c r="J476">
        <v>20</v>
      </c>
      <c r="K476">
        <v>10</v>
      </c>
      <c r="L476">
        <v>0</v>
      </c>
      <c r="M476">
        <v>110</v>
      </c>
      <c r="S476">
        <f t="shared" si="107"/>
        <v>0</v>
      </c>
      <c r="T476">
        <f t="shared" si="108"/>
        <v>9.1666666666666661</v>
      </c>
      <c r="U476">
        <f t="shared" si="106"/>
        <v>1</v>
      </c>
      <c r="V476">
        <f t="shared" si="109"/>
        <v>0</v>
      </c>
      <c r="W476">
        <f t="shared" si="110"/>
        <v>1</v>
      </c>
      <c r="X476">
        <f t="shared" si="119"/>
        <v>0</v>
      </c>
      <c r="Y476">
        <f t="shared" si="120"/>
        <v>1</v>
      </c>
      <c r="Z476">
        <f t="shared" si="111"/>
        <v>0</v>
      </c>
      <c r="AA476">
        <f t="shared" si="112"/>
        <v>0</v>
      </c>
      <c r="AB476">
        <f t="shared" si="113"/>
        <v>0</v>
      </c>
      <c r="AC476">
        <f t="shared" si="114"/>
        <v>10</v>
      </c>
      <c r="AD476" s="1">
        <f t="shared" si="115"/>
        <v>10</v>
      </c>
      <c r="AE476">
        <f t="shared" si="116"/>
        <v>10</v>
      </c>
      <c r="AF476">
        <f t="shared" si="117"/>
        <v>10</v>
      </c>
      <c r="AG476">
        <f t="shared" si="118"/>
        <v>0</v>
      </c>
    </row>
    <row r="477" spans="1:33" x14ac:dyDescent="0.25">
      <c r="A477" t="s">
        <v>879</v>
      </c>
      <c r="B477" t="s">
        <v>880</v>
      </c>
      <c r="C477">
        <v>167248</v>
      </c>
      <c r="D477">
        <v>167248</v>
      </c>
      <c r="H477">
        <v>20</v>
      </c>
      <c r="I477">
        <v>30</v>
      </c>
      <c r="J477">
        <v>10</v>
      </c>
      <c r="K477">
        <v>10</v>
      </c>
      <c r="L477">
        <v>10</v>
      </c>
      <c r="M477">
        <v>80</v>
      </c>
      <c r="S477">
        <f t="shared" si="107"/>
        <v>0</v>
      </c>
      <c r="T477">
        <f t="shared" si="108"/>
        <v>6.666666666666667</v>
      </c>
      <c r="U477">
        <f t="shared" si="106"/>
        <v>1</v>
      </c>
      <c r="V477">
        <f t="shared" si="109"/>
        <v>0</v>
      </c>
      <c r="W477">
        <f t="shared" si="110"/>
        <v>1</v>
      </c>
      <c r="X477">
        <f t="shared" si="119"/>
        <v>0</v>
      </c>
      <c r="Y477">
        <f t="shared" si="120"/>
        <v>1</v>
      </c>
      <c r="Z477">
        <f t="shared" si="111"/>
        <v>0</v>
      </c>
      <c r="AA477">
        <f t="shared" si="112"/>
        <v>0</v>
      </c>
      <c r="AB477">
        <f t="shared" si="113"/>
        <v>0</v>
      </c>
      <c r="AC477">
        <f t="shared" si="114"/>
        <v>10</v>
      </c>
      <c r="AD477" s="1">
        <f t="shared" si="115"/>
        <v>5</v>
      </c>
      <c r="AE477">
        <f t="shared" si="116"/>
        <v>5</v>
      </c>
      <c r="AF477">
        <f t="shared" si="117"/>
        <v>10</v>
      </c>
      <c r="AG477">
        <f t="shared" si="118"/>
        <v>10</v>
      </c>
    </row>
    <row r="478" spans="1:33" x14ac:dyDescent="0.25">
      <c r="A478" t="s">
        <v>881</v>
      </c>
      <c r="B478" t="s">
        <v>882</v>
      </c>
      <c r="C478">
        <v>166037</v>
      </c>
      <c r="D478">
        <v>166037</v>
      </c>
      <c r="E478">
        <v>10</v>
      </c>
      <c r="F478">
        <v>0</v>
      </c>
      <c r="G478">
        <v>30</v>
      </c>
      <c r="O478">
        <v>40</v>
      </c>
      <c r="S478">
        <f t="shared" si="107"/>
        <v>2.5</v>
      </c>
      <c r="T478">
        <f t="shared" si="108"/>
        <v>0</v>
      </c>
      <c r="U478">
        <f t="shared" si="106"/>
        <v>1</v>
      </c>
      <c r="V478">
        <f t="shared" si="109"/>
        <v>1</v>
      </c>
      <c r="W478">
        <f t="shared" si="110"/>
        <v>0</v>
      </c>
      <c r="X478">
        <f t="shared" si="119"/>
        <v>0</v>
      </c>
      <c r="Y478">
        <f t="shared" si="120"/>
        <v>0</v>
      </c>
      <c r="Z478">
        <f t="shared" si="111"/>
        <v>2</v>
      </c>
      <c r="AA478">
        <f t="shared" si="112"/>
        <v>0</v>
      </c>
      <c r="AB478">
        <f t="shared" si="113"/>
        <v>4.2857142857142856</v>
      </c>
      <c r="AC478">
        <f t="shared" si="114"/>
        <v>0</v>
      </c>
      <c r="AD478" s="1">
        <f t="shared" si="115"/>
        <v>0</v>
      </c>
      <c r="AE478">
        <f t="shared" si="116"/>
        <v>0</v>
      </c>
      <c r="AF478">
        <f t="shared" si="117"/>
        <v>0</v>
      </c>
      <c r="AG478">
        <f t="shared" si="118"/>
        <v>0</v>
      </c>
    </row>
    <row r="479" spans="1:33" x14ac:dyDescent="0.25">
      <c r="A479" t="s">
        <v>883</v>
      </c>
      <c r="B479" t="s">
        <v>508</v>
      </c>
      <c r="C479">
        <v>156267</v>
      </c>
      <c r="D479">
        <v>156267</v>
      </c>
      <c r="E479">
        <v>10</v>
      </c>
      <c r="F479">
        <v>0</v>
      </c>
      <c r="O479">
        <v>10</v>
      </c>
      <c r="S479">
        <f t="shared" si="107"/>
        <v>0.625</v>
      </c>
      <c r="T479">
        <f t="shared" si="108"/>
        <v>0</v>
      </c>
      <c r="U479">
        <f t="shared" si="106"/>
        <v>1</v>
      </c>
      <c r="V479">
        <f t="shared" si="109"/>
        <v>1</v>
      </c>
      <c r="W479">
        <f t="shared" si="110"/>
        <v>0</v>
      </c>
      <c r="X479">
        <f t="shared" si="119"/>
        <v>0</v>
      </c>
      <c r="Y479">
        <f t="shared" si="120"/>
        <v>0</v>
      </c>
      <c r="Z479">
        <f t="shared" si="111"/>
        <v>2</v>
      </c>
      <c r="AA479">
        <f t="shared" si="112"/>
        <v>0</v>
      </c>
      <c r="AB479">
        <f t="shared" si="113"/>
        <v>0</v>
      </c>
      <c r="AC479">
        <f t="shared" si="114"/>
        <v>0</v>
      </c>
      <c r="AD479" s="1">
        <f t="shared" si="115"/>
        <v>0</v>
      </c>
      <c r="AE479">
        <f t="shared" si="116"/>
        <v>0</v>
      </c>
      <c r="AF479">
        <f t="shared" si="117"/>
        <v>0</v>
      </c>
      <c r="AG479">
        <f t="shared" si="118"/>
        <v>0</v>
      </c>
    </row>
    <row r="480" spans="1:33" x14ac:dyDescent="0.25">
      <c r="A480" t="s">
        <v>884</v>
      </c>
      <c r="B480" t="s">
        <v>885</v>
      </c>
      <c r="C480">
        <v>166808</v>
      </c>
      <c r="D480">
        <v>166808</v>
      </c>
      <c r="H480">
        <v>10</v>
      </c>
      <c r="I480">
        <v>30</v>
      </c>
      <c r="J480">
        <v>20</v>
      </c>
      <c r="K480">
        <v>0</v>
      </c>
      <c r="L480">
        <v>0</v>
      </c>
      <c r="M480">
        <v>60</v>
      </c>
      <c r="S480">
        <f t="shared" si="107"/>
        <v>0</v>
      </c>
      <c r="T480">
        <f t="shared" si="108"/>
        <v>5</v>
      </c>
      <c r="U480">
        <f t="shared" si="106"/>
        <v>1</v>
      </c>
      <c r="V480">
        <f t="shared" si="109"/>
        <v>0</v>
      </c>
      <c r="W480">
        <f t="shared" si="110"/>
        <v>1</v>
      </c>
      <c r="X480">
        <f t="shared" si="119"/>
        <v>0</v>
      </c>
      <c r="Y480">
        <f t="shared" si="120"/>
        <v>0</v>
      </c>
      <c r="Z480">
        <f t="shared" si="111"/>
        <v>0</v>
      </c>
      <c r="AA480">
        <f t="shared" si="112"/>
        <v>0</v>
      </c>
      <c r="AB480">
        <f t="shared" si="113"/>
        <v>0</v>
      </c>
      <c r="AC480">
        <f t="shared" si="114"/>
        <v>5</v>
      </c>
      <c r="AD480" s="1">
        <f t="shared" si="115"/>
        <v>5</v>
      </c>
      <c r="AE480">
        <f t="shared" si="116"/>
        <v>10</v>
      </c>
      <c r="AF480">
        <f t="shared" si="117"/>
        <v>0</v>
      </c>
      <c r="AG480">
        <f t="shared" si="118"/>
        <v>0</v>
      </c>
    </row>
    <row r="481" spans="1:33" x14ac:dyDescent="0.25">
      <c r="A481" t="s">
        <v>886</v>
      </c>
      <c r="B481" t="s">
        <v>887</v>
      </c>
      <c r="C481">
        <v>166505</v>
      </c>
      <c r="D481">
        <v>166505</v>
      </c>
      <c r="S481">
        <f t="shared" si="107"/>
        <v>0</v>
      </c>
      <c r="T481">
        <f t="shared" si="108"/>
        <v>0</v>
      </c>
      <c r="U481">
        <f t="shared" si="106"/>
        <v>0</v>
      </c>
      <c r="V481">
        <f t="shared" si="109"/>
        <v>0</v>
      </c>
      <c r="W481">
        <f t="shared" si="110"/>
        <v>0</v>
      </c>
      <c r="X481">
        <f t="shared" si="119"/>
        <v>0</v>
      </c>
      <c r="Y481">
        <f t="shared" si="120"/>
        <v>0</v>
      </c>
      <c r="Z481">
        <f t="shared" si="111"/>
        <v>0</v>
      </c>
      <c r="AA481">
        <f t="shared" si="112"/>
        <v>0</v>
      </c>
      <c r="AB481">
        <f t="shared" si="113"/>
        <v>0</v>
      </c>
      <c r="AC481">
        <f t="shared" si="114"/>
        <v>0</v>
      </c>
      <c r="AD481" s="1">
        <f t="shared" si="115"/>
        <v>0</v>
      </c>
      <c r="AE481">
        <f t="shared" si="116"/>
        <v>0</v>
      </c>
      <c r="AF481">
        <f t="shared" si="117"/>
        <v>0</v>
      </c>
      <c r="AG481">
        <f t="shared" si="118"/>
        <v>0</v>
      </c>
    </row>
    <row r="482" spans="1:33" x14ac:dyDescent="0.25">
      <c r="A482" t="s">
        <v>888</v>
      </c>
      <c r="B482" t="s">
        <v>166</v>
      </c>
      <c r="C482">
        <v>165579</v>
      </c>
      <c r="D482">
        <v>165579</v>
      </c>
      <c r="H482">
        <v>20</v>
      </c>
      <c r="I482">
        <v>40</v>
      </c>
      <c r="J482">
        <v>20</v>
      </c>
      <c r="K482">
        <v>10</v>
      </c>
      <c r="L482">
        <v>10</v>
      </c>
      <c r="M482">
        <v>100</v>
      </c>
      <c r="S482">
        <f t="shared" si="107"/>
        <v>0</v>
      </c>
      <c r="T482">
        <f t="shared" si="108"/>
        <v>8.3333333333333339</v>
      </c>
      <c r="U482">
        <f t="shared" si="106"/>
        <v>1</v>
      </c>
      <c r="V482">
        <f t="shared" si="109"/>
        <v>0</v>
      </c>
      <c r="W482">
        <f t="shared" si="110"/>
        <v>1</v>
      </c>
      <c r="X482">
        <f t="shared" si="119"/>
        <v>0</v>
      </c>
      <c r="Y482">
        <f t="shared" si="120"/>
        <v>1</v>
      </c>
      <c r="Z482">
        <f t="shared" si="111"/>
        <v>0</v>
      </c>
      <c r="AA482">
        <f t="shared" si="112"/>
        <v>0</v>
      </c>
      <c r="AB482">
        <f t="shared" si="113"/>
        <v>0</v>
      </c>
      <c r="AC482">
        <f t="shared" si="114"/>
        <v>10</v>
      </c>
      <c r="AD482" s="1">
        <f t="shared" si="115"/>
        <v>6.666666666666667</v>
      </c>
      <c r="AE482">
        <f t="shared" si="116"/>
        <v>10</v>
      </c>
      <c r="AF482">
        <f t="shared" si="117"/>
        <v>10</v>
      </c>
      <c r="AG482">
        <f t="shared" si="118"/>
        <v>10</v>
      </c>
    </row>
    <row r="483" spans="1:33" x14ac:dyDescent="0.25">
      <c r="A483" t="s">
        <v>889</v>
      </c>
      <c r="B483" t="s">
        <v>890</v>
      </c>
      <c r="C483">
        <v>167234</v>
      </c>
      <c r="D483">
        <v>167234</v>
      </c>
      <c r="E483">
        <v>40</v>
      </c>
      <c r="F483">
        <v>20</v>
      </c>
      <c r="G483">
        <v>50</v>
      </c>
      <c r="O483">
        <v>110</v>
      </c>
      <c r="S483">
        <f t="shared" si="107"/>
        <v>6.875</v>
      </c>
      <c r="T483">
        <f t="shared" si="108"/>
        <v>0</v>
      </c>
      <c r="U483">
        <f t="shared" si="106"/>
        <v>1</v>
      </c>
      <c r="V483">
        <f t="shared" si="109"/>
        <v>1</v>
      </c>
      <c r="W483">
        <f t="shared" si="110"/>
        <v>0</v>
      </c>
      <c r="X483">
        <f t="shared" si="119"/>
        <v>1</v>
      </c>
      <c r="Y483">
        <f t="shared" si="120"/>
        <v>0</v>
      </c>
      <c r="Z483">
        <f t="shared" si="111"/>
        <v>8</v>
      </c>
      <c r="AA483">
        <f t="shared" si="112"/>
        <v>5</v>
      </c>
      <c r="AB483">
        <f t="shared" si="113"/>
        <v>7.1428571428571432</v>
      </c>
      <c r="AC483">
        <f t="shared" si="114"/>
        <v>0</v>
      </c>
      <c r="AD483" s="1">
        <f t="shared" si="115"/>
        <v>0</v>
      </c>
      <c r="AE483">
        <f t="shared" si="116"/>
        <v>0</v>
      </c>
      <c r="AF483">
        <f t="shared" si="117"/>
        <v>0</v>
      </c>
      <c r="AG483">
        <f t="shared" si="118"/>
        <v>0</v>
      </c>
    </row>
    <row r="484" spans="1:33" x14ac:dyDescent="0.25">
      <c r="A484" t="s">
        <v>891</v>
      </c>
      <c r="B484" t="s">
        <v>892</v>
      </c>
      <c r="C484">
        <v>165016</v>
      </c>
      <c r="D484">
        <v>165016</v>
      </c>
      <c r="H484">
        <v>10</v>
      </c>
      <c r="I484">
        <v>20</v>
      </c>
      <c r="J484">
        <v>10</v>
      </c>
      <c r="K484">
        <v>0</v>
      </c>
      <c r="L484">
        <v>0</v>
      </c>
      <c r="M484">
        <v>40</v>
      </c>
      <c r="N484" t="s">
        <v>20</v>
      </c>
      <c r="S484">
        <f t="shared" si="107"/>
        <v>0</v>
      </c>
      <c r="T484">
        <f t="shared" si="108"/>
        <v>3.3333333333333335</v>
      </c>
      <c r="U484">
        <f t="shared" si="106"/>
        <v>1</v>
      </c>
      <c r="V484">
        <f t="shared" si="109"/>
        <v>0</v>
      </c>
      <c r="W484">
        <f t="shared" si="110"/>
        <v>1</v>
      </c>
      <c r="X484">
        <f t="shared" si="119"/>
        <v>0</v>
      </c>
      <c r="Y484">
        <f t="shared" si="120"/>
        <v>0</v>
      </c>
      <c r="Z484">
        <f t="shared" si="111"/>
        <v>0</v>
      </c>
      <c r="AA484">
        <f t="shared" si="112"/>
        <v>0</v>
      </c>
      <c r="AB484">
        <f t="shared" si="113"/>
        <v>0</v>
      </c>
      <c r="AC484">
        <f t="shared" si="114"/>
        <v>5</v>
      </c>
      <c r="AD484" s="1">
        <f t="shared" si="115"/>
        <v>3.3333333333333335</v>
      </c>
      <c r="AE484">
        <f t="shared" si="116"/>
        <v>5</v>
      </c>
      <c r="AF484">
        <f t="shared" si="117"/>
        <v>0</v>
      </c>
      <c r="AG484">
        <f t="shared" si="118"/>
        <v>0</v>
      </c>
    </row>
    <row r="485" spans="1:33" x14ac:dyDescent="0.25">
      <c r="A485" t="s">
        <v>893</v>
      </c>
      <c r="B485" t="s">
        <v>894</v>
      </c>
      <c r="C485">
        <v>162984</v>
      </c>
      <c r="D485">
        <v>162984</v>
      </c>
      <c r="E485">
        <v>20</v>
      </c>
      <c r="F485">
        <v>30</v>
      </c>
      <c r="G485">
        <v>10</v>
      </c>
      <c r="O485">
        <v>60</v>
      </c>
      <c r="S485">
        <f t="shared" si="107"/>
        <v>3.75</v>
      </c>
      <c r="T485">
        <f t="shared" si="108"/>
        <v>0</v>
      </c>
      <c r="U485">
        <f t="shared" si="106"/>
        <v>1</v>
      </c>
      <c r="V485">
        <f t="shared" si="109"/>
        <v>1</v>
      </c>
      <c r="W485">
        <f t="shared" si="110"/>
        <v>0</v>
      </c>
      <c r="X485">
        <f t="shared" si="119"/>
        <v>0</v>
      </c>
      <c r="Y485">
        <f t="shared" si="120"/>
        <v>0</v>
      </c>
      <c r="Z485">
        <f t="shared" si="111"/>
        <v>4</v>
      </c>
      <c r="AA485">
        <f t="shared" si="112"/>
        <v>7.5</v>
      </c>
      <c r="AB485">
        <f t="shared" si="113"/>
        <v>1.4285714285714286</v>
      </c>
      <c r="AC485">
        <f t="shared" si="114"/>
        <v>0</v>
      </c>
      <c r="AD485" s="1">
        <f t="shared" si="115"/>
        <v>0</v>
      </c>
      <c r="AE485">
        <f t="shared" si="116"/>
        <v>0</v>
      </c>
      <c r="AF485">
        <f t="shared" si="117"/>
        <v>0</v>
      </c>
      <c r="AG485">
        <f t="shared" si="118"/>
        <v>0</v>
      </c>
    </row>
    <row r="486" spans="1:33" x14ac:dyDescent="0.25">
      <c r="A486" t="s">
        <v>895</v>
      </c>
      <c r="B486" t="s">
        <v>896</v>
      </c>
      <c r="C486">
        <v>167094</v>
      </c>
      <c r="D486">
        <v>167094</v>
      </c>
      <c r="E486">
        <v>30</v>
      </c>
      <c r="F486">
        <v>0</v>
      </c>
      <c r="G486">
        <v>20</v>
      </c>
      <c r="O486">
        <v>50</v>
      </c>
      <c r="S486">
        <f t="shared" si="107"/>
        <v>3.125</v>
      </c>
      <c r="T486">
        <f t="shared" si="108"/>
        <v>0</v>
      </c>
      <c r="U486">
        <f t="shared" si="106"/>
        <v>1</v>
      </c>
      <c r="V486">
        <f t="shared" si="109"/>
        <v>1</v>
      </c>
      <c r="W486">
        <f t="shared" si="110"/>
        <v>0</v>
      </c>
      <c r="X486">
        <f t="shared" si="119"/>
        <v>0</v>
      </c>
      <c r="Y486">
        <f t="shared" si="120"/>
        <v>0</v>
      </c>
      <c r="Z486">
        <f t="shared" si="111"/>
        <v>6</v>
      </c>
      <c r="AA486">
        <f t="shared" si="112"/>
        <v>0</v>
      </c>
      <c r="AB486">
        <f t="shared" si="113"/>
        <v>2.8571428571428572</v>
      </c>
      <c r="AC486">
        <f t="shared" si="114"/>
        <v>0</v>
      </c>
      <c r="AD486" s="1">
        <f t="shared" si="115"/>
        <v>0</v>
      </c>
      <c r="AE486">
        <f t="shared" si="116"/>
        <v>0</v>
      </c>
      <c r="AF486">
        <f t="shared" si="117"/>
        <v>0</v>
      </c>
      <c r="AG486">
        <f t="shared" si="118"/>
        <v>0</v>
      </c>
    </row>
    <row r="487" spans="1:33" x14ac:dyDescent="0.25">
      <c r="A487" t="s">
        <v>897</v>
      </c>
      <c r="B487" t="s">
        <v>898</v>
      </c>
      <c r="C487">
        <v>166191</v>
      </c>
      <c r="D487">
        <v>166191</v>
      </c>
      <c r="H487">
        <v>0</v>
      </c>
      <c r="I487">
        <v>40</v>
      </c>
      <c r="J487">
        <v>0</v>
      </c>
      <c r="K487">
        <v>10</v>
      </c>
      <c r="L487">
        <v>0</v>
      </c>
      <c r="M487">
        <v>50</v>
      </c>
      <c r="S487">
        <f t="shared" si="107"/>
        <v>0</v>
      </c>
      <c r="T487">
        <f t="shared" si="108"/>
        <v>4.166666666666667</v>
      </c>
      <c r="U487">
        <f t="shared" si="106"/>
        <v>1</v>
      </c>
      <c r="V487">
        <f t="shared" si="109"/>
        <v>0</v>
      </c>
      <c r="W487">
        <f t="shared" si="110"/>
        <v>1</v>
      </c>
      <c r="X487">
        <f t="shared" si="119"/>
        <v>0</v>
      </c>
      <c r="Y487">
        <f t="shared" si="120"/>
        <v>0</v>
      </c>
      <c r="Z487">
        <f t="shared" si="111"/>
        <v>0</v>
      </c>
      <c r="AA487">
        <f t="shared" si="112"/>
        <v>0</v>
      </c>
      <c r="AB487">
        <f t="shared" si="113"/>
        <v>0</v>
      </c>
      <c r="AC487">
        <f t="shared" si="114"/>
        <v>0</v>
      </c>
      <c r="AD487" s="1">
        <f t="shared" si="115"/>
        <v>6.666666666666667</v>
      </c>
      <c r="AE487">
        <f t="shared" si="116"/>
        <v>0</v>
      </c>
      <c r="AF487">
        <f t="shared" si="117"/>
        <v>10</v>
      </c>
      <c r="AG487">
        <f t="shared" si="118"/>
        <v>0</v>
      </c>
    </row>
    <row r="488" spans="1:33" x14ac:dyDescent="0.25">
      <c r="A488" t="s">
        <v>899</v>
      </c>
      <c r="B488" t="s">
        <v>201</v>
      </c>
      <c r="C488">
        <v>166149</v>
      </c>
      <c r="D488">
        <v>166149</v>
      </c>
      <c r="H488">
        <v>20</v>
      </c>
      <c r="I488">
        <v>40</v>
      </c>
      <c r="J488">
        <v>10</v>
      </c>
      <c r="K488">
        <v>0</v>
      </c>
      <c r="L488">
        <v>10</v>
      </c>
      <c r="M488">
        <v>80</v>
      </c>
      <c r="S488">
        <f t="shared" si="107"/>
        <v>0</v>
      </c>
      <c r="T488">
        <f t="shared" si="108"/>
        <v>6.666666666666667</v>
      </c>
      <c r="U488">
        <f t="shared" si="106"/>
        <v>1</v>
      </c>
      <c r="V488">
        <f t="shared" si="109"/>
        <v>0</v>
      </c>
      <c r="W488">
        <f t="shared" si="110"/>
        <v>1</v>
      </c>
      <c r="X488">
        <f t="shared" si="119"/>
        <v>0</v>
      </c>
      <c r="Y488">
        <f t="shared" si="120"/>
        <v>1</v>
      </c>
      <c r="Z488">
        <f t="shared" si="111"/>
        <v>0</v>
      </c>
      <c r="AA488">
        <f t="shared" si="112"/>
        <v>0</v>
      </c>
      <c r="AB488">
        <f t="shared" si="113"/>
        <v>0</v>
      </c>
      <c r="AC488">
        <f t="shared" si="114"/>
        <v>10</v>
      </c>
      <c r="AD488" s="1">
        <f t="shared" si="115"/>
        <v>6.666666666666667</v>
      </c>
      <c r="AE488">
        <f t="shared" si="116"/>
        <v>5</v>
      </c>
      <c r="AF488">
        <f t="shared" si="117"/>
        <v>0</v>
      </c>
      <c r="AG488">
        <f t="shared" si="118"/>
        <v>10</v>
      </c>
    </row>
    <row r="489" spans="1:33" x14ac:dyDescent="0.25">
      <c r="A489" t="s">
        <v>900</v>
      </c>
      <c r="B489" t="s">
        <v>901</v>
      </c>
      <c r="C489">
        <v>165502</v>
      </c>
      <c r="D489">
        <v>165502</v>
      </c>
      <c r="E489">
        <v>0</v>
      </c>
      <c r="F489">
        <v>10</v>
      </c>
      <c r="G489">
        <v>30</v>
      </c>
      <c r="O489">
        <v>40</v>
      </c>
      <c r="S489">
        <f t="shared" si="107"/>
        <v>2.5</v>
      </c>
      <c r="T489">
        <f t="shared" si="108"/>
        <v>0</v>
      </c>
      <c r="U489">
        <f t="shared" si="106"/>
        <v>1</v>
      </c>
      <c r="V489">
        <f t="shared" si="109"/>
        <v>1</v>
      </c>
      <c r="W489">
        <f t="shared" si="110"/>
        <v>0</v>
      </c>
      <c r="X489">
        <f t="shared" si="119"/>
        <v>0</v>
      </c>
      <c r="Y489">
        <f t="shared" si="120"/>
        <v>0</v>
      </c>
      <c r="Z489">
        <f t="shared" si="111"/>
        <v>0</v>
      </c>
      <c r="AA489">
        <f t="shared" si="112"/>
        <v>2.5</v>
      </c>
      <c r="AB489">
        <f t="shared" si="113"/>
        <v>4.2857142857142856</v>
      </c>
      <c r="AC489">
        <f t="shared" si="114"/>
        <v>0</v>
      </c>
      <c r="AD489" s="1">
        <f t="shared" si="115"/>
        <v>0</v>
      </c>
      <c r="AE489">
        <f t="shared" si="116"/>
        <v>0</v>
      </c>
      <c r="AF489">
        <f t="shared" si="117"/>
        <v>0</v>
      </c>
      <c r="AG489">
        <f t="shared" si="118"/>
        <v>0</v>
      </c>
    </row>
    <row r="490" spans="1:33" x14ac:dyDescent="0.25">
      <c r="A490" t="s">
        <v>902</v>
      </c>
      <c r="B490" t="s">
        <v>577</v>
      </c>
      <c r="C490">
        <v>168018</v>
      </c>
      <c r="D490">
        <v>168018</v>
      </c>
      <c r="H490">
        <v>10</v>
      </c>
      <c r="I490">
        <v>40</v>
      </c>
      <c r="J490">
        <v>20</v>
      </c>
      <c r="K490">
        <v>10</v>
      </c>
      <c r="L490">
        <v>10</v>
      </c>
      <c r="M490">
        <v>90</v>
      </c>
      <c r="S490">
        <f t="shared" si="107"/>
        <v>0</v>
      </c>
      <c r="T490">
        <f t="shared" si="108"/>
        <v>7.5</v>
      </c>
      <c r="U490">
        <f t="shared" si="106"/>
        <v>1</v>
      </c>
      <c r="V490">
        <f t="shared" si="109"/>
        <v>0</v>
      </c>
      <c r="W490">
        <f t="shared" si="110"/>
        <v>1</v>
      </c>
      <c r="X490">
        <f t="shared" si="119"/>
        <v>0</v>
      </c>
      <c r="Y490">
        <f t="shared" si="120"/>
        <v>1</v>
      </c>
      <c r="Z490">
        <f t="shared" si="111"/>
        <v>0</v>
      </c>
      <c r="AA490">
        <f t="shared" si="112"/>
        <v>0</v>
      </c>
      <c r="AB490">
        <f t="shared" si="113"/>
        <v>0</v>
      </c>
      <c r="AC490">
        <f t="shared" si="114"/>
        <v>5</v>
      </c>
      <c r="AD490" s="1">
        <f t="shared" si="115"/>
        <v>6.666666666666667</v>
      </c>
      <c r="AE490">
        <f t="shared" si="116"/>
        <v>10</v>
      </c>
      <c r="AF490">
        <f t="shared" si="117"/>
        <v>10</v>
      </c>
      <c r="AG490">
        <f t="shared" si="118"/>
        <v>10</v>
      </c>
    </row>
    <row r="491" spans="1:33" x14ac:dyDescent="0.25">
      <c r="A491" t="s">
        <v>903</v>
      </c>
      <c r="B491" t="s">
        <v>904</v>
      </c>
      <c r="C491">
        <v>164530</v>
      </c>
      <c r="D491">
        <v>164530</v>
      </c>
      <c r="E491">
        <v>20</v>
      </c>
      <c r="F491">
        <v>10</v>
      </c>
      <c r="G491">
        <v>30</v>
      </c>
      <c r="O491">
        <v>60</v>
      </c>
      <c r="S491">
        <f t="shared" si="107"/>
        <v>3.75</v>
      </c>
      <c r="T491">
        <f t="shared" si="108"/>
        <v>0</v>
      </c>
      <c r="U491">
        <f t="shared" si="106"/>
        <v>1</v>
      </c>
      <c r="V491">
        <f t="shared" si="109"/>
        <v>1</v>
      </c>
      <c r="W491">
        <f t="shared" si="110"/>
        <v>0</v>
      </c>
      <c r="X491">
        <f t="shared" si="119"/>
        <v>0</v>
      </c>
      <c r="Y491">
        <f t="shared" si="120"/>
        <v>0</v>
      </c>
      <c r="Z491">
        <f t="shared" si="111"/>
        <v>4</v>
      </c>
      <c r="AA491">
        <f t="shared" si="112"/>
        <v>2.5</v>
      </c>
      <c r="AB491">
        <f t="shared" si="113"/>
        <v>4.2857142857142856</v>
      </c>
      <c r="AC491">
        <f t="shared" si="114"/>
        <v>0</v>
      </c>
      <c r="AD491" s="1">
        <f t="shared" si="115"/>
        <v>0</v>
      </c>
      <c r="AE491">
        <f t="shared" si="116"/>
        <v>0</v>
      </c>
      <c r="AF491">
        <f t="shared" si="117"/>
        <v>0</v>
      </c>
      <c r="AG491">
        <f t="shared" si="118"/>
        <v>0</v>
      </c>
    </row>
    <row r="492" spans="1:33" x14ac:dyDescent="0.25">
      <c r="A492" t="s">
        <v>905</v>
      </c>
      <c r="B492" t="s">
        <v>906</v>
      </c>
      <c r="C492">
        <v>161684</v>
      </c>
      <c r="D492">
        <v>161684</v>
      </c>
      <c r="E492">
        <v>0</v>
      </c>
      <c r="F492">
        <v>10</v>
      </c>
      <c r="G492">
        <v>30</v>
      </c>
      <c r="O492">
        <v>40</v>
      </c>
      <c r="S492">
        <f t="shared" si="107"/>
        <v>2.5</v>
      </c>
      <c r="T492">
        <f t="shared" si="108"/>
        <v>0</v>
      </c>
      <c r="U492">
        <f t="shared" si="106"/>
        <v>1</v>
      </c>
      <c r="V492">
        <f t="shared" si="109"/>
        <v>1</v>
      </c>
      <c r="W492">
        <f t="shared" si="110"/>
        <v>0</v>
      </c>
      <c r="X492">
        <f t="shared" si="119"/>
        <v>0</v>
      </c>
      <c r="Y492">
        <f t="shared" si="120"/>
        <v>0</v>
      </c>
      <c r="Z492">
        <f t="shared" si="111"/>
        <v>0</v>
      </c>
      <c r="AA492">
        <f t="shared" si="112"/>
        <v>2.5</v>
      </c>
      <c r="AB492">
        <f t="shared" si="113"/>
        <v>4.2857142857142856</v>
      </c>
      <c r="AC492">
        <f t="shared" si="114"/>
        <v>0</v>
      </c>
      <c r="AD492" s="1">
        <f t="shared" si="115"/>
        <v>0</v>
      </c>
      <c r="AE492">
        <f t="shared" si="116"/>
        <v>0</v>
      </c>
      <c r="AF492">
        <f t="shared" si="117"/>
        <v>0</v>
      </c>
      <c r="AG492">
        <f t="shared" si="118"/>
        <v>0</v>
      </c>
    </row>
    <row r="493" spans="1:33" x14ac:dyDescent="0.25">
      <c r="A493" t="s">
        <v>907</v>
      </c>
      <c r="B493" t="s">
        <v>908</v>
      </c>
      <c r="C493">
        <v>168312</v>
      </c>
      <c r="D493">
        <v>168312</v>
      </c>
      <c r="S493">
        <f t="shared" si="107"/>
        <v>0</v>
      </c>
      <c r="T493">
        <f t="shared" si="108"/>
        <v>0</v>
      </c>
      <c r="U493">
        <f t="shared" si="106"/>
        <v>0</v>
      </c>
      <c r="V493">
        <f t="shared" si="109"/>
        <v>0</v>
      </c>
      <c r="W493">
        <f t="shared" si="110"/>
        <v>0</v>
      </c>
      <c r="X493">
        <f t="shared" si="119"/>
        <v>0</v>
      </c>
      <c r="Y493">
        <f t="shared" si="120"/>
        <v>0</v>
      </c>
      <c r="Z493">
        <f t="shared" si="111"/>
        <v>0</v>
      </c>
      <c r="AA493">
        <f t="shared" si="112"/>
        <v>0</v>
      </c>
      <c r="AB493">
        <f t="shared" si="113"/>
        <v>0</v>
      </c>
      <c r="AC493">
        <f t="shared" si="114"/>
        <v>0</v>
      </c>
      <c r="AD493" s="1">
        <f t="shared" si="115"/>
        <v>0</v>
      </c>
      <c r="AE493">
        <f t="shared" si="116"/>
        <v>0</v>
      </c>
      <c r="AF493">
        <f t="shared" si="117"/>
        <v>0</v>
      </c>
      <c r="AG493">
        <f t="shared" si="118"/>
        <v>0</v>
      </c>
    </row>
    <row r="494" spans="1:33" x14ac:dyDescent="0.25">
      <c r="A494" t="s">
        <v>909</v>
      </c>
      <c r="B494" t="s">
        <v>910</v>
      </c>
      <c r="C494">
        <v>167334</v>
      </c>
      <c r="D494">
        <v>167334</v>
      </c>
      <c r="S494">
        <f t="shared" si="107"/>
        <v>0</v>
      </c>
      <c r="T494">
        <f t="shared" si="108"/>
        <v>0</v>
      </c>
      <c r="U494">
        <f t="shared" si="106"/>
        <v>0</v>
      </c>
      <c r="V494">
        <f t="shared" si="109"/>
        <v>0</v>
      </c>
      <c r="W494">
        <f t="shared" si="110"/>
        <v>0</v>
      </c>
      <c r="X494">
        <f t="shared" si="119"/>
        <v>0</v>
      </c>
      <c r="Y494">
        <f t="shared" si="120"/>
        <v>0</v>
      </c>
      <c r="Z494">
        <f t="shared" si="111"/>
        <v>0</v>
      </c>
      <c r="AA494">
        <f t="shared" si="112"/>
        <v>0</v>
      </c>
      <c r="AB494">
        <f t="shared" si="113"/>
        <v>0</v>
      </c>
      <c r="AC494">
        <f t="shared" si="114"/>
        <v>0</v>
      </c>
      <c r="AD494" s="1">
        <f t="shared" si="115"/>
        <v>0</v>
      </c>
      <c r="AE494">
        <f t="shared" si="116"/>
        <v>0</v>
      </c>
      <c r="AF494">
        <f t="shared" si="117"/>
        <v>0</v>
      </c>
      <c r="AG494">
        <f t="shared" si="118"/>
        <v>0</v>
      </c>
    </row>
    <row r="495" spans="1:33" x14ac:dyDescent="0.25">
      <c r="A495" t="s">
        <v>911</v>
      </c>
      <c r="B495" t="s">
        <v>912</v>
      </c>
      <c r="C495">
        <v>168834</v>
      </c>
      <c r="D495">
        <v>168834</v>
      </c>
      <c r="S495">
        <f t="shared" si="107"/>
        <v>0</v>
      </c>
      <c r="T495">
        <f t="shared" si="108"/>
        <v>0</v>
      </c>
      <c r="U495">
        <f t="shared" si="106"/>
        <v>0</v>
      </c>
      <c r="V495">
        <f t="shared" si="109"/>
        <v>0</v>
      </c>
      <c r="W495">
        <f t="shared" si="110"/>
        <v>0</v>
      </c>
      <c r="X495">
        <f t="shared" si="119"/>
        <v>0</v>
      </c>
      <c r="Y495">
        <f t="shared" si="120"/>
        <v>0</v>
      </c>
      <c r="Z495">
        <f t="shared" si="111"/>
        <v>0</v>
      </c>
      <c r="AA495">
        <f t="shared" si="112"/>
        <v>0</v>
      </c>
      <c r="AB495">
        <f t="shared" si="113"/>
        <v>0</v>
      </c>
      <c r="AC495">
        <f t="shared" si="114"/>
        <v>0</v>
      </c>
      <c r="AD495" s="1">
        <f t="shared" si="115"/>
        <v>0</v>
      </c>
      <c r="AE495">
        <f t="shared" si="116"/>
        <v>0</v>
      </c>
      <c r="AF495">
        <f t="shared" si="117"/>
        <v>0</v>
      </c>
      <c r="AG495">
        <f t="shared" si="118"/>
        <v>0</v>
      </c>
    </row>
    <row r="496" spans="1:33" x14ac:dyDescent="0.25">
      <c r="A496" t="s">
        <v>913</v>
      </c>
      <c r="B496" t="s">
        <v>512</v>
      </c>
      <c r="C496">
        <v>168375</v>
      </c>
      <c r="D496">
        <v>168375</v>
      </c>
      <c r="H496">
        <v>10</v>
      </c>
      <c r="I496">
        <v>40</v>
      </c>
      <c r="J496">
        <v>10</v>
      </c>
      <c r="K496">
        <v>10</v>
      </c>
      <c r="L496">
        <v>0</v>
      </c>
      <c r="M496">
        <v>70</v>
      </c>
      <c r="S496">
        <f t="shared" si="107"/>
        <v>0</v>
      </c>
      <c r="T496">
        <f t="shared" si="108"/>
        <v>5.833333333333333</v>
      </c>
      <c r="U496">
        <f t="shared" si="106"/>
        <v>1</v>
      </c>
      <c r="V496">
        <f t="shared" si="109"/>
        <v>0</v>
      </c>
      <c r="W496">
        <f t="shared" si="110"/>
        <v>1</v>
      </c>
      <c r="X496">
        <f t="shared" si="119"/>
        <v>0</v>
      </c>
      <c r="Y496">
        <f t="shared" si="120"/>
        <v>0</v>
      </c>
      <c r="Z496">
        <f t="shared" si="111"/>
        <v>0</v>
      </c>
      <c r="AA496">
        <f t="shared" si="112"/>
        <v>0</v>
      </c>
      <c r="AB496">
        <f t="shared" si="113"/>
        <v>0</v>
      </c>
      <c r="AC496">
        <f t="shared" si="114"/>
        <v>5</v>
      </c>
      <c r="AD496" s="1">
        <f t="shared" si="115"/>
        <v>6.666666666666667</v>
      </c>
      <c r="AE496">
        <f t="shared" si="116"/>
        <v>5</v>
      </c>
      <c r="AF496">
        <f t="shared" si="117"/>
        <v>10</v>
      </c>
      <c r="AG496">
        <f t="shared" si="118"/>
        <v>0</v>
      </c>
    </row>
    <row r="497" spans="1:33" x14ac:dyDescent="0.25">
      <c r="A497" t="s">
        <v>914</v>
      </c>
      <c r="B497" t="s">
        <v>915</v>
      </c>
      <c r="C497">
        <v>168807</v>
      </c>
      <c r="D497">
        <v>168807</v>
      </c>
      <c r="S497">
        <f t="shared" si="107"/>
        <v>0</v>
      </c>
      <c r="T497">
        <f t="shared" si="108"/>
        <v>0</v>
      </c>
      <c r="U497">
        <f t="shared" si="106"/>
        <v>0</v>
      </c>
      <c r="V497">
        <f t="shared" si="109"/>
        <v>0</v>
      </c>
      <c r="W497">
        <f t="shared" si="110"/>
        <v>0</v>
      </c>
      <c r="X497">
        <f t="shared" si="119"/>
        <v>0</v>
      </c>
      <c r="Y497">
        <f t="shared" si="120"/>
        <v>0</v>
      </c>
      <c r="Z497">
        <f t="shared" si="111"/>
        <v>0</v>
      </c>
      <c r="AA497">
        <f t="shared" si="112"/>
        <v>0</v>
      </c>
      <c r="AB497">
        <f t="shared" si="113"/>
        <v>0</v>
      </c>
      <c r="AC497">
        <f t="shared" si="114"/>
        <v>0</v>
      </c>
      <c r="AD497" s="1">
        <f t="shared" si="115"/>
        <v>0</v>
      </c>
      <c r="AE497">
        <f t="shared" si="116"/>
        <v>0</v>
      </c>
      <c r="AF497">
        <f t="shared" si="117"/>
        <v>0</v>
      </c>
      <c r="AG497">
        <f t="shared" si="118"/>
        <v>0</v>
      </c>
    </row>
    <row r="498" spans="1:33" x14ac:dyDescent="0.25">
      <c r="A498" t="s">
        <v>916</v>
      </c>
      <c r="B498" t="s">
        <v>917</v>
      </c>
      <c r="C498">
        <v>163534</v>
      </c>
      <c r="D498">
        <v>163534</v>
      </c>
      <c r="S498">
        <f t="shared" si="107"/>
        <v>0</v>
      </c>
      <c r="T498">
        <f t="shared" si="108"/>
        <v>0</v>
      </c>
      <c r="U498">
        <f t="shared" si="106"/>
        <v>0</v>
      </c>
      <c r="V498">
        <f t="shared" si="109"/>
        <v>0</v>
      </c>
      <c r="W498">
        <f t="shared" si="110"/>
        <v>0</v>
      </c>
      <c r="X498">
        <f t="shared" si="119"/>
        <v>0</v>
      </c>
      <c r="Y498">
        <f t="shared" si="120"/>
        <v>0</v>
      </c>
      <c r="Z498">
        <f t="shared" si="111"/>
        <v>0</v>
      </c>
      <c r="AA498">
        <f t="shared" si="112"/>
        <v>0</v>
      </c>
      <c r="AB498">
        <f t="shared" si="113"/>
        <v>0</v>
      </c>
      <c r="AC498">
        <f t="shared" si="114"/>
        <v>0</v>
      </c>
      <c r="AD498" s="1">
        <f t="shared" si="115"/>
        <v>0</v>
      </c>
      <c r="AE498">
        <f t="shared" si="116"/>
        <v>0</v>
      </c>
      <c r="AF498">
        <f t="shared" si="117"/>
        <v>0</v>
      </c>
      <c r="AG498">
        <f t="shared" si="118"/>
        <v>0</v>
      </c>
    </row>
    <row r="499" spans="1:33" x14ac:dyDescent="0.25">
      <c r="A499" t="s">
        <v>918</v>
      </c>
      <c r="B499" t="s">
        <v>584</v>
      </c>
      <c r="C499">
        <v>166546</v>
      </c>
      <c r="D499">
        <v>166546</v>
      </c>
      <c r="E499">
        <v>50</v>
      </c>
      <c r="F499">
        <v>20</v>
      </c>
      <c r="G499">
        <v>50</v>
      </c>
      <c r="O499">
        <v>120</v>
      </c>
      <c r="S499">
        <f t="shared" si="107"/>
        <v>7.5</v>
      </c>
      <c r="T499">
        <f t="shared" si="108"/>
        <v>0</v>
      </c>
      <c r="U499">
        <f t="shared" si="106"/>
        <v>1</v>
      </c>
      <c r="V499">
        <f t="shared" si="109"/>
        <v>1</v>
      </c>
      <c r="W499">
        <f t="shared" si="110"/>
        <v>0</v>
      </c>
      <c r="X499">
        <f t="shared" si="119"/>
        <v>1</v>
      </c>
      <c r="Y499">
        <f t="shared" si="120"/>
        <v>0</v>
      </c>
      <c r="Z499">
        <f t="shared" si="111"/>
        <v>10</v>
      </c>
      <c r="AA499">
        <f t="shared" si="112"/>
        <v>5</v>
      </c>
      <c r="AB499">
        <f t="shared" si="113"/>
        <v>7.1428571428571432</v>
      </c>
      <c r="AC499">
        <f t="shared" si="114"/>
        <v>0</v>
      </c>
      <c r="AD499" s="1">
        <f t="shared" si="115"/>
        <v>0</v>
      </c>
      <c r="AE499">
        <f t="shared" si="116"/>
        <v>0</v>
      </c>
      <c r="AF499">
        <f t="shared" si="117"/>
        <v>0</v>
      </c>
      <c r="AG499">
        <f t="shared" si="118"/>
        <v>0</v>
      </c>
    </row>
    <row r="500" spans="1:33" x14ac:dyDescent="0.25">
      <c r="A500" t="s">
        <v>919</v>
      </c>
      <c r="B500" t="s">
        <v>920</v>
      </c>
      <c r="C500">
        <v>162927</v>
      </c>
      <c r="D500">
        <v>162927</v>
      </c>
      <c r="N500" t="s">
        <v>549</v>
      </c>
      <c r="S500">
        <f t="shared" si="107"/>
        <v>0</v>
      </c>
      <c r="T500">
        <f t="shared" si="108"/>
        <v>0</v>
      </c>
      <c r="U500">
        <f t="shared" si="106"/>
        <v>0</v>
      </c>
      <c r="V500">
        <f t="shared" si="109"/>
        <v>0</v>
      </c>
      <c r="W500">
        <f t="shared" si="110"/>
        <v>0</v>
      </c>
      <c r="X500">
        <f t="shared" si="119"/>
        <v>0</v>
      </c>
      <c r="Y500">
        <f t="shared" si="120"/>
        <v>0</v>
      </c>
      <c r="Z500">
        <f t="shared" si="111"/>
        <v>0</v>
      </c>
      <c r="AA500">
        <f t="shared" si="112"/>
        <v>0</v>
      </c>
      <c r="AB500">
        <f t="shared" si="113"/>
        <v>0</v>
      </c>
      <c r="AC500">
        <f t="shared" si="114"/>
        <v>0</v>
      </c>
      <c r="AD500" s="1">
        <f t="shared" si="115"/>
        <v>0</v>
      </c>
      <c r="AE500">
        <f t="shared" si="116"/>
        <v>0</v>
      </c>
      <c r="AF500">
        <f t="shared" si="117"/>
        <v>0</v>
      </c>
      <c r="AG500">
        <f t="shared" si="118"/>
        <v>0</v>
      </c>
    </row>
    <row r="501" spans="1:33" x14ac:dyDescent="0.25">
      <c r="A501" t="s">
        <v>921</v>
      </c>
      <c r="B501" t="s">
        <v>922</v>
      </c>
      <c r="C501">
        <v>166846</v>
      </c>
      <c r="D501">
        <v>166846</v>
      </c>
      <c r="E501">
        <v>40</v>
      </c>
      <c r="F501">
        <v>20</v>
      </c>
      <c r="G501">
        <v>40</v>
      </c>
      <c r="O501">
        <v>100</v>
      </c>
      <c r="S501">
        <f t="shared" si="107"/>
        <v>6.25</v>
      </c>
      <c r="T501">
        <f t="shared" si="108"/>
        <v>0</v>
      </c>
      <c r="U501">
        <f t="shared" si="106"/>
        <v>1</v>
      </c>
      <c r="V501">
        <f t="shared" si="109"/>
        <v>1</v>
      </c>
      <c r="W501">
        <f t="shared" si="110"/>
        <v>0</v>
      </c>
      <c r="X501">
        <f t="shared" si="119"/>
        <v>1</v>
      </c>
      <c r="Y501">
        <f t="shared" si="120"/>
        <v>0</v>
      </c>
      <c r="Z501">
        <f t="shared" si="111"/>
        <v>8</v>
      </c>
      <c r="AA501">
        <f t="shared" si="112"/>
        <v>5</v>
      </c>
      <c r="AB501">
        <f t="shared" si="113"/>
        <v>5.7142857142857144</v>
      </c>
      <c r="AC501">
        <f t="shared" si="114"/>
        <v>0</v>
      </c>
      <c r="AD501" s="1">
        <f t="shared" si="115"/>
        <v>0</v>
      </c>
      <c r="AE501">
        <f t="shared" si="116"/>
        <v>0</v>
      </c>
      <c r="AF501">
        <f t="shared" si="117"/>
        <v>0</v>
      </c>
      <c r="AG501">
        <f t="shared" si="118"/>
        <v>0</v>
      </c>
    </row>
    <row r="502" spans="1:33" x14ac:dyDescent="0.25">
      <c r="A502" t="s">
        <v>923</v>
      </c>
      <c r="B502" t="s">
        <v>924</v>
      </c>
      <c r="C502">
        <v>167108</v>
      </c>
      <c r="D502">
        <v>167108</v>
      </c>
      <c r="E502">
        <v>40</v>
      </c>
      <c r="F502">
        <v>30</v>
      </c>
      <c r="G502">
        <v>50</v>
      </c>
      <c r="O502">
        <v>120</v>
      </c>
      <c r="S502">
        <f t="shared" si="107"/>
        <v>7.5</v>
      </c>
      <c r="T502">
        <f t="shared" si="108"/>
        <v>0</v>
      </c>
      <c r="U502">
        <f t="shared" si="106"/>
        <v>1</v>
      </c>
      <c r="V502">
        <f t="shared" si="109"/>
        <v>1</v>
      </c>
      <c r="W502">
        <f t="shared" si="110"/>
        <v>0</v>
      </c>
      <c r="X502">
        <f t="shared" si="119"/>
        <v>1</v>
      </c>
      <c r="Y502">
        <f t="shared" si="120"/>
        <v>0</v>
      </c>
      <c r="Z502">
        <f t="shared" si="111"/>
        <v>8</v>
      </c>
      <c r="AA502">
        <f t="shared" si="112"/>
        <v>7.5</v>
      </c>
      <c r="AB502">
        <f t="shared" si="113"/>
        <v>7.1428571428571432</v>
      </c>
      <c r="AC502">
        <f t="shared" si="114"/>
        <v>0</v>
      </c>
      <c r="AD502" s="1">
        <f t="shared" si="115"/>
        <v>0</v>
      </c>
      <c r="AE502">
        <f t="shared" si="116"/>
        <v>0</v>
      </c>
      <c r="AF502">
        <f t="shared" si="117"/>
        <v>0</v>
      </c>
      <c r="AG502">
        <f t="shared" si="118"/>
        <v>0</v>
      </c>
    </row>
    <row r="503" spans="1:33" x14ac:dyDescent="0.25">
      <c r="A503" t="s">
        <v>925</v>
      </c>
      <c r="B503" t="s">
        <v>636</v>
      </c>
      <c r="C503">
        <v>163479</v>
      </c>
      <c r="D503">
        <v>163479</v>
      </c>
      <c r="E503">
        <v>50</v>
      </c>
      <c r="F503">
        <v>30</v>
      </c>
      <c r="G503">
        <v>20</v>
      </c>
      <c r="O503">
        <v>100</v>
      </c>
      <c r="S503">
        <f t="shared" si="107"/>
        <v>6.25</v>
      </c>
      <c r="T503">
        <f t="shared" si="108"/>
        <v>0</v>
      </c>
      <c r="U503">
        <f t="shared" si="106"/>
        <v>1</v>
      </c>
      <c r="V503">
        <f t="shared" si="109"/>
        <v>1</v>
      </c>
      <c r="W503">
        <f t="shared" si="110"/>
        <v>0</v>
      </c>
      <c r="X503">
        <f t="shared" si="119"/>
        <v>1</v>
      </c>
      <c r="Y503">
        <f t="shared" si="120"/>
        <v>0</v>
      </c>
      <c r="Z503">
        <f t="shared" si="111"/>
        <v>10</v>
      </c>
      <c r="AA503">
        <f t="shared" si="112"/>
        <v>7.5</v>
      </c>
      <c r="AB503">
        <f t="shared" si="113"/>
        <v>2.8571428571428572</v>
      </c>
      <c r="AC503">
        <f t="shared" si="114"/>
        <v>0</v>
      </c>
      <c r="AD503" s="1">
        <f t="shared" si="115"/>
        <v>0</v>
      </c>
      <c r="AE503">
        <f t="shared" si="116"/>
        <v>0</v>
      </c>
      <c r="AF503">
        <f t="shared" si="117"/>
        <v>0</v>
      </c>
      <c r="AG503">
        <f t="shared" si="118"/>
        <v>0</v>
      </c>
    </row>
    <row r="504" spans="1:33" x14ac:dyDescent="0.25">
      <c r="A504" t="s">
        <v>926</v>
      </c>
      <c r="B504" t="s">
        <v>927</v>
      </c>
      <c r="C504">
        <v>163303</v>
      </c>
      <c r="D504">
        <v>163303</v>
      </c>
      <c r="E504">
        <v>40</v>
      </c>
      <c r="F504">
        <v>10</v>
      </c>
      <c r="G504">
        <v>20</v>
      </c>
      <c r="O504">
        <v>70</v>
      </c>
      <c r="S504">
        <f t="shared" si="107"/>
        <v>4.375</v>
      </c>
      <c r="T504">
        <f t="shared" si="108"/>
        <v>0</v>
      </c>
      <c r="U504">
        <f t="shared" si="106"/>
        <v>1</v>
      </c>
      <c r="V504">
        <f t="shared" si="109"/>
        <v>1</v>
      </c>
      <c r="W504">
        <f t="shared" si="110"/>
        <v>0</v>
      </c>
      <c r="X504">
        <f t="shared" si="119"/>
        <v>0</v>
      </c>
      <c r="Y504">
        <f t="shared" si="120"/>
        <v>0</v>
      </c>
      <c r="Z504">
        <f t="shared" si="111"/>
        <v>8</v>
      </c>
      <c r="AA504">
        <f t="shared" si="112"/>
        <v>2.5</v>
      </c>
      <c r="AB504">
        <f t="shared" si="113"/>
        <v>2.8571428571428572</v>
      </c>
      <c r="AC504">
        <f t="shared" si="114"/>
        <v>0</v>
      </c>
      <c r="AD504" s="1">
        <f t="shared" si="115"/>
        <v>0</v>
      </c>
      <c r="AE504">
        <f t="shared" si="116"/>
        <v>0</v>
      </c>
      <c r="AF504">
        <f t="shared" si="117"/>
        <v>0</v>
      </c>
      <c r="AG504">
        <f t="shared" si="118"/>
        <v>0</v>
      </c>
    </row>
    <row r="505" spans="1:33" x14ac:dyDescent="0.25">
      <c r="A505" t="s">
        <v>928</v>
      </c>
      <c r="B505" t="s">
        <v>929</v>
      </c>
      <c r="C505">
        <v>165469</v>
      </c>
      <c r="D505">
        <v>165469</v>
      </c>
      <c r="S505">
        <f t="shared" si="107"/>
        <v>0</v>
      </c>
      <c r="T505">
        <f t="shared" si="108"/>
        <v>0</v>
      </c>
      <c r="U505">
        <f t="shared" si="106"/>
        <v>0</v>
      </c>
      <c r="V505">
        <f t="shared" si="109"/>
        <v>0</v>
      </c>
      <c r="W505">
        <f t="shared" si="110"/>
        <v>0</v>
      </c>
      <c r="X505">
        <f t="shared" si="119"/>
        <v>0</v>
      </c>
      <c r="Y505">
        <f t="shared" si="120"/>
        <v>0</v>
      </c>
      <c r="Z505">
        <f t="shared" si="111"/>
        <v>0</v>
      </c>
      <c r="AA505">
        <f t="shared" si="112"/>
        <v>0</v>
      </c>
      <c r="AB505">
        <f t="shared" si="113"/>
        <v>0</v>
      </c>
      <c r="AC505">
        <f t="shared" si="114"/>
        <v>0</v>
      </c>
      <c r="AD505" s="1">
        <f t="shared" si="115"/>
        <v>0</v>
      </c>
      <c r="AE505">
        <f t="shared" si="116"/>
        <v>0</v>
      </c>
      <c r="AF505">
        <f t="shared" si="117"/>
        <v>0</v>
      </c>
      <c r="AG505">
        <f t="shared" si="118"/>
        <v>0</v>
      </c>
    </row>
    <row r="506" spans="1:33" x14ac:dyDescent="0.25">
      <c r="A506" t="s">
        <v>930</v>
      </c>
      <c r="B506" t="s">
        <v>931</v>
      </c>
      <c r="C506">
        <v>163614</v>
      </c>
      <c r="D506">
        <v>163614</v>
      </c>
      <c r="S506">
        <f t="shared" si="107"/>
        <v>0</v>
      </c>
      <c r="T506">
        <f t="shared" si="108"/>
        <v>0</v>
      </c>
      <c r="U506">
        <f t="shared" si="106"/>
        <v>0</v>
      </c>
      <c r="V506">
        <f t="shared" si="109"/>
        <v>0</v>
      </c>
      <c r="W506">
        <f t="shared" si="110"/>
        <v>0</v>
      </c>
      <c r="X506">
        <f t="shared" si="119"/>
        <v>0</v>
      </c>
      <c r="Y506">
        <f t="shared" si="120"/>
        <v>0</v>
      </c>
      <c r="Z506">
        <f t="shared" si="111"/>
        <v>0</v>
      </c>
      <c r="AA506">
        <f t="shared" si="112"/>
        <v>0</v>
      </c>
      <c r="AB506">
        <f t="shared" si="113"/>
        <v>0</v>
      </c>
      <c r="AC506">
        <f t="shared" si="114"/>
        <v>0</v>
      </c>
      <c r="AD506" s="1">
        <f t="shared" si="115"/>
        <v>0</v>
      </c>
      <c r="AE506">
        <f t="shared" si="116"/>
        <v>0</v>
      </c>
      <c r="AF506">
        <f t="shared" si="117"/>
        <v>0</v>
      </c>
      <c r="AG506">
        <f t="shared" si="118"/>
        <v>0</v>
      </c>
    </row>
    <row r="507" spans="1:33" x14ac:dyDescent="0.25">
      <c r="A507" t="s">
        <v>932</v>
      </c>
      <c r="B507" t="s">
        <v>197</v>
      </c>
      <c r="C507">
        <v>166306</v>
      </c>
      <c r="D507">
        <v>166306</v>
      </c>
      <c r="E507">
        <v>30</v>
      </c>
      <c r="F507">
        <v>40</v>
      </c>
      <c r="G507">
        <v>40</v>
      </c>
      <c r="O507">
        <v>110</v>
      </c>
      <c r="S507">
        <f t="shared" si="107"/>
        <v>6.875</v>
      </c>
      <c r="T507">
        <f t="shared" si="108"/>
        <v>0</v>
      </c>
      <c r="U507">
        <f t="shared" si="106"/>
        <v>1</v>
      </c>
      <c r="V507">
        <f t="shared" si="109"/>
        <v>1</v>
      </c>
      <c r="W507">
        <f t="shared" si="110"/>
        <v>0</v>
      </c>
      <c r="X507">
        <f t="shared" si="119"/>
        <v>1</v>
      </c>
      <c r="Y507">
        <f t="shared" si="120"/>
        <v>0</v>
      </c>
      <c r="Z507">
        <f t="shared" si="111"/>
        <v>6</v>
      </c>
      <c r="AA507">
        <f t="shared" si="112"/>
        <v>10</v>
      </c>
      <c r="AB507">
        <f t="shared" si="113"/>
        <v>5.7142857142857144</v>
      </c>
      <c r="AC507">
        <f t="shared" si="114"/>
        <v>0</v>
      </c>
      <c r="AD507" s="1">
        <f t="shared" si="115"/>
        <v>0</v>
      </c>
      <c r="AE507">
        <f t="shared" si="116"/>
        <v>0</v>
      </c>
      <c r="AF507">
        <f t="shared" si="117"/>
        <v>0</v>
      </c>
      <c r="AG507">
        <f t="shared" si="118"/>
        <v>0</v>
      </c>
    </row>
    <row r="508" spans="1:33" x14ac:dyDescent="0.25">
      <c r="A508" t="s">
        <v>933</v>
      </c>
      <c r="B508" t="s">
        <v>150</v>
      </c>
      <c r="C508">
        <v>165927</v>
      </c>
      <c r="D508">
        <v>165927</v>
      </c>
      <c r="E508">
        <v>50</v>
      </c>
      <c r="F508">
        <v>30</v>
      </c>
      <c r="G508">
        <v>50</v>
      </c>
      <c r="O508">
        <v>130</v>
      </c>
      <c r="S508">
        <f t="shared" si="107"/>
        <v>8.125</v>
      </c>
      <c r="T508">
        <f t="shared" si="108"/>
        <v>0</v>
      </c>
      <c r="U508">
        <f t="shared" si="106"/>
        <v>1</v>
      </c>
      <c r="V508">
        <f t="shared" si="109"/>
        <v>1</v>
      </c>
      <c r="W508">
        <f t="shared" si="110"/>
        <v>0</v>
      </c>
      <c r="X508">
        <f t="shared" si="119"/>
        <v>1</v>
      </c>
      <c r="Y508">
        <f t="shared" si="120"/>
        <v>0</v>
      </c>
      <c r="Z508">
        <f t="shared" si="111"/>
        <v>10</v>
      </c>
      <c r="AA508">
        <f t="shared" si="112"/>
        <v>7.5</v>
      </c>
      <c r="AB508">
        <f t="shared" si="113"/>
        <v>7.1428571428571432</v>
      </c>
      <c r="AC508">
        <f t="shared" si="114"/>
        <v>0</v>
      </c>
      <c r="AD508" s="1">
        <f t="shared" si="115"/>
        <v>0</v>
      </c>
      <c r="AE508">
        <f t="shared" si="116"/>
        <v>0</v>
      </c>
      <c r="AF508">
        <f t="shared" si="117"/>
        <v>0</v>
      </c>
      <c r="AG508">
        <f t="shared" si="118"/>
        <v>0</v>
      </c>
    </row>
    <row r="509" spans="1:33" x14ac:dyDescent="0.25">
      <c r="A509" t="s">
        <v>934</v>
      </c>
      <c r="B509" t="s">
        <v>935</v>
      </c>
      <c r="C509">
        <v>166342</v>
      </c>
      <c r="D509">
        <v>166342</v>
      </c>
      <c r="S509">
        <f t="shared" si="107"/>
        <v>0</v>
      </c>
      <c r="T509">
        <f t="shared" si="108"/>
        <v>0</v>
      </c>
      <c r="U509">
        <f t="shared" si="106"/>
        <v>0</v>
      </c>
      <c r="V509">
        <f t="shared" si="109"/>
        <v>0</v>
      </c>
      <c r="W509">
        <f t="shared" si="110"/>
        <v>0</v>
      </c>
      <c r="X509">
        <f t="shared" si="119"/>
        <v>0</v>
      </c>
      <c r="Y509">
        <f t="shared" si="120"/>
        <v>0</v>
      </c>
      <c r="Z509">
        <f t="shared" si="111"/>
        <v>0</v>
      </c>
      <c r="AA509">
        <f t="shared" si="112"/>
        <v>0</v>
      </c>
      <c r="AB509">
        <f t="shared" si="113"/>
        <v>0</v>
      </c>
      <c r="AC509">
        <f t="shared" si="114"/>
        <v>0</v>
      </c>
      <c r="AD509" s="1">
        <f t="shared" si="115"/>
        <v>0</v>
      </c>
      <c r="AE509">
        <f t="shared" si="116"/>
        <v>0</v>
      </c>
      <c r="AF509">
        <f t="shared" si="117"/>
        <v>0</v>
      </c>
      <c r="AG509">
        <f t="shared" si="118"/>
        <v>0</v>
      </c>
    </row>
    <row r="510" spans="1:33" x14ac:dyDescent="0.25">
      <c r="A510" t="s">
        <v>936</v>
      </c>
      <c r="B510" t="s">
        <v>937</v>
      </c>
      <c r="C510">
        <v>167215</v>
      </c>
      <c r="D510">
        <v>167215</v>
      </c>
      <c r="E510">
        <v>40</v>
      </c>
      <c r="F510">
        <v>20</v>
      </c>
      <c r="G510">
        <v>20</v>
      </c>
      <c r="O510">
        <v>80</v>
      </c>
      <c r="S510">
        <f t="shared" si="107"/>
        <v>5</v>
      </c>
      <c r="T510">
        <f t="shared" si="108"/>
        <v>0</v>
      </c>
      <c r="U510">
        <f t="shared" si="106"/>
        <v>1</v>
      </c>
      <c r="V510">
        <f t="shared" si="109"/>
        <v>1</v>
      </c>
      <c r="W510">
        <f t="shared" si="110"/>
        <v>0</v>
      </c>
      <c r="X510">
        <f t="shared" si="119"/>
        <v>0</v>
      </c>
      <c r="Y510">
        <f t="shared" si="120"/>
        <v>0</v>
      </c>
      <c r="Z510">
        <f t="shared" si="111"/>
        <v>8</v>
      </c>
      <c r="AA510">
        <f t="shared" si="112"/>
        <v>5</v>
      </c>
      <c r="AB510">
        <f t="shared" si="113"/>
        <v>2.8571428571428572</v>
      </c>
      <c r="AC510">
        <f t="shared" si="114"/>
        <v>0</v>
      </c>
      <c r="AD510" s="1">
        <f t="shared" si="115"/>
        <v>0</v>
      </c>
      <c r="AE510">
        <f t="shared" si="116"/>
        <v>0</v>
      </c>
      <c r="AF510">
        <f t="shared" si="117"/>
        <v>0</v>
      </c>
      <c r="AG510">
        <f t="shared" si="118"/>
        <v>0</v>
      </c>
    </row>
    <row r="511" spans="1:33" x14ac:dyDescent="0.25">
      <c r="A511" t="s">
        <v>938</v>
      </c>
      <c r="B511" t="s">
        <v>753</v>
      </c>
      <c r="C511">
        <v>166303</v>
      </c>
      <c r="D511">
        <v>166303</v>
      </c>
      <c r="E511">
        <v>30</v>
      </c>
      <c r="F511">
        <v>30</v>
      </c>
      <c r="G511">
        <v>30</v>
      </c>
      <c r="O511">
        <v>90</v>
      </c>
      <c r="S511">
        <f t="shared" si="107"/>
        <v>5.625</v>
      </c>
      <c r="T511">
        <f t="shared" si="108"/>
        <v>0</v>
      </c>
      <c r="U511">
        <f t="shared" si="106"/>
        <v>1</v>
      </c>
      <c r="V511">
        <f t="shared" si="109"/>
        <v>1</v>
      </c>
      <c r="W511">
        <f t="shared" si="110"/>
        <v>0</v>
      </c>
      <c r="X511">
        <f t="shared" si="119"/>
        <v>0</v>
      </c>
      <c r="Y511">
        <f t="shared" si="120"/>
        <v>0</v>
      </c>
      <c r="Z511">
        <f t="shared" si="111"/>
        <v>6</v>
      </c>
      <c r="AA511">
        <f t="shared" si="112"/>
        <v>7.5</v>
      </c>
      <c r="AB511">
        <f t="shared" si="113"/>
        <v>4.2857142857142856</v>
      </c>
      <c r="AC511">
        <f t="shared" si="114"/>
        <v>0</v>
      </c>
      <c r="AD511" s="1">
        <f t="shared" si="115"/>
        <v>0</v>
      </c>
      <c r="AE511">
        <f t="shared" si="116"/>
        <v>0</v>
      </c>
      <c r="AF511">
        <f t="shared" si="117"/>
        <v>0</v>
      </c>
      <c r="AG511">
        <f t="shared" si="118"/>
        <v>0</v>
      </c>
    </row>
    <row r="512" spans="1:33" x14ac:dyDescent="0.25">
      <c r="A512" t="s">
        <v>939</v>
      </c>
      <c r="B512" t="s">
        <v>57</v>
      </c>
      <c r="C512">
        <v>165605</v>
      </c>
      <c r="D512">
        <v>165605</v>
      </c>
      <c r="H512">
        <v>10</v>
      </c>
      <c r="I512">
        <v>30</v>
      </c>
      <c r="J512">
        <v>10</v>
      </c>
      <c r="K512">
        <v>0</v>
      </c>
      <c r="L512">
        <v>10</v>
      </c>
      <c r="M512">
        <v>60</v>
      </c>
      <c r="S512">
        <f t="shared" si="107"/>
        <v>0</v>
      </c>
      <c r="T512">
        <f t="shared" si="108"/>
        <v>5</v>
      </c>
      <c r="U512">
        <f t="shared" si="106"/>
        <v>1</v>
      </c>
      <c r="V512">
        <f t="shared" si="109"/>
        <v>0</v>
      </c>
      <c r="W512">
        <f t="shared" si="110"/>
        <v>1</v>
      </c>
      <c r="X512">
        <f t="shared" si="119"/>
        <v>0</v>
      </c>
      <c r="Y512">
        <f t="shared" si="120"/>
        <v>0</v>
      </c>
      <c r="Z512">
        <f t="shared" si="111"/>
        <v>0</v>
      </c>
      <c r="AA512">
        <f t="shared" si="112"/>
        <v>0</v>
      </c>
      <c r="AB512">
        <f t="shared" si="113"/>
        <v>0</v>
      </c>
      <c r="AC512">
        <f t="shared" si="114"/>
        <v>5</v>
      </c>
      <c r="AD512" s="1">
        <f t="shared" si="115"/>
        <v>5</v>
      </c>
      <c r="AE512">
        <f t="shared" si="116"/>
        <v>5</v>
      </c>
      <c r="AF512">
        <f t="shared" si="117"/>
        <v>0</v>
      </c>
      <c r="AG512">
        <f t="shared" si="118"/>
        <v>10</v>
      </c>
    </row>
    <row r="513" spans="1:33" x14ac:dyDescent="0.25">
      <c r="A513" t="s">
        <v>940</v>
      </c>
      <c r="B513" t="s">
        <v>830</v>
      </c>
      <c r="C513">
        <v>166435</v>
      </c>
      <c r="D513">
        <v>166435</v>
      </c>
      <c r="H513">
        <v>0</v>
      </c>
      <c r="I513">
        <v>50</v>
      </c>
      <c r="J513">
        <v>10</v>
      </c>
      <c r="K513">
        <v>0</v>
      </c>
      <c r="L513">
        <v>0</v>
      </c>
      <c r="M513">
        <v>60</v>
      </c>
      <c r="N513" t="s">
        <v>20</v>
      </c>
      <c r="S513">
        <f t="shared" si="107"/>
        <v>0</v>
      </c>
      <c r="T513">
        <f t="shared" si="108"/>
        <v>5</v>
      </c>
      <c r="U513">
        <f t="shared" si="106"/>
        <v>1</v>
      </c>
      <c r="V513">
        <f t="shared" si="109"/>
        <v>0</v>
      </c>
      <c r="W513">
        <f t="shared" si="110"/>
        <v>1</v>
      </c>
      <c r="X513">
        <f t="shared" si="119"/>
        <v>0</v>
      </c>
      <c r="Y513">
        <f t="shared" si="120"/>
        <v>0</v>
      </c>
      <c r="Z513">
        <f t="shared" si="111"/>
        <v>0</v>
      </c>
      <c r="AA513">
        <f t="shared" si="112"/>
        <v>0</v>
      </c>
      <c r="AB513">
        <f t="shared" si="113"/>
        <v>0</v>
      </c>
      <c r="AC513">
        <f t="shared" si="114"/>
        <v>0</v>
      </c>
      <c r="AD513" s="1">
        <f t="shared" si="115"/>
        <v>8.3333333333333339</v>
      </c>
      <c r="AE513">
        <f t="shared" si="116"/>
        <v>5</v>
      </c>
      <c r="AF513">
        <f t="shared" si="117"/>
        <v>0</v>
      </c>
      <c r="AG513">
        <f t="shared" si="118"/>
        <v>0</v>
      </c>
    </row>
    <row r="514" spans="1:33" x14ac:dyDescent="0.25">
      <c r="A514" t="s">
        <v>941</v>
      </c>
      <c r="B514" t="s">
        <v>942</v>
      </c>
      <c r="C514">
        <v>166157</v>
      </c>
      <c r="D514">
        <v>166157</v>
      </c>
      <c r="E514">
        <v>30</v>
      </c>
      <c r="F514">
        <v>30</v>
      </c>
      <c r="G514">
        <v>40</v>
      </c>
      <c r="O514">
        <v>100</v>
      </c>
      <c r="S514">
        <f t="shared" si="107"/>
        <v>6.25</v>
      </c>
      <c r="T514">
        <f t="shared" si="108"/>
        <v>0</v>
      </c>
      <c r="U514">
        <f t="shared" ref="U514:U577" si="121">IF(AND(E514="",F514="",G514="",H514="",I514="",J514="",K514="",L514="",M514=""),0,1)</f>
        <v>1</v>
      </c>
      <c r="V514">
        <f t="shared" si="109"/>
        <v>1</v>
      </c>
      <c r="W514">
        <f t="shared" si="110"/>
        <v>0</v>
      </c>
      <c r="X514">
        <f t="shared" si="119"/>
        <v>1</v>
      </c>
      <c r="Y514">
        <f t="shared" si="120"/>
        <v>0</v>
      </c>
      <c r="Z514">
        <f t="shared" si="111"/>
        <v>6</v>
      </c>
      <c r="AA514">
        <f t="shared" si="112"/>
        <v>7.5</v>
      </c>
      <c r="AB514">
        <f t="shared" si="113"/>
        <v>5.7142857142857144</v>
      </c>
      <c r="AC514">
        <f t="shared" si="114"/>
        <v>0</v>
      </c>
      <c r="AD514" s="1">
        <f t="shared" si="115"/>
        <v>0</v>
      </c>
      <c r="AE514">
        <f t="shared" si="116"/>
        <v>0</v>
      </c>
      <c r="AF514">
        <f t="shared" si="117"/>
        <v>0</v>
      </c>
      <c r="AG514">
        <f t="shared" si="118"/>
        <v>0</v>
      </c>
    </row>
    <row r="515" spans="1:33" x14ac:dyDescent="0.25">
      <c r="A515" t="s">
        <v>943</v>
      </c>
      <c r="B515" t="s">
        <v>944</v>
      </c>
      <c r="C515">
        <v>168360</v>
      </c>
      <c r="D515">
        <v>168360</v>
      </c>
      <c r="H515">
        <v>10</v>
      </c>
      <c r="M515">
        <v>10</v>
      </c>
      <c r="S515">
        <f t="shared" ref="S515:S578" si="122">O515/16</f>
        <v>0</v>
      </c>
      <c r="T515">
        <f t="shared" ref="T515:T578" si="123">M515/12</f>
        <v>0.83333333333333337</v>
      </c>
      <c r="U515">
        <f t="shared" si="121"/>
        <v>1</v>
      </c>
      <c r="V515">
        <f t="shared" ref="V515:V578" si="124">IF(O515="",0,1)</f>
        <v>0</v>
      </c>
      <c r="W515">
        <f t="shared" ref="W515:W578" si="125">IF(M515="",0,1)</f>
        <v>1</v>
      </c>
      <c r="X515">
        <f t="shared" si="119"/>
        <v>0</v>
      </c>
      <c r="Y515">
        <f t="shared" si="120"/>
        <v>0</v>
      </c>
      <c r="Z515">
        <f t="shared" ref="Z515:Z578" si="126">E515/5</f>
        <v>0</v>
      </c>
      <c r="AA515">
        <f t="shared" ref="AA515:AA578" si="127">F515/4</f>
        <v>0</v>
      </c>
      <c r="AB515">
        <f t="shared" ref="AB515:AB578" si="128">G515/7</f>
        <v>0</v>
      </c>
      <c r="AC515">
        <f t="shared" ref="AC515:AC578" si="129">H515/2</f>
        <v>5</v>
      </c>
      <c r="AD515" s="1">
        <f t="shared" ref="AD515:AD578" si="130">I515/6</f>
        <v>0</v>
      </c>
      <c r="AE515">
        <f t="shared" ref="AE515:AE578" si="131">J515/2</f>
        <v>0</v>
      </c>
      <c r="AF515">
        <f t="shared" ref="AF515:AF578" si="132">K515</f>
        <v>0</v>
      </c>
      <c r="AG515">
        <f t="shared" ref="AG515:AG578" si="133">L515</f>
        <v>0</v>
      </c>
    </row>
    <row r="516" spans="1:33" x14ac:dyDescent="0.25">
      <c r="A516" t="s">
        <v>945</v>
      </c>
      <c r="B516" t="s">
        <v>946</v>
      </c>
      <c r="C516">
        <v>167806</v>
      </c>
      <c r="D516">
        <v>167806</v>
      </c>
      <c r="S516">
        <f t="shared" si="122"/>
        <v>0</v>
      </c>
      <c r="T516">
        <f t="shared" si="123"/>
        <v>0</v>
      </c>
      <c r="U516">
        <f t="shared" si="121"/>
        <v>0</v>
      </c>
      <c r="V516">
        <f t="shared" si="124"/>
        <v>0</v>
      </c>
      <c r="W516">
        <f t="shared" si="125"/>
        <v>0</v>
      </c>
      <c r="X516">
        <f t="shared" si="119"/>
        <v>0</v>
      </c>
      <c r="Y516">
        <f t="shared" si="120"/>
        <v>0</v>
      </c>
      <c r="Z516">
        <f t="shared" si="126"/>
        <v>0</v>
      </c>
      <c r="AA516">
        <f t="shared" si="127"/>
        <v>0</v>
      </c>
      <c r="AB516">
        <f t="shared" si="128"/>
        <v>0</v>
      </c>
      <c r="AC516">
        <f t="shared" si="129"/>
        <v>0</v>
      </c>
      <c r="AD516" s="1">
        <f t="shared" si="130"/>
        <v>0</v>
      </c>
      <c r="AE516">
        <f t="shared" si="131"/>
        <v>0</v>
      </c>
      <c r="AF516">
        <f t="shared" si="132"/>
        <v>0</v>
      </c>
      <c r="AG516">
        <f t="shared" si="133"/>
        <v>0</v>
      </c>
    </row>
    <row r="517" spans="1:33" x14ac:dyDescent="0.25">
      <c r="A517" t="s">
        <v>947</v>
      </c>
      <c r="B517" t="s">
        <v>948</v>
      </c>
      <c r="C517">
        <v>166463</v>
      </c>
      <c r="D517">
        <v>166463</v>
      </c>
      <c r="E517">
        <v>30</v>
      </c>
      <c r="F517">
        <v>20</v>
      </c>
      <c r="G517">
        <v>40</v>
      </c>
      <c r="O517">
        <v>90</v>
      </c>
      <c r="S517">
        <f t="shared" si="122"/>
        <v>5.625</v>
      </c>
      <c r="T517">
        <f t="shared" si="123"/>
        <v>0</v>
      </c>
      <c r="U517">
        <f t="shared" si="121"/>
        <v>1</v>
      </c>
      <c r="V517">
        <f t="shared" si="124"/>
        <v>1</v>
      </c>
      <c r="W517">
        <f t="shared" si="125"/>
        <v>0</v>
      </c>
      <c r="X517">
        <f t="shared" ref="X517:X580" si="134">IF(AND(V517=1,S517&gt;6),1,0)</f>
        <v>0</v>
      </c>
      <c r="Y517">
        <f t="shared" ref="Y517:Y580" si="135">IF(AND(W517=1,T517&gt;6),1,0)</f>
        <v>0</v>
      </c>
      <c r="Z517">
        <f t="shared" si="126"/>
        <v>6</v>
      </c>
      <c r="AA517">
        <f t="shared" si="127"/>
        <v>5</v>
      </c>
      <c r="AB517">
        <f t="shared" si="128"/>
        <v>5.7142857142857144</v>
      </c>
      <c r="AC517">
        <f t="shared" si="129"/>
        <v>0</v>
      </c>
      <c r="AD517" s="1">
        <f t="shared" si="130"/>
        <v>0</v>
      </c>
      <c r="AE517">
        <f t="shared" si="131"/>
        <v>0</v>
      </c>
      <c r="AF517">
        <f t="shared" si="132"/>
        <v>0</v>
      </c>
      <c r="AG517">
        <f t="shared" si="133"/>
        <v>0</v>
      </c>
    </row>
    <row r="518" spans="1:33" x14ac:dyDescent="0.25">
      <c r="A518" t="s">
        <v>949</v>
      </c>
      <c r="B518" t="s">
        <v>950</v>
      </c>
      <c r="C518">
        <v>167792</v>
      </c>
      <c r="D518">
        <v>167792</v>
      </c>
      <c r="E518">
        <v>20</v>
      </c>
      <c r="F518">
        <v>40</v>
      </c>
      <c r="O518">
        <v>60</v>
      </c>
      <c r="S518">
        <f t="shared" si="122"/>
        <v>3.75</v>
      </c>
      <c r="T518">
        <f t="shared" si="123"/>
        <v>0</v>
      </c>
      <c r="U518">
        <f t="shared" si="121"/>
        <v>1</v>
      </c>
      <c r="V518">
        <f t="shared" si="124"/>
        <v>1</v>
      </c>
      <c r="W518">
        <f t="shared" si="125"/>
        <v>0</v>
      </c>
      <c r="X518">
        <f t="shared" si="134"/>
        <v>0</v>
      </c>
      <c r="Y518">
        <f t="shared" si="135"/>
        <v>0</v>
      </c>
      <c r="Z518">
        <f t="shared" si="126"/>
        <v>4</v>
      </c>
      <c r="AA518">
        <f t="shared" si="127"/>
        <v>10</v>
      </c>
      <c r="AB518">
        <f t="shared" si="128"/>
        <v>0</v>
      </c>
      <c r="AC518">
        <f t="shared" si="129"/>
        <v>0</v>
      </c>
      <c r="AD518" s="1">
        <f t="shared" si="130"/>
        <v>0</v>
      </c>
      <c r="AE518">
        <f t="shared" si="131"/>
        <v>0</v>
      </c>
      <c r="AF518">
        <f t="shared" si="132"/>
        <v>0</v>
      </c>
      <c r="AG518">
        <f t="shared" si="133"/>
        <v>0</v>
      </c>
    </row>
    <row r="519" spans="1:33" x14ac:dyDescent="0.25">
      <c r="A519" t="s">
        <v>951</v>
      </c>
      <c r="B519" t="s">
        <v>286</v>
      </c>
      <c r="C519">
        <v>166129</v>
      </c>
      <c r="D519">
        <v>166129</v>
      </c>
      <c r="H519">
        <v>20</v>
      </c>
      <c r="I519">
        <v>20</v>
      </c>
      <c r="J519">
        <v>10</v>
      </c>
      <c r="K519">
        <v>0</v>
      </c>
      <c r="L519">
        <v>0</v>
      </c>
      <c r="M519">
        <v>50</v>
      </c>
      <c r="S519">
        <f t="shared" si="122"/>
        <v>0</v>
      </c>
      <c r="T519">
        <f t="shared" si="123"/>
        <v>4.166666666666667</v>
      </c>
      <c r="U519">
        <f t="shared" si="121"/>
        <v>1</v>
      </c>
      <c r="V519">
        <f t="shared" si="124"/>
        <v>0</v>
      </c>
      <c r="W519">
        <f t="shared" si="125"/>
        <v>1</v>
      </c>
      <c r="X519">
        <f t="shared" si="134"/>
        <v>0</v>
      </c>
      <c r="Y519">
        <f t="shared" si="135"/>
        <v>0</v>
      </c>
      <c r="Z519">
        <f t="shared" si="126"/>
        <v>0</v>
      </c>
      <c r="AA519">
        <f t="shared" si="127"/>
        <v>0</v>
      </c>
      <c r="AB519">
        <f t="shared" si="128"/>
        <v>0</v>
      </c>
      <c r="AC519">
        <f t="shared" si="129"/>
        <v>10</v>
      </c>
      <c r="AD519" s="1">
        <f t="shared" si="130"/>
        <v>3.3333333333333335</v>
      </c>
      <c r="AE519">
        <f t="shared" si="131"/>
        <v>5</v>
      </c>
      <c r="AF519">
        <f t="shared" si="132"/>
        <v>0</v>
      </c>
      <c r="AG519">
        <f t="shared" si="133"/>
        <v>0</v>
      </c>
    </row>
    <row r="520" spans="1:33" x14ac:dyDescent="0.25">
      <c r="A520" t="s">
        <v>952</v>
      </c>
      <c r="B520" t="s">
        <v>953</v>
      </c>
      <c r="C520">
        <v>166831</v>
      </c>
      <c r="D520">
        <v>166831</v>
      </c>
      <c r="H520">
        <v>20</v>
      </c>
      <c r="I520">
        <v>40</v>
      </c>
      <c r="J520">
        <v>10</v>
      </c>
      <c r="K520">
        <v>10</v>
      </c>
      <c r="L520">
        <v>10</v>
      </c>
      <c r="M520">
        <v>90</v>
      </c>
      <c r="S520">
        <f t="shared" si="122"/>
        <v>0</v>
      </c>
      <c r="T520">
        <f t="shared" si="123"/>
        <v>7.5</v>
      </c>
      <c r="U520">
        <f t="shared" si="121"/>
        <v>1</v>
      </c>
      <c r="V520">
        <f t="shared" si="124"/>
        <v>0</v>
      </c>
      <c r="W520">
        <f t="shared" si="125"/>
        <v>1</v>
      </c>
      <c r="X520">
        <f t="shared" si="134"/>
        <v>0</v>
      </c>
      <c r="Y520">
        <f t="shared" si="135"/>
        <v>1</v>
      </c>
      <c r="Z520">
        <f t="shared" si="126"/>
        <v>0</v>
      </c>
      <c r="AA520">
        <f t="shared" si="127"/>
        <v>0</v>
      </c>
      <c r="AB520">
        <f t="shared" si="128"/>
        <v>0</v>
      </c>
      <c r="AC520">
        <f t="shared" si="129"/>
        <v>10</v>
      </c>
      <c r="AD520" s="1">
        <f t="shared" si="130"/>
        <v>6.666666666666667</v>
      </c>
      <c r="AE520">
        <f t="shared" si="131"/>
        <v>5</v>
      </c>
      <c r="AF520">
        <f t="shared" si="132"/>
        <v>10</v>
      </c>
      <c r="AG520">
        <f t="shared" si="133"/>
        <v>10</v>
      </c>
    </row>
    <row r="521" spans="1:33" x14ac:dyDescent="0.25">
      <c r="A521" t="s">
        <v>954</v>
      </c>
      <c r="B521" t="s">
        <v>410</v>
      </c>
      <c r="C521">
        <v>162781</v>
      </c>
      <c r="D521">
        <v>162781</v>
      </c>
      <c r="S521">
        <f t="shared" si="122"/>
        <v>0</v>
      </c>
      <c r="T521">
        <f t="shared" si="123"/>
        <v>0</v>
      </c>
      <c r="U521">
        <f t="shared" si="121"/>
        <v>0</v>
      </c>
      <c r="V521">
        <f t="shared" si="124"/>
        <v>0</v>
      </c>
      <c r="W521">
        <f t="shared" si="125"/>
        <v>0</v>
      </c>
      <c r="X521">
        <f t="shared" si="134"/>
        <v>0</v>
      </c>
      <c r="Y521">
        <f t="shared" si="135"/>
        <v>0</v>
      </c>
      <c r="Z521">
        <f t="shared" si="126"/>
        <v>0</v>
      </c>
      <c r="AA521">
        <f t="shared" si="127"/>
        <v>0</v>
      </c>
      <c r="AB521">
        <f t="shared" si="128"/>
        <v>0</v>
      </c>
      <c r="AC521">
        <f t="shared" si="129"/>
        <v>0</v>
      </c>
      <c r="AD521" s="1">
        <f t="shared" si="130"/>
        <v>0</v>
      </c>
      <c r="AE521">
        <f t="shared" si="131"/>
        <v>0</v>
      </c>
      <c r="AF521">
        <f t="shared" si="132"/>
        <v>0</v>
      </c>
      <c r="AG521">
        <f t="shared" si="133"/>
        <v>0</v>
      </c>
    </row>
    <row r="522" spans="1:33" x14ac:dyDescent="0.25">
      <c r="A522" t="s">
        <v>955</v>
      </c>
      <c r="B522" t="s">
        <v>956</v>
      </c>
      <c r="C522">
        <v>166969</v>
      </c>
      <c r="D522">
        <v>166969</v>
      </c>
      <c r="S522">
        <f t="shared" si="122"/>
        <v>0</v>
      </c>
      <c r="T522">
        <f t="shared" si="123"/>
        <v>0</v>
      </c>
      <c r="U522">
        <f t="shared" si="121"/>
        <v>0</v>
      </c>
      <c r="V522">
        <f t="shared" si="124"/>
        <v>0</v>
      </c>
      <c r="W522">
        <f t="shared" si="125"/>
        <v>0</v>
      </c>
      <c r="X522">
        <f t="shared" si="134"/>
        <v>0</v>
      </c>
      <c r="Y522">
        <f t="shared" si="135"/>
        <v>0</v>
      </c>
      <c r="Z522">
        <f t="shared" si="126"/>
        <v>0</v>
      </c>
      <c r="AA522">
        <f t="shared" si="127"/>
        <v>0</v>
      </c>
      <c r="AB522">
        <f t="shared" si="128"/>
        <v>0</v>
      </c>
      <c r="AC522">
        <f t="shared" si="129"/>
        <v>0</v>
      </c>
      <c r="AD522" s="1">
        <f t="shared" si="130"/>
        <v>0</v>
      </c>
      <c r="AE522">
        <f t="shared" si="131"/>
        <v>0</v>
      </c>
      <c r="AF522">
        <f t="shared" si="132"/>
        <v>0</v>
      </c>
      <c r="AG522">
        <f t="shared" si="133"/>
        <v>0</v>
      </c>
    </row>
    <row r="523" spans="1:33" x14ac:dyDescent="0.25">
      <c r="A523" t="s">
        <v>957</v>
      </c>
      <c r="B523" t="s">
        <v>958</v>
      </c>
      <c r="C523">
        <v>167209</v>
      </c>
      <c r="D523">
        <v>167209</v>
      </c>
      <c r="E523">
        <v>50</v>
      </c>
      <c r="F523">
        <v>40</v>
      </c>
      <c r="G523">
        <v>50</v>
      </c>
      <c r="O523">
        <v>140</v>
      </c>
      <c r="S523">
        <f t="shared" si="122"/>
        <v>8.75</v>
      </c>
      <c r="T523">
        <f t="shared" si="123"/>
        <v>0</v>
      </c>
      <c r="U523">
        <f t="shared" si="121"/>
        <v>1</v>
      </c>
      <c r="V523">
        <f t="shared" si="124"/>
        <v>1</v>
      </c>
      <c r="W523">
        <f t="shared" si="125"/>
        <v>0</v>
      </c>
      <c r="X523">
        <f t="shared" si="134"/>
        <v>1</v>
      </c>
      <c r="Y523">
        <f t="shared" si="135"/>
        <v>0</v>
      </c>
      <c r="Z523">
        <f t="shared" si="126"/>
        <v>10</v>
      </c>
      <c r="AA523">
        <f t="shared" si="127"/>
        <v>10</v>
      </c>
      <c r="AB523">
        <f t="shared" si="128"/>
        <v>7.1428571428571432</v>
      </c>
      <c r="AC523">
        <f t="shared" si="129"/>
        <v>0</v>
      </c>
      <c r="AD523" s="1">
        <f t="shared" si="130"/>
        <v>0</v>
      </c>
      <c r="AE523">
        <f t="shared" si="131"/>
        <v>0</v>
      </c>
      <c r="AF523">
        <f t="shared" si="132"/>
        <v>0</v>
      </c>
      <c r="AG523">
        <f t="shared" si="133"/>
        <v>0</v>
      </c>
    </row>
    <row r="524" spans="1:33" x14ac:dyDescent="0.25">
      <c r="A524" t="s">
        <v>959</v>
      </c>
      <c r="B524" t="s">
        <v>868</v>
      </c>
      <c r="C524">
        <v>167337</v>
      </c>
      <c r="D524">
        <v>167337</v>
      </c>
      <c r="E524">
        <v>0</v>
      </c>
      <c r="F524">
        <v>10</v>
      </c>
      <c r="G524">
        <v>50</v>
      </c>
      <c r="O524">
        <v>60</v>
      </c>
      <c r="S524">
        <f t="shared" si="122"/>
        <v>3.75</v>
      </c>
      <c r="T524">
        <f t="shared" si="123"/>
        <v>0</v>
      </c>
      <c r="U524">
        <f t="shared" si="121"/>
        <v>1</v>
      </c>
      <c r="V524">
        <f t="shared" si="124"/>
        <v>1</v>
      </c>
      <c r="W524">
        <f t="shared" si="125"/>
        <v>0</v>
      </c>
      <c r="X524">
        <f t="shared" si="134"/>
        <v>0</v>
      </c>
      <c r="Y524">
        <f t="shared" si="135"/>
        <v>0</v>
      </c>
      <c r="Z524">
        <f t="shared" si="126"/>
        <v>0</v>
      </c>
      <c r="AA524">
        <f t="shared" si="127"/>
        <v>2.5</v>
      </c>
      <c r="AB524">
        <f t="shared" si="128"/>
        <v>7.1428571428571432</v>
      </c>
      <c r="AC524">
        <f t="shared" si="129"/>
        <v>0</v>
      </c>
      <c r="AD524" s="1">
        <f t="shared" si="130"/>
        <v>0</v>
      </c>
      <c r="AE524">
        <f t="shared" si="131"/>
        <v>0</v>
      </c>
      <c r="AF524">
        <f t="shared" si="132"/>
        <v>0</v>
      </c>
      <c r="AG524">
        <f t="shared" si="133"/>
        <v>0</v>
      </c>
    </row>
    <row r="525" spans="1:33" x14ac:dyDescent="0.25">
      <c r="A525" t="s">
        <v>960</v>
      </c>
      <c r="B525" t="s">
        <v>961</v>
      </c>
      <c r="C525">
        <v>164517</v>
      </c>
      <c r="D525">
        <v>164517</v>
      </c>
      <c r="S525">
        <f t="shared" si="122"/>
        <v>0</v>
      </c>
      <c r="T525">
        <f t="shared" si="123"/>
        <v>0</v>
      </c>
      <c r="U525">
        <f t="shared" si="121"/>
        <v>0</v>
      </c>
      <c r="V525">
        <f t="shared" si="124"/>
        <v>0</v>
      </c>
      <c r="W525">
        <f t="shared" si="125"/>
        <v>0</v>
      </c>
      <c r="X525">
        <f t="shared" si="134"/>
        <v>0</v>
      </c>
      <c r="Y525">
        <f t="shared" si="135"/>
        <v>0</v>
      </c>
      <c r="Z525">
        <f t="shared" si="126"/>
        <v>0</v>
      </c>
      <c r="AA525">
        <f t="shared" si="127"/>
        <v>0</v>
      </c>
      <c r="AB525">
        <f t="shared" si="128"/>
        <v>0</v>
      </c>
      <c r="AC525">
        <f t="shared" si="129"/>
        <v>0</v>
      </c>
      <c r="AD525" s="1">
        <f t="shared" si="130"/>
        <v>0</v>
      </c>
      <c r="AE525">
        <f t="shared" si="131"/>
        <v>0</v>
      </c>
      <c r="AF525">
        <f t="shared" si="132"/>
        <v>0</v>
      </c>
      <c r="AG525">
        <f t="shared" si="133"/>
        <v>0</v>
      </c>
    </row>
    <row r="526" spans="1:33" x14ac:dyDescent="0.25">
      <c r="A526" t="s">
        <v>962</v>
      </c>
      <c r="B526" t="s">
        <v>963</v>
      </c>
      <c r="C526">
        <v>168321</v>
      </c>
      <c r="D526">
        <v>168321</v>
      </c>
      <c r="E526">
        <v>0</v>
      </c>
      <c r="F526">
        <v>30</v>
      </c>
      <c r="G526">
        <v>20</v>
      </c>
      <c r="O526">
        <v>50</v>
      </c>
      <c r="S526">
        <f t="shared" si="122"/>
        <v>3.125</v>
      </c>
      <c r="T526">
        <f t="shared" si="123"/>
        <v>0</v>
      </c>
      <c r="U526">
        <f t="shared" si="121"/>
        <v>1</v>
      </c>
      <c r="V526">
        <f t="shared" si="124"/>
        <v>1</v>
      </c>
      <c r="W526">
        <f t="shared" si="125"/>
        <v>0</v>
      </c>
      <c r="X526">
        <f t="shared" si="134"/>
        <v>0</v>
      </c>
      <c r="Y526">
        <f t="shared" si="135"/>
        <v>0</v>
      </c>
      <c r="Z526">
        <f t="shared" si="126"/>
        <v>0</v>
      </c>
      <c r="AA526">
        <f t="shared" si="127"/>
        <v>7.5</v>
      </c>
      <c r="AB526">
        <f t="shared" si="128"/>
        <v>2.8571428571428572</v>
      </c>
      <c r="AC526">
        <f t="shared" si="129"/>
        <v>0</v>
      </c>
      <c r="AD526" s="1">
        <f t="shared" si="130"/>
        <v>0</v>
      </c>
      <c r="AE526">
        <f t="shared" si="131"/>
        <v>0</v>
      </c>
      <c r="AF526">
        <f t="shared" si="132"/>
        <v>0</v>
      </c>
      <c r="AG526">
        <f t="shared" si="133"/>
        <v>0</v>
      </c>
    </row>
    <row r="527" spans="1:33" x14ac:dyDescent="0.25">
      <c r="A527" t="s">
        <v>964</v>
      </c>
      <c r="B527" t="s">
        <v>965</v>
      </c>
      <c r="C527">
        <v>166411</v>
      </c>
      <c r="D527">
        <v>166411</v>
      </c>
      <c r="S527">
        <f t="shared" si="122"/>
        <v>0</v>
      </c>
      <c r="T527">
        <f t="shared" si="123"/>
        <v>0</v>
      </c>
      <c r="U527">
        <f t="shared" si="121"/>
        <v>0</v>
      </c>
      <c r="V527">
        <f t="shared" si="124"/>
        <v>0</v>
      </c>
      <c r="W527">
        <f t="shared" si="125"/>
        <v>0</v>
      </c>
      <c r="X527">
        <f t="shared" si="134"/>
        <v>0</v>
      </c>
      <c r="Y527">
        <f t="shared" si="135"/>
        <v>0</v>
      </c>
      <c r="Z527">
        <f t="shared" si="126"/>
        <v>0</v>
      </c>
      <c r="AA527">
        <f t="shared" si="127"/>
        <v>0</v>
      </c>
      <c r="AB527">
        <f t="shared" si="128"/>
        <v>0</v>
      </c>
      <c r="AC527">
        <f t="shared" si="129"/>
        <v>0</v>
      </c>
      <c r="AD527" s="1">
        <f t="shared" si="130"/>
        <v>0</v>
      </c>
      <c r="AE527">
        <f t="shared" si="131"/>
        <v>0</v>
      </c>
      <c r="AF527">
        <f t="shared" si="132"/>
        <v>0</v>
      </c>
      <c r="AG527">
        <f t="shared" si="133"/>
        <v>0</v>
      </c>
    </row>
    <row r="528" spans="1:33" x14ac:dyDescent="0.25">
      <c r="A528" t="s">
        <v>966</v>
      </c>
      <c r="B528" t="s">
        <v>967</v>
      </c>
      <c r="C528">
        <v>145028</v>
      </c>
      <c r="D528">
        <v>145028</v>
      </c>
      <c r="E528">
        <v>20</v>
      </c>
      <c r="F528">
        <v>10</v>
      </c>
      <c r="G528">
        <v>30</v>
      </c>
      <c r="O528">
        <v>60</v>
      </c>
      <c r="S528">
        <f t="shared" si="122"/>
        <v>3.75</v>
      </c>
      <c r="T528">
        <f t="shared" si="123"/>
        <v>0</v>
      </c>
      <c r="U528">
        <f t="shared" si="121"/>
        <v>1</v>
      </c>
      <c r="V528">
        <f t="shared" si="124"/>
        <v>1</v>
      </c>
      <c r="W528">
        <f t="shared" si="125"/>
        <v>0</v>
      </c>
      <c r="X528">
        <f t="shared" si="134"/>
        <v>0</v>
      </c>
      <c r="Y528">
        <f t="shared" si="135"/>
        <v>0</v>
      </c>
      <c r="Z528">
        <f t="shared" si="126"/>
        <v>4</v>
      </c>
      <c r="AA528">
        <f t="shared" si="127"/>
        <v>2.5</v>
      </c>
      <c r="AB528">
        <f t="shared" si="128"/>
        <v>4.2857142857142856</v>
      </c>
      <c r="AC528">
        <f t="shared" si="129"/>
        <v>0</v>
      </c>
      <c r="AD528" s="1">
        <f t="shared" si="130"/>
        <v>0</v>
      </c>
      <c r="AE528">
        <f t="shared" si="131"/>
        <v>0</v>
      </c>
      <c r="AF528">
        <f t="shared" si="132"/>
        <v>0</v>
      </c>
      <c r="AG528">
        <f t="shared" si="133"/>
        <v>0</v>
      </c>
    </row>
    <row r="529" spans="1:33" x14ac:dyDescent="0.25">
      <c r="A529" t="s">
        <v>968</v>
      </c>
      <c r="B529" t="s">
        <v>969</v>
      </c>
      <c r="C529">
        <v>168019</v>
      </c>
      <c r="D529">
        <v>168019</v>
      </c>
      <c r="H529">
        <v>0</v>
      </c>
      <c r="I529">
        <v>40</v>
      </c>
      <c r="J529">
        <v>0</v>
      </c>
      <c r="K529">
        <v>0</v>
      </c>
      <c r="L529">
        <v>10</v>
      </c>
      <c r="M529">
        <v>50</v>
      </c>
      <c r="S529">
        <f t="shared" si="122"/>
        <v>0</v>
      </c>
      <c r="T529">
        <f t="shared" si="123"/>
        <v>4.166666666666667</v>
      </c>
      <c r="U529">
        <f t="shared" si="121"/>
        <v>1</v>
      </c>
      <c r="V529">
        <f t="shared" si="124"/>
        <v>0</v>
      </c>
      <c r="W529">
        <f t="shared" si="125"/>
        <v>1</v>
      </c>
      <c r="X529">
        <f t="shared" si="134"/>
        <v>0</v>
      </c>
      <c r="Y529">
        <f t="shared" si="135"/>
        <v>0</v>
      </c>
      <c r="Z529">
        <f t="shared" si="126"/>
        <v>0</v>
      </c>
      <c r="AA529">
        <f t="shared" si="127"/>
        <v>0</v>
      </c>
      <c r="AB529">
        <f t="shared" si="128"/>
        <v>0</v>
      </c>
      <c r="AC529">
        <f t="shared" si="129"/>
        <v>0</v>
      </c>
      <c r="AD529" s="1">
        <f t="shared" si="130"/>
        <v>6.666666666666667</v>
      </c>
      <c r="AE529">
        <f t="shared" si="131"/>
        <v>0</v>
      </c>
      <c r="AF529">
        <f t="shared" si="132"/>
        <v>0</v>
      </c>
      <c r="AG529">
        <f t="shared" si="133"/>
        <v>10</v>
      </c>
    </row>
    <row r="530" spans="1:33" x14ac:dyDescent="0.25">
      <c r="A530" t="s">
        <v>970</v>
      </c>
      <c r="B530" t="s">
        <v>971</v>
      </c>
      <c r="C530">
        <v>165874</v>
      </c>
      <c r="D530">
        <v>165874</v>
      </c>
      <c r="S530">
        <f t="shared" si="122"/>
        <v>0</v>
      </c>
      <c r="T530">
        <f t="shared" si="123"/>
        <v>0</v>
      </c>
      <c r="U530">
        <f t="shared" si="121"/>
        <v>0</v>
      </c>
      <c r="V530">
        <f t="shared" si="124"/>
        <v>0</v>
      </c>
      <c r="W530">
        <f t="shared" si="125"/>
        <v>0</v>
      </c>
      <c r="X530">
        <f t="shared" si="134"/>
        <v>0</v>
      </c>
      <c r="Y530">
        <f t="shared" si="135"/>
        <v>0</v>
      </c>
      <c r="Z530">
        <f t="shared" si="126"/>
        <v>0</v>
      </c>
      <c r="AA530">
        <f t="shared" si="127"/>
        <v>0</v>
      </c>
      <c r="AB530">
        <f t="shared" si="128"/>
        <v>0</v>
      </c>
      <c r="AC530">
        <f t="shared" si="129"/>
        <v>0</v>
      </c>
      <c r="AD530" s="1">
        <f t="shared" si="130"/>
        <v>0</v>
      </c>
      <c r="AE530">
        <f t="shared" si="131"/>
        <v>0</v>
      </c>
      <c r="AF530">
        <f t="shared" si="132"/>
        <v>0</v>
      </c>
      <c r="AG530">
        <f t="shared" si="133"/>
        <v>0</v>
      </c>
    </row>
    <row r="531" spans="1:33" x14ac:dyDescent="0.25">
      <c r="A531" t="s">
        <v>972</v>
      </c>
      <c r="B531" t="s">
        <v>93</v>
      </c>
      <c r="C531">
        <v>165889</v>
      </c>
      <c r="D531">
        <v>165889</v>
      </c>
      <c r="E531">
        <v>0</v>
      </c>
      <c r="F531">
        <v>10</v>
      </c>
      <c r="G531">
        <v>20</v>
      </c>
      <c r="O531">
        <v>30</v>
      </c>
      <c r="S531">
        <f t="shared" si="122"/>
        <v>1.875</v>
      </c>
      <c r="T531">
        <f t="shared" si="123"/>
        <v>0</v>
      </c>
      <c r="U531">
        <f t="shared" si="121"/>
        <v>1</v>
      </c>
      <c r="V531">
        <f t="shared" si="124"/>
        <v>1</v>
      </c>
      <c r="W531">
        <f t="shared" si="125"/>
        <v>0</v>
      </c>
      <c r="X531">
        <f t="shared" si="134"/>
        <v>0</v>
      </c>
      <c r="Y531">
        <f t="shared" si="135"/>
        <v>0</v>
      </c>
      <c r="Z531">
        <f t="shared" si="126"/>
        <v>0</v>
      </c>
      <c r="AA531">
        <f t="shared" si="127"/>
        <v>2.5</v>
      </c>
      <c r="AB531">
        <f t="shared" si="128"/>
        <v>2.8571428571428572</v>
      </c>
      <c r="AC531">
        <f t="shared" si="129"/>
        <v>0</v>
      </c>
      <c r="AD531" s="1">
        <f t="shared" si="130"/>
        <v>0</v>
      </c>
      <c r="AE531">
        <f t="shared" si="131"/>
        <v>0</v>
      </c>
      <c r="AF531">
        <f t="shared" si="132"/>
        <v>0</v>
      </c>
      <c r="AG531">
        <f t="shared" si="133"/>
        <v>0</v>
      </c>
    </row>
    <row r="532" spans="1:33" x14ac:dyDescent="0.25">
      <c r="A532" t="s">
        <v>973</v>
      </c>
      <c r="B532" t="s">
        <v>130</v>
      </c>
      <c r="C532">
        <v>166281</v>
      </c>
      <c r="D532">
        <v>166281</v>
      </c>
      <c r="E532">
        <v>50</v>
      </c>
      <c r="F532">
        <v>40</v>
      </c>
      <c r="G532">
        <v>40</v>
      </c>
      <c r="O532">
        <v>130</v>
      </c>
      <c r="S532">
        <f t="shared" si="122"/>
        <v>8.125</v>
      </c>
      <c r="T532">
        <f t="shared" si="123"/>
        <v>0</v>
      </c>
      <c r="U532">
        <f t="shared" si="121"/>
        <v>1</v>
      </c>
      <c r="V532">
        <f t="shared" si="124"/>
        <v>1</v>
      </c>
      <c r="W532">
        <f t="shared" si="125"/>
        <v>0</v>
      </c>
      <c r="X532">
        <f t="shared" si="134"/>
        <v>1</v>
      </c>
      <c r="Y532">
        <f t="shared" si="135"/>
        <v>0</v>
      </c>
      <c r="Z532">
        <f t="shared" si="126"/>
        <v>10</v>
      </c>
      <c r="AA532">
        <f t="shared" si="127"/>
        <v>10</v>
      </c>
      <c r="AB532">
        <f t="shared" si="128"/>
        <v>5.7142857142857144</v>
      </c>
      <c r="AC532">
        <f t="shared" si="129"/>
        <v>0</v>
      </c>
      <c r="AD532" s="1">
        <f t="shared" si="130"/>
        <v>0</v>
      </c>
      <c r="AE532">
        <f t="shared" si="131"/>
        <v>0</v>
      </c>
      <c r="AF532">
        <f t="shared" si="132"/>
        <v>0</v>
      </c>
      <c r="AG532">
        <f t="shared" si="133"/>
        <v>0</v>
      </c>
    </row>
    <row r="533" spans="1:33" x14ac:dyDescent="0.25">
      <c r="A533" t="s">
        <v>974</v>
      </c>
      <c r="B533" t="s">
        <v>975</v>
      </c>
      <c r="C533">
        <v>168596</v>
      </c>
      <c r="D533">
        <v>168596</v>
      </c>
      <c r="E533">
        <v>10</v>
      </c>
      <c r="F533">
        <v>20</v>
      </c>
      <c r="G533">
        <v>50</v>
      </c>
      <c r="O533">
        <v>80</v>
      </c>
      <c r="S533">
        <f t="shared" si="122"/>
        <v>5</v>
      </c>
      <c r="T533">
        <f t="shared" si="123"/>
        <v>0</v>
      </c>
      <c r="U533">
        <f t="shared" si="121"/>
        <v>1</v>
      </c>
      <c r="V533">
        <f t="shared" si="124"/>
        <v>1</v>
      </c>
      <c r="W533">
        <f t="shared" si="125"/>
        <v>0</v>
      </c>
      <c r="X533">
        <f t="shared" si="134"/>
        <v>0</v>
      </c>
      <c r="Y533">
        <f t="shared" si="135"/>
        <v>0</v>
      </c>
      <c r="Z533">
        <f t="shared" si="126"/>
        <v>2</v>
      </c>
      <c r="AA533">
        <f t="shared" si="127"/>
        <v>5</v>
      </c>
      <c r="AB533">
        <f t="shared" si="128"/>
        <v>7.1428571428571432</v>
      </c>
      <c r="AC533">
        <f t="shared" si="129"/>
        <v>0</v>
      </c>
      <c r="AD533" s="1">
        <f t="shared" si="130"/>
        <v>0</v>
      </c>
      <c r="AE533">
        <f t="shared" si="131"/>
        <v>0</v>
      </c>
      <c r="AF533">
        <f t="shared" si="132"/>
        <v>0</v>
      </c>
      <c r="AG533">
        <f t="shared" si="133"/>
        <v>0</v>
      </c>
    </row>
    <row r="534" spans="1:33" x14ac:dyDescent="0.25">
      <c r="A534" t="s">
        <v>976</v>
      </c>
      <c r="B534" t="s">
        <v>367</v>
      </c>
      <c r="C534">
        <v>165066</v>
      </c>
      <c r="D534">
        <v>165066</v>
      </c>
      <c r="H534">
        <v>10</v>
      </c>
      <c r="I534">
        <v>50</v>
      </c>
      <c r="J534">
        <v>10</v>
      </c>
      <c r="K534">
        <v>10</v>
      </c>
      <c r="L534">
        <v>0</v>
      </c>
      <c r="M534">
        <v>80</v>
      </c>
      <c r="S534">
        <f t="shared" si="122"/>
        <v>0</v>
      </c>
      <c r="T534">
        <f t="shared" si="123"/>
        <v>6.666666666666667</v>
      </c>
      <c r="U534">
        <f t="shared" si="121"/>
        <v>1</v>
      </c>
      <c r="V534">
        <f t="shared" si="124"/>
        <v>0</v>
      </c>
      <c r="W534">
        <f t="shared" si="125"/>
        <v>1</v>
      </c>
      <c r="X534">
        <f t="shared" si="134"/>
        <v>0</v>
      </c>
      <c r="Y534">
        <f t="shared" si="135"/>
        <v>1</v>
      </c>
      <c r="Z534">
        <f t="shared" si="126"/>
        <v>0</v>
      </c>
      <c r="AA534">
        <f t="shared" si="127"/>
        <v>0</v>
      </c>
      <c r="AB534">
        <f t="shared" si="128"/>
        <v>0</v>
      </c>
      <c r="AC534">
        <f t="shared" si="129"/>
        <v>5</v>
      </c>
      <c r="AD534" s="1">
        <f t="shared" si="130"/>
        <v>8.3333333333333339</v>
      </c>
      <c r="AE534">
        <f t="shared" si="131"/>
        <v>5</v>
      </c>
      <c r="AF534">
        <f t="shared" si="132"/>
        <v>10</v>
      </c>
      <c r="AG534">
        <f t="shared" si="133"/>
        <v>0</v>
      </c>
    </row>
    <row r="535" spans="1:33" x14ac:dyDescent="0.25">
      <c r="A535" t="s">
        <v>977</v>
      </c>
      <c r="B535" t="s">
        <v>978</v>
      </c>
      <c r="C535">
        <v>165262</v>
      </c>
      <c r="D535">
        <v>165262</v>
      </c>
      <c r="S535">
        <f t="shared" si="122"/>
        <v>0</v>
      </c>
      <c r="T535">
        <f t="shared" si="123"/>
        <v>0</v>
      </c>
      <c r="U535">
        <f t="shared" si="121"/>
        <v>0</v>
      </c>
      <c r="V535">
        <f t="shared" si="124"/>
        <v>0</v>
      </c>
      <c r="W535">
        <f t="shared" si="125"/>
        <v>0</v>
      </c>
      <c r="X535">
        <f t="shared" si="134"/>
        <v>0</v>
      </c>
      <c r="Y535">
        <f t="shared" si="135"/>
        <v>0</v>
      </c>
      <c r="Z535">
        <f t="shared" si="126"/>
        <v>0</v>
      </c>
      <c r="AA535">
        <f t="shared" si="127"/>
        <v>0</v>
      </c>
      <c r="AB535">
        <f t="shared" si="128"/>
        <v>0</v>
      </c>
      <c r="AC535">
        <f t="shared" si="129"/>
        <v>0</v>
      </c>
      <c r="AD535" s="1">
        <f t="shared" si="130"/>
        <v>0</v>
      </c>
      <c r="AE535">
        <f t="shared" si="131"/>
        <v>0</v>
      </c>
      <c r="AF535">
        <f t="shared" si="132"/>
        <v>0</v>
      </c>
      <c r="AG535">
        <f t="shared" si="133"/>
        <v>0</v>
      </c>
    </row>
    <row r="536" spans="1:33" x14ac:dyDescent="0.25">
      <c r="A536" t="s">
        <v>979</v>
      </c>
      <c r="B536" t="s">
        <v>980</v>
      </c>
      <c r="C536">
        <v>168194</v>
      </c>
      <c r="D536">
        <v>168194</v>
      </c>
      <c r="S536">
        <f t="shared" si="122"/>
        <v>0</v>
      </c>
      <c r="T536">
        <f t="shared" si="123"/>
        <v>0</v>
      </c>
      <c r="U536">
        <f t="shared" si="121"/>
        <v>0</v>
      </c>
      <c r="V536">
        <f t="shared" si="124"/>
        <v>0</v>
      </c>
      <c r="W536">
        <f t="shared" si="125"/>
        <v>0</v>
      </c>
      <c r="X536">
        <f t="shared" si="134"/>
        <v>0</v>
      </c>
      <c r="Y536">
        <f t="shared" si="135"/>
        <v>0</v>
      </c>
      <c r="Z536">
        <f t="shared" si="126"/>
        <v>0</v>
      </c>
      <c r="AA536">
        <f t="shared" si="127"/>
        <v>0</v>
      </c>
      <c r="AB536">
        <f t="shared" si="128"/>
        <v>0</v>
      </c>
      <c r="AC536">
        <f t="shared" si="129"/>
        <v>0</v>
      </c>
      <c r="AD536" s="1">
        <f t="shared" si="130"/>
        <v>0</v>
      </c>
      <c r="AE536">
        <f t="shared" si="131"/>
        <v>0</v>
      </c>
      <c r="AF536">
        <f t="shared" si="132"/>
        <v>0</v>
      </c>
      <c r="AG536">
        <f t="shared" si="133"/>
        <v>0</v>
      </c>
    </row>
    <row r="537" spans="1:33" x14ac:dyDescent="0.25">
      <c r="A537" t="s">
        <v>981</v>
      </c>
      <c r="B537" t="s">
        <v>982</v>
      </c>
      <c r="C537">
        <v>167041</v>
      </c>
      <c r="D537">
        <v>167041</v>
      </c>
      <c r="E537">
        <v>30</v>
      </c>
      <c r="F537">
        <v>30</v>
      </c>
      <c r="G537">
        <v>30</v>
      </c>
      <c r="O537">
        <v>90</v>
      </c>
      <c r="S537">
        <f t="shared" si="122"/>
        <v>5.625</v>
      </c>
      <c r="T537">
        <f t="shared" si="123"/>
        <v>0</v>
      </c>
      <c r="U537">
        <f t="shared" si="121"/>
        <v>1</v>
      </c>
      <c r="V537">
        <f t="shared" si="124"/>
        <v>1</v>
      </c>
      <c r="W537">
        <f t="shared" si="125"/>
        <v>0</v>
      </c>
      <c r="X537">
        <f t="shared" si="134"/>
        <v>0</v>
      </c>
      <c r="Y537">
        <f t="shared" si="135"/>
        <v>0</v>
      </c>
      <c r="Z537">
        <f t="shared" si="126"/>
        <v>6</v>
      </c>
      <c r="AA537">
        <f t="shared" si="127"/>
        <v>7.5</v>
      </c>
      <c r="AB537">
        <f t="shared" si="128"/>
        <v>4.2857142857142856</v>
      </c>
      <c r="AC537">
        <f t="shared" si="129"/>
        <v>0</v>
      </c>
      <c r="AD537" s="1">
        <f t="shared" si="130"/>
        <v>0</v>
      </c>
      <c r="AE537">
        <f t="shared" si="131"/>
        <v>0</v>
      </c>
      <c r="AF537">
        <f t="shared" si="132"/>
        <v>0</v>
      </c>
      <c r="AG537">
        <f t="shared" si="133"/>
        <v>0</v>
      </c>
    </row>
    <row r="538" spans="1:33" x14ac:dyDescent="0.25">
      <c r="A538" t="s">
        <v>983</v>
      </c>
      <c r="B538" t="s">
        <v>460</v>
      </c>
      <c r="C538">
        <v>167420</v>
      </c>
      <c r="D538">
        <v>167420</v>
      </c>
      <c r="H538">
        <v>10</v>
      </c>
      <c r="I538">
        <v>30</v>
      </c>
      <c r="J538">
        <v>20</v>
      </c>
      <c r="K538">
        <v>10</v>
      </c>
      <c r="L538">
        <v>0</v>
      </c>
      <c r="M538">
        <v>70</v>
      </c>
      <c r="S538">
        <f t="shared" si="122"/>
        <v>0</v>
      </c>
      <c r="T538">
        <f t="shared" si="123"/>
        <v>5.833333333333333</v>
      </c>
      <c r="U538">
        <f t="shared" si="121"/>
        <v>1</v>
      </c>
      <c r="V538">
        <f t="shared" si="124"/>
        <v>0</v>
      </c>
      <c r="W538">
        <f t="shared" si="125"/>
        <v>1</v>
      </c>
      <c r="X538">
        <f t="shared" si="134"/>
        <v>0</v>
      </c>
      <c r="Y538">
        <f t="shared" si="135"/>
        <v>0</v>
      </c>
      <c r="Z538">
        <f t="shared" si="126"/>
        <v>0</v>
      </c>
      <c r="AA538">
        <f t="shared" si="127"/>
        <v>0</v>
      </c>
      <c r="AB538">
        <f t="shared" si="128"/>
        <v>0</v>
      </c>
      <c r="AC538">
        <f t="shared" si="129"/>
        <v>5</v>
      </c>
      <c r="AD538" s="1">
        <f t="shared" si="130"/>
        <v>5</v>
      </c>
      <c r="AE538">
        <f t="shared" si="131"/>
        <v>10</v>
      </c>
      <c r="AF538">
        <f t="shared" si="132"/>
        <v>10</v>
      </c>
      <c r="AG538">
        <f t="shared" si="133"/>
        <v>0</v>
      </c>
    </row>
    <row r="539" spans="1:33" x14ac:dyDescent="0.25">
      <c r="A539" t="s">
        <v>984</v>
      </c>
      <c r="B539" t="s">
        <v>344</v>
      </c>
      <c r="C539">
        <v>168393</v>
      </c>
      <c r="D539">
        <v>168393</v>
      </c>
      <c r="H539">
        <v>20</v>
      </c>
      <c r="I539">
        <v>60</v>
      </c>
      <c r="J539">
        <v>10</v>
      </c>
      <c r="K539">
        <v>10</v>
      </c>
      <c r="L539">
        <v>10</v>
      </c>
      <c r="M539">
        <v>110</v>
      </c>
      <c r="S539">
        <f t="shared" si="122"/>
        <v>0</v>
      </c>
      <c r="T539">
        <f t="shared" si="123"/>
        <v>9.1666666666666661</v>
      </c>
      <c r="U539">
        <f t="shared" si="121"/>
        <v>1</v>
      </c>
      <c r="V539">
        <f t="shared" si="124"/>
        <v>0</v>
      </c>
      <c r="W539">
        <f t="shared" si="125"/>
        <v>1</v>
      </c>
      <c r="X539">
        <f t="shared" si="134"/>
        <v>0</v>
      </c>
      <c r="Y539">
        <f t="shared" si="135"/>
        <v>1</v>
      </c>
      <c r="Z539">
        <f t="shared" si="126"/>
        <v>0</v>
      </c>
      <c r="AA539">
        <f t="shared" si="127"/>
        <v>0</v>
      </c>
      <c r="AB539">
        <f t="shared" si="128"/>
        <v>0</v>
      </c>
      <c r="AC539">
        <f t="shared" si="129"/>
        <v>10</v>
      </c>
      <c r="AD539" s="1">
        <f t="shared" si="130"/>
        <v>10</v>
      </c>
      <c r="AE539">
        <f t="shared" si="131"/>
        <v>5</v>
      </c>
      <c r="AF539">
        <f t="shared" si="132"/>
        <v>10</v>
      </c>
      <c r="AG539">
        <f t="shared" si="133"/>
        <v>10</v>
      </c>
    </row>
    <row r="540" spans="1:33" x14ac:dyDescent="0.25">
      <c r="A540" t="s">
        <v>985</v>
      </c>
      <c r="B540" t="s">
        <v>725</v>
      </c>
      <c r="C540">
        <v>166127</v>
      </c>
      <c r="D540">
        <v>166127</v>
      </c>
      <c r="E540">
        <v>40</v>
      </c>
      <c r="F540">
        <v>20</v>
      </c>
      <c r="G540">
        <v>50</v>
      </c>
      <c r="O540">
        <v>110</v>
      </c>
      <c r="S540">
        <f t="shared" si="122"/>
        <v>6.875</v>
      </c>
      <c r="T540">
        <f t="shared" si="123"/>
        <v>0</v>
      </c>
      <c r="U540">
        <f t="shared" si="121"/>
        <v>1</v>
      </c>
      <c r="V540">
        <f t="shared" si="124"/>
        <v>1</v>
      </c>
      <c r="W540">
        <f t="shared" si="125"/>
        <v>0</v>
      </c>
      <c r="X540">
        <f t="shared" si="134"/>
        <v>1</v>
      </c>
      <c r="Y540">
        <f t="shared" si="135"/>
        <v>0</v>
      </c>
      <c r="Z540">
        <f t="shared" si="126"/>
        <v>8</v>
      </c>
      <c r="AA540">
        <f t="shared" si="127"/>
        <v>5</v>
      </c>
      <c r="AB540">
        <f t="shared" si="128"/>
        <v>7.1428571428571432</v>
      </c>
      <c r="AC540">
        <f t="shared" si="129"/>
        <v>0</v>
      </c>
      <c r="AD540" s="1">
        <f t="shared" si="130"/>
        <v>0</v>
      </c>
      <c r="AE540">
        <f t="shared" si="131"/>
        <v>0</v>
      </c>
      <c r="AF540">
        <f t="shared" si="132"/>
        <v>0</v>
      </c>
      <c r="AG540">
        <f t="shared" si="133"/>
        <v>0</v>
      </c>
    </row>
    <row r="541" spans="1:33" x14ac:dyDescent="0.25">
      <c r="A541" t="s">
        <v>986</v>
      </c>
      <c r="B541" t="s">
        <v>987</v>
      </c>
      <c r="C541">
        <v>166221</v>
      </c>
      <c r="D541">
        <v>166221</v>
      </c>
      <c r="H541">
        <v>10</v>
      </c>
      <c r="I541">
        <v>10</v>
      </c>
      <c r="J541">
        <v>10</v>
      </c>
      <c r="K541">
        <v>10</v>
      </c>
      <c r="L541">
        <v>0</v>
      </c>
      <c r="M541">
        <v>40</v>
      </c>
      <c r="S541">
        <f t="shared" si="122"/>
        <v>0</v>
      </c>
      <c r="T541">
        <f t="shared" si="123"/>
        <v>3.3333333333333335</v>
      </c>
      <c r="U541">
        <f t="shared" si="121"/>
        <v>1</v>
      </c>
      <c r="V541">
        <f t="shared" si="124"/>
        <v>0</v>
      </c>
      <c r="W541">
        <f t="shared" si="125"/>
        <v>1</v>
      </c>
      <c r="X541">
        <f t="shared" si="134"/>
        <v>0</v>
      </c>
      <c r="Y541">
        <f t="shared" si="135"/>
        <v>0</v>
      </c>
      <c r="Z541">
        <f t="shared" si="126"/>
        <v>0</v>
      </c>
      <c r="AA541">
        <f t="shared" si="127"/>
        <v>0</v>
      </c>
      <c r="AB541">
        <f t="shared" si="128"/>
        <v>0</v>
      </c>
      <c r="AC541">
        <f t="shared" si="129"/>
        <v>5</v>
      </c>
      <c r="AD541" s="1">
        <f t="shared" si="130"/>
        <v>1.6666666666666667</v>
      </c>
      <c r="AE541">
        <f t="shared" si="131"/>
        <v>5</v>
      </c>
      <c r="AF541">
        <f t="shared" si="132"/>
        <v>10</v>
      </c>
      <c r="AG541">
        <f t="shared" si="133"/>
        <v>0</v>
      </c>
    </row>
    <row r="542" spans="1:33" x14ac:dyDescent="0.25">
      <c r="A542" t="s">
        <v>988</v>
      </c>
      <c r="B542" t="s">
        <v>989</v>
      </c>
      <c r="C542">
        <v>168771</v>
      </c>
      <c r="D542">
        <v>168771</v>
      </c>
      <c r="E542">
        <v>10</v>
      </c>
      <c r="F542">
        <v>20</v>
      </c>
      <c r="G542">
        <v>20</v>
      </c>
      <c r="O542">
        <v>50</v>
      </c>
      <c r="S542">
        <f t="shared" si="122"/>
        <v>3.125</v>
      </c>
      <c r="T542">
        <f t="shared" si="123"/>
        <v>0</v>
      </c>
      <c r="U542">
        <f t="shared" si="121"/>
        <v>1</v>
      </c>
      <c r="V542">
        <f t="shared" si="124"/>
        <v>1</v>
      </c>
      <c r="W542">
        <f t="shared" si="125"/>
        <v>0</v>
      </c>
      <c r="X542">
        <f t="shared" si="134"/>
        <v>0</v>
      </c>
      <c r="Y542">
        <f t="shared" si="135"/>
        <v>0</v>
      </c>
      <c r="Z542">
        <f t="shared" si="126"/>
        <v>2</v>
      </c>
      <c r="AA542">
        <f t="shared" si="127"/>
        <v>5</v>
      </c>
      <c r="AB542">
        <f t="shared" si="128"/>
        <v>2.8571428571428572</v>
      </c>
      <c r="AC542">
        <f t="shared" si="129"/>
        <v>0</v>
      </c>
      <c r="AD542" s="1">
        <f t="shared" si="130"/>
        <v>0</v>
      </c>
      <c r="AE542">
        <f t="shared" si="131"/>
        <v>0</v>
      </c>
      <c r="AF542">
        <f t="shared" si="132"/>
        <v>0</v>
      </c>
      <c r="AG542">
        <f t="shared" si="133"/>
        <v>0</v>
      </c>
    </row>
    <row r="543" spans="1:33" x14ac:dyDescent="0.25">
      <c r="A543" t="s">
        <v>990</v>
      </c>
      <c r="B543" t="s">
        <v>548</v>
      </c>
      <c r="C543">
        <v>162687</v>
      </c>
      <c r="D543">
        <v>162687</v>
      </c>
      <c r="E543">
        <v>40</v>
      </c>
      <c r="F543">
        <v>40</v>
      </c>
      <c r="G543">
        <v>50</v>
      </c>
      <c r="O543">
        <v>130</v>
      </c>
      <c r="S543">
        <f t="shared" si="122"/>
        <v>8.125</v>
      </c>
      <c r="T543">
        <f t="shared" si="123"/>
        <v>0</v>
      </c>
      <c r="U543">
        <f t="shared" si="121"/>
        <v>1</v>
      </c>
      <c r="V543">
        <f t="shared" si="124"/>
        <v>1</v>
      </c>
      <c r="W543">
        <f t="shared" si="125"/>
        <v>0</v>
      </c>
      <c r="X543">
        <f t="shared" si="134"/>
        <v>1</v>
      </c>
      <c r="Y543">
        <f t="shared" si="135"/>
        <v>0</v>
      </c>
      <c r="Z543">
        <f t="shared" si="126"/>
        <v>8</v>
      </c>
      <c r="AA543">
        <f t="shared" si="127"/>
        <v>10</v>
      </c>
      <c r="AB543">
        <f t="shared" si="128"/>
        <v>7.1428571428571432</v>
      </c>
      <c r="AC543">
        <f t="shared" si="129"/>
        <v>0</v>
      </c>
      <c r="AD543" s="1">
        <f t="shared" si="130"/>
        <v>0</v>
      </c>
      <c r="AE543">
        <f t="shared" si="131"/>
        <v>0</v>
      </c>
      <c r="AF543">
        <f t="shared" si="132"/>
        <v>0</v>
      </c>
      <c r="AG543">
        <f t="shared" si="133"/>
        <v>0</v>
      </c>
    </row>
    <row r="544" spans="1:33" x14ac:dyDescent="0.25">
      <c r="A544" t="s">
        <v>991</v>
      </c>
      <c r="B544" t="s">
        <v>992</v>
      </c>
      <c r="C544">
        <v>167025</v>
      </c>
      <c r="D544">
        <v>167025</v>
      </c>
      <c r="S544">
        <f t="shared" si="122"/>
        <v>0</v>
      </c>
      <c r="T544">
        <f t="shared" si="123"/>
        <v>0</v>
      </c>
      <c r="U544">
        <f t="shared" si="121"/>
        <v>0</v>
      </c>
      <c r="V544">
        <f t="shared" si="124"/>
        <v>0</v>
      </c>
      <c r="W544">
        <f t="shared" si="125"/>
        <v>0</v>
      </c>
      <c r="X544">
        <f t="shared" si="134"/>
        <v>0</v>
      </c>
      <c r="Y544">
        <f t="shared" si="135"/>
        <v>0</v>
      </c>
      <c r="Z544">
        <f t="shared" si="126"/>
        <v>0</v>
      </c>
      <c r="AA544">
        <f t="shared" si="127"/>
        <v>0</v>
      </c>
      <c r="AB544">
        <f t="shared" si="128"/>
        <v>0</v>
      </c>
      <c r="AC544">
        <f t="shared" si="129"/>
        <v>0</v>
      </c>
      <c r="AD544" s="1">
        <f t="shared" si="130"/>
        <v>0</v>
      </c>
      <c r="AE544">
        <f t="shared" si="131"/>
        <v>0</v>
      </c>
      <c r="AF544">
        <f t="shared" si="132"/>
        <v>0</v>
      </c>
      <c r="AG544">
        <f t="shared" si="133"/>
        <v>0</v>
      </c>
    </row>
    <row r="545" spans="1:33" x14ac:dyDescent="0.25">
      <c r="A545" t="s">
        <v>993</v>
      </c>
      <c r="B545" t="s">
        <v>546</v>
      </c>
      <c r="C545">
        <v>166280</v>
      </c>
      <c r="D545">
        <v>166280</v>
      </c>
      <c r="H545">
        <v>10</v>
      </c>
      <c r="I545">
        <v>30</v>
      </c>
      <c r="J545">
        <v>10</v>
      </c>
      <c r="K545">
        <v>0</v>
      </c>
      <c r="L545">
        <v>10</v>
      </c>
      <c r="M545">
        <v>60</v>
      </c>
      <c r="S545">
        <f t="shared" si="122"/>
        <v>0</v>
      </c>
      <c r="T545">
        <f t="shared" si="123"/>
        <v>5</v>
      </c>
      <c r="U545">
        <f t="shared" si="121"/>
        <v>1</v>
      </c>
      <c r="V545">
        <f t="shared" si="124"/>
        <v>0</v>
      </c>
      <c r="W545">
        <f t="shared" si="125"/>
        <v>1</v>
      </c>
      <c r="X545">
        <f t="shared" si="134"/>
        <v>0</v>
      </c>
      <c r="Y545">
        <f t="shared" si="135"/>
        <v>0</v>
      </c>
      <c r="Z545">
        <f t="shared" si="126"/>
        <v>0</v>
      </c>
      <c r="AA545">
        <f t="shared" si="127"/>
        <v>0</v>
      </c>
      <c r="AB545">
        <f t="shared" si="128"/>
        <v>0</v>
      </c>
      <c r="AC545">
        <f t="shared" si="129"/>
        <v>5</v>
      </c>
      <c r="AD545" s="1">
        <f t="shared" si="130"/>
        <v>5</v>
      </c>
      <c r="AE545">
        <f t="shared" si="131"/>
        <v>5</v>
      </c>
      <c r="AF545">
        <f t="shared" si="132"/>
        <v>0</v>
      </c>
      <c r="AG545">
        <f t="shared" si="133"/>
        <v>10</v>
      </c>
    </row>
    <row r="546" spans="1:33" x14ac:dyDescent="0.25">
      <c r="A546" t="s">
        <v>994</v>
      </c>
      <c r="B546" t="s">
        <v>995</v>
      </c>
      <c r="C546">
        <v>167124</v>
      </c>
      <c r="D546">
        <v>167124</v>
      </c>
      <c r="E546">
        <v>0</v>
      </c>
      <c r="F546">
        <v>20</v>
      </c>
      <c r="G546">
        <v>40</v>
      </c>
      <c r="O546">
        <v>60</v>
      </c>
      <c r="S546">
        <f t="shared" si="122"/>
        <v>3.75</v>
      </c>
      <c r="T546">
        <f t="shared" si="123"/>
        <v>0</v>
      </c>
      <c r="U546">
        <f t="shared" si="121"/>
        <v>1</v>
      </c>
      <c r="V546">
        <f t="shared" si="124"/>
        <v>1</v>
      </c>
      <c r="W546">
        <f t="shared" si="125"/>
        <v>0</v>
      </c>
      <c r="X546">
        <f t="shared" si="134"/>
        <v>0</v>
      </c>
      <c r="Y546">
        <f t="shared" si="135"/>
        <v>0</v>
      </c>
      <c r="Z546">
        <f t="shared" si="126"/>
        <v>0</v>
      </c>
      <c r="AA546">
        <f t="shared" si="127"/>
        <v>5</v>
      </c>
      <c r="AB546">
        <f t="shared" si="128"/>
        <v>5.7142857142857144</v>
      </c>
      <c r="AC546">
        <f t="shared" si="129"/>
        <v>0</v>
      </c>
      <c r="AD546" s="1">
        <f t="shared" si="130"/>
        <v>0</v>
      </c>
      <c r="AE546">
        <f t="shared" si="131"/>
        <v>0</v>
      </c>
      <c r="AF546">
        <f t="shared" si="132"/>
        <v>0</v>
      </c>
      <c r="AG546">
        <f t="shared" si="133"/>
        <v>0</v>
      </c>
    </row>
    <row r="547" spans="1:33" x14ac:dyDescent="0.25">
      <c r="A547" t="s">
        <v>994</v>
      </c>
      <c r="B547" t="s">
        <v>266</v>
      </c>
      <c r="C547">
        <v>166474</v>
      </c>
      <c r="D547">
        <v>166474</v>
      </c>
      <c r="E547">
        <v>50</v>
      </c>
      <c r="F547">
        <v>10</v>
      </c>
      <c r="G547">
        <v>20</v>
      </c>
      <c r="O547">
        <v>80</v>
      </c>
      <c r="S547">
        <f t="shared" si="122"/>
        <v>5</v>
      </c>
      <c r="T547">
        <f t="shared" si="123"/>
        <v>0</v>
      </c>
      <c r="U547">
        <f t="shared" si="121"/>
        <v>1</v>
      </c>
      <c r="V547">
        <f t="shared" si="124"/>
        <v>1</v>
      </c>
      <c r="W547">
        <f t="shared" si="125"/>
        <v>0</v>
      </c>
      <c r="X547">
        <f t="shared" si="134"/>
        <v>0</v>
      </c>
      <c r="Y547">
        <f t="shared" si="135"/>
        <v>0</v>
      </c>
      <c r="Z547">
        <f t="shared" si="126"/>
        <v>10</v>
      </c>
      <c r="AA547">
        <f t="shared" si="127"/>
        <v>2.5</v>
      </c>
      <c r="AB547">
        <f t="shared" si="128"/>
        <v>2.8571428571428572</v>
      </c>
      <c r="AC547">
        <f t="shared" si="129"/>
        <v>0</v>
      </c>
      <c r="AD547" s="1">
        <f t="shared" si="130"/>
        <v>0</v>
      </c>
      <c r="AE547">
        <f t="shared" si="131"/>
        <v>0</v>
      </c>
      <c r="AF547">
        <f t="shared" si="132"/>
        <v>0</v>
      </c>
      <c r="AG547">
        <f t="shared" si="133"/>
        <v>0</v>
      </c>
    </row>
    <row r="548" spans="1:33" x14ac:dyDescent="0.25">
      <c r="A548" t="s">
        <v>996</v>
      </c>
      <c r="B548" t="s">
        <v>166</v>
      </c>
      <c r="C548">
        <v>165570</v>
      </c>
      <c r="D548">
        <v>165570</v>
      </c>
      <c r="H548">
        <v>10</v>
      </c>
      <c r="I548">
        <v>40</v>
      </c>
      <c r="J548">
        <v>10</v>
      </c>
      <c r="K548">
        <v>10</v>
      </c>
      <c r="L548">
        <v>10</v>
      </c>
      <c r="M548">
        <v>80</v>
      </c>
      <c r="S548">
        <f t="shared" si="122"/>
        <v>0</v>
      </c>
      <c r="T548">
        <f t="shared" si="123"/>
        <v>6.666666666666667</v>
      </c>
      <c r="U548">
        <f t="shared" si="121"/>
        <v>1</v>
      </c>
      <c r="V548">
        <f t="shared" si="124"/>
        <v>0</v>
      </c>
      <c r="W548">
        <f t="shared" si="125"/>
        <v>1</v>
      </c>
      <c r="X548">
        <f t="shared" si="134"/>
        <v>0</v>
      </c>
      <c r="Y548">
        <f t="shared" si="135"/>
        <v>1</v>
      </c>
      <c r="Z548">
        <f t="shared" si="126"/>
        <v>0</v>
      </c>
      <c r="AA548">
        <f t="shared" si="127"/>
        <v>0</v>
      </c>
      <c r="AB548">
        <f t="shared" si="128"/>
        <v>0</v>
      </c>
      <c r="AC548">
        <f t="shared" si="129"/>
        <v>5</v>
      </c>
      <c r="AD548" s="1">
        <f t="shared" si="130"/>
        <v>6.666666666666667</v>
      </c>
      <c r="AE548">
        <f t="shared" si="131"/>
        <v>5</v>
      </c>
      <c r="AF548">
        <f t="shared" si="132"/>
        <v>10</v>
      </c>
      <c r="AG548">
        <f t="shared" si="133"/>
        <v>10</v>
      </c>
    </row>
    <row r="549" spans="1:33" x14ac:dyDescent="0.25">
      <c r="A549" t="s">
        <v>997</v>
      </c>
      <c r="B549" t="s">
        <v>998</v>
      </c>
      <c r="C549">
        <v>168738</v>
      </c>
      <c r="D549">
        <v>168738</v>
      </c>
      <c r="E549">
        <v>10</v>
      </c>
      <c r="F549">
        <v>30</v>
      </c>
      <c r="G549">
        <v>40</v>
      </c>
      <c r="O549">
        <v>80</v>
      </c>
      <c r="S549">
        <f t="shared" si="122"/>
        <v>5</v>
      </c>
      <c r="T549">
        <f t="shared" si="123"/>
        <v>0</v>
      </c>
      <c r="U549">
        <f t="shared" si="121"/>
        <v>1</v>
      </c>
      <c r="V549">
        <f t="shared" si="124"/>
        <v>1</v>
      </c>
      <c r="W549">
        <f t="shared" si="125"/>
        <v>0</v>
      </c>
      <c r="X549">
        <f t="shared" si="134"/>
        <v>0</v>
      </c>
      <c r="Y549">
        <f t="shared" si="135"/>
        <v>0</v>
      </c>
      <c r="Z549">
        <f t="shared" si="126"/>
        <v>2</v>
      </c>
      <c r="AA549">
        <f t="shared" si="127"/>
        <v>7.5</v>
      </c>
      <c r="AB549">
        <f t="shared" si="128"/>
        <v>5.7142857142857144</v>
      </c>
      <c r="AC549">
        <f t="shared" si="129"/>
        <v>0</v>
      </c>
      <c r="AD549" s="1">
        <f t="shared" si="130"/>
        <v>0</v>
      </c>
      <c r="AE549">
        <f t="shared" si="131"/>
        <v>0</v>
      </c>
      <c r="AF549">
        <f t="shared" si="132"/>
        <v>0</v>
      </c>
      <c r="AG549">
        <f t="shared" si="133"/>
        <v>0</v>
      </c>
    </row>
    <row r="550" spans="1:33" x14ac:dyDescent="0.25">
      <c r="A550" t="s">
        <v>999</v>
      </c>
      <c r="B550" t="s">
        <v>1000</v>
      </c>
      <c r="C550">
        <v>166998</v>
      </c>
      <c r="D550">
        <v>166998</v>
      </c>
      <c r="H550">
        <v>10</v>
      </c>
      <c r="I550">
        <v>20</v>
      </c>
      <c r="J550">
        <v>10</v>
      </c>
      <c r="K550">
        <v>0</v>
      </c>
      <c r="L550">
        <v>10</v>
      </c>
      <c r="M550">
        <v>50</v>
      </c>
      <c r="S550">
        <f t="shared" si="122"/>
        <v>0</v>
      </c>
      <c r="T550">
        <f t="shared" si="123"/>
        <v>4.166666666666667</v>
      </c>
      <c r="U550">
        <f t="shared" si="121"/>
        <v>1</v>
      </c>
      <c r="V550">
        <f t="shared" si="124"/>
        <v>0</v>
      </c>
      <c r="W550">
        <f t="shared" si="125"/>
        <v>1</v>
      </c>
      <c r="X550">
        <f t="shared" si="134"/>
        <v>0</v>
      </c>
      <c r="Y550">
        <f t="shared" si="135"/>
        <v>0</v>
      </c>
      <c r="Z550">
        <f t="shared" si="126"/>
        <v>0</v>
      </c>
      <c r="AA550">
        <f t="shared" si="127"/>
        <v>0</v>
      </c>
      <c r="AB550">
        <f t="shared" si="128"/>
        <v>0</v>
      </c>
      <c r="AC550">
        <f t="shared" si="129"/>
        <v>5</v>
      </c>
      <c r="AD550" s="1">
        <f t="shared" si="130"/>
        <v>3.3333333333333335</v>
      </c>
      <c r="AE550">
        <f t="shared" si="131"/>
        <v>5</v>
      </c>
      <c r="AF550">
        <f t="shared" si="132"/>
        <v>0</v>
      </c>
      <c r="AG550">
        <f t="shared" si="133"/>
        <v>10</v>
      </c>
    </row>
    <row r="551" spans="1:33" x14ac:dyDescent="0.25">
      <c r="A551" t="s">
        <v>1001</v>
      </c>
      <c r="B551" t="s">
        <v>1002</v>
      </c>
      <c r="C551">
        <v>165029</v>
      </c>
      <c r="D551">
        <v>165029</v>
      </c>
      <c r="E551">
        <v>10</v>
      </c>
      <c r="F551">
        <v>20</v>
      </c>
      <c r="G551">
        <v>30</v>
      </c>
      <c r="O551">
        <v>60</v>
      </c>
      <c r="S551">
        <f t="shared" si="122"/>
        <v>3.75</v>
      </c>
      <c r="T551">
        <f t="shared" si="123"/>
        <v>0</v>
      </c>
      <c r="U551">
        <f t="shared" si="121"/>
        <v>1</v>
      </c>
      <c r="V551">
        <f t="shared" si="124"/>
        <v>1</v>
      </c>
      <c r="W551">
        <f t="shared" si="125"/>
        <v>0</v>
      </c>
      <c r="X551">
        <f t="shared" si="134"/>
        <v>0</v>
      </c>
      <c r="Y551">
        <f t="shared" si="135"/>
        <v>0</v>
      </c>
      <c r="Z551">
        <f t="shared" si="126"/>
        <v>2</v>
      </c>
      <c r="AA551">
        <f t="shared" si="127"/>
        <v>5</v>
      </c>
      <c r="AB551">
        <f t="shared" si="128"/>
        <v>4.2857142857142856</v>
      </c>
      <c r="AC551">
        <f t="shared" si="129"/>
        <v>0</v>
      </c>
      <c r="AD551" s="1">
        <f t="shared" si="130"/>
        <v>0</v>
      </c>
      <c r="AE551">
        <f t="shared" si="131"/>
        <v>0</v>
      </c>
      <c r="AF551">
        <f t="shared" si="132"/>
        <v>0</v>
      </c>
      <c r="AG551">
        <f t="shared" si="133"/>
        <v>0</v>
      </c>
    </row>
    <row r="552" spans="1:33" x14ac:dyDescent="0.25">
      <c r="A552" t="s">
        <v>1003</v>
      </c>
      <c r="B552" t="s">
        <v>1004</v>
      </c>
      <c r="C552">
        <v>165709</v>
      </c>
      <c r="D552">
        <v>165709</v>
      </c>
      <c r="E552">
        <v>30</v>
      </c>
      <c r="F552">
        <v>30</v>
      </c>
      <c r="G552">
        <v>10</v>
      </c>
      <c r="O552">
        <v>70</v>
      </c>
      <c r="S552">
        <f t="shared" si="122"/>
        <v>4.375</v>
      </c>
      <c r="T552">
        <f t="shared" si="123"/>
        <v>0</v>
      </c>
      <c r="U552">
        <f t="shared" si="121"/>
        <v>1</v>
      </c>
      <c r="V552">
        <f t="shared" si="124"/>
        <v>1</v>
      </c>
      <c r="W552">
        <f t="shared" si="125"/>
        <v>0</v>
      </c>
      <c r="X552">
        <f t="shared" si="134"/>
        <v>0</v>
      </c>
      <c r="Y552">
        <f t="shared" si="135"/>
        <v>0</v>
      </c>
      <c r="Z552">
        <f t="shared" si="126"/>
        <v>6</v>
      </c>
      <c r="AA552">
        <f t="shared" si="127"/>
        <v>7.5</v>
      </c>
      <c r="AB552">
        <f t="shared" si="128"/>
        <v>1.4285714285714286</v>
      </c>
      <c r="AC552">
        <f t="shared" si="129"/>
        <v>0</v>
      </c>
      <c r="AD552" s="1">
        <f t="shared" si="130"/>
        <v>0</v>
      </c>
      <c r="AE552">
        <f t="shared" si="131"/>
        <v>0</v>
      </c>
      <c r="AF552">
        <f t="shared" si="132"/>
        <v>0</v>
      </c>
      <c r="AG552">
        <f t="shared" si="133"/>
        <v>0</v>
      </c>
    </row>
    <row r="553" spans="1:33" x14ac:dyDescent="0.25">
      <c r="A553" t="s">
        <v>1005</v>
      </c>
      <c r="B553" t="s">
        <v>1006</v>
      </c>
      <c r="C553">
        <v>166856</v>
      </c>
      <c r="D553">
        <v>166856</v>
      </c>
      <c r="H553">
        <v>20</v>
      </c>
      <c r="I553">
        <v>40</v>
      </c>
      <c r="J553">
        <v>10</v>
      </c>
      <c r="K553">
        <v>10</v>
      </c>
      <c r="L553">
        <v>0</v>
      </c>
      <c r="M553">
        <v>80</v>
      </c>
      <c r="S553">
        <f t="shared" si="122"/>
        <v>0</v>
      </c>
      <c r="T553">
        <f t="shared" si="123"/>
        <v>6.666666666666667</v>
      </c>
      <c r="U553">
        <f t="shared" si="121"/>
        <v>1</v>
      </c>
      <c r="V553">
        <f t="shared" si="124"/>
        <v>0</v>
      </c>
      <c r="W553">
        <f t="shared" si="125"/>
        <v>1</v>
      </c>
      <c r="X553">
        <f t="shared" si="134"/>
        <v>0</v>
      </c>
      <c r="Y553">
        <f t="shared" si="135"/>
        <v>1</v>
      </c>
      <c r="Z553">
        <f t="shared" si="126"/>
        <v>0</v>
      </c>
      <c r="AA553">
        <f t="shared" si="127"/>
        <v>0</v>
      </c>
      <c r="AB553">
        <f t="shared" si="128"/>
        <v>0</v>
      </c>
      <c r="AC553">
        <f t="shared" si="129"/>
        <v>10</v>
      </c>
      <c r="AD553" s="1">
        <f t="shared" si="130"/>
        <v>6.666666666666667</v>
      </c>
      <c r="AE553">
        <f t="shared" si="131"/>
        <v>5</v>
      </c>
      <c r="AF553">
        <f t="shared" si="132"/>
        <v>10</v>
      </c>
      <c r="AG553">
        <f t="shared" si="133"/>
        <v>0</v>
      </c>
    </row>
    <row r="554" spans="1:33" x14ac:dyDescent="0.25">
      <c r="A554" t="s">
        <v>1007</v>
      </c>
      <c r="B554" t="s">
        <v>1008</v>
      </c>
      <c r="C554">
        <v>168383</v>
      </c>
      <c r="D554">
        <v>168383</v>
      </c>
      <c r="E554">
        <v>20</v>
      </c>
      <c r="F554">
        <v>10</v>
      </c>
      <c r="G554">
        <v>0</v>
      </c>
      <c r="O554">
        <v>30</v>
      </c>
      <c r="S554">
        <f t="shared" si="122"/>
        <v>1.875</v>
      </c>
      <c r="T554">
        <f t="shared" si="123"/>
        <v>0</v>
      </c>
      <c r="U554">
        <f t="shared" si="121"/>
        <v>1</v>
      </c>
      <c r="V554">
        <f t="shared" si="124"/>
        <v>1</v>
      </c>
      <c r="W554">
        <f t="shared" si="125"/>
        <v>0</v>
      </c>
      <c r="X554">
        <f t="shared" si="134"/>
        <v>0</v>
      </c>
      <c r="Y554">
        <f t="shared" si="135"/>
        <v>0</v>
      </c>
      <c r="Z554">
        <f t="shared" si="126"/>
        <v>4</v>
      </c>
      <c r="AA554">
        <f t="shared" si="127"/>
        <v>2.5</v>
      </c>
      <c r="AB554">
        <f t="shared" si="128"/>
        <v>0</v>
      </c>
      <c r="AC554">
        <f t="shared" si="129"/>
        <v>0</v>
      </c>
      <c r="AD554" s="1">
        <f t="shared" si="130"/>
        <v>0</v>
      </c>
      <c r="AE554">
        <f t="shared" si="131"/>
        <v>0</v>
      </c>
      <c r="AF554">
        <f t="shared" si="132"/>
        <v>0</v>
      </c>
      <c r="AG554">
        <f t="shared" si="133"/>
        <v>0</v>
      </c>
    </row>
    <row r="555" spans="1:33" x14ac:dyDescent="0.25">
      <c r="A555" t="s">
        <v>1009</v>
      </c>
      <c r="B555" t="s">
        <v>1010</v>
      </c>
      <c r="C555">
        <v>165946</v>
      </c>
      <c r="D555">
        <v>165946</v>
      </c>
      <c r="E555">
        <v>30</v>
      </c>
      <c r="F555">
        <v>30</v>
      </c>
      <c r="G555">
        <v>30</v>
      </c>
      <c r="O555">
        <v>90</v>
      </c>
      <c r="S555">
        <f t="shared" si="122"/>
        <v>5.625</v>
      </c>
      <c r="T555">
        <f t="shared" si="123"/>
        <v>0</v>
      </c>
      <c r="U555">
        <f t="shared" si="121"/>
        <v>1</v>
      </c>
      <c r="V555">
        <f t="shared" si="124"/>
        <v>1</v>
      </c>
      <c r="W555">
        <f t="shared" si="125"/>
        <v>0</v>
      </c>
      <c r="X555">
        <f t="shared" si="134"/>
        <v>0</v>
      </c>
      <c r="Y555">
        <f t="shared" si="135"/>
        <v>0</v>
      </c>
      <c r="Z555">
        <f t="shared" si="126"/>
        <v>6</v>
      </c>
      <c r="AA555">
        <f t="shared" si="127"/>
        <v>7.5</v>
      </c>
      <c r="AB555">
        <f t="shared" si="128"/>
        <v>4.2857142857142856</v>
      </c>
      <c r="AC555">
        <f t="shared" si="129"/>
        <v>0</v>
      </c>
      <c r="AD555" s="1">
        <f t="shared" si="130"/>
        <v>0</v>
      </c>
      <c r="AE555">
        <f t="shared" si="131"/>
        <v>0</v>
      </c>
      <c r="AF555">
        <f t="shared" si="132"/>
        <v>0</v>
      </c>
      <c r="AG555">
        <f t="shared" si="133"/>
        <v>0</v>
      </c>
    </row>
    <row r="556" spans="1:33" x14ac:dyDescent="0.25">
      <c r="A556" t="s">
        <v>1011</v>
      </c>
      <c r="B556" t="s">
        <v>1012</v>
      </c>
      <c r="C556">
        <v>167430</v>
      </c>
      <c r="D556">
        <v>167430</v>
      </c>
      <c r="H556">
        <v>0</v>
      </c>
      <c r="I556">
        <v>40</v>
      </c>
      <c r="J556">
        <v>0</v>
      </c>
      <c r="K556">
        <v>10</v>
      </c>
      <c r="L556">
        <v>10</v>
      </c>
      <c r="M556">
        <v>60</v>
      </c>
      <c r="S556">
        <f t="shared" si="122"/>
        <v>0</v>
      </c>
      <c r="T556">
        <f t="shared" si="123"/>
        <v>5</v>
      </c>
      <c r="U556">
        <f t="shared" si="121"/>
        <v>1</v>
      </c>
      <c r="V556">
        <f t="shared" si="124"/>
        <v>0</v>
      </c>
      <c r="W556">
        <f t="shared" si="125"/>
        <v>1</v>
      </c>
      <c r="X556">
        <f t="shared" si="134"/>
        <v>0</v>
      </c>
      <c r="Y556">
        <f t="shared" si="135"/>
        <v>0</v>
      </c>
      <c r="Z556">
        <f t="shared" si="126"/>
        <v>0</v>
      </c>
      <c r="AA556">
        <f t="shared" si="127"/>
        <v>0</v>
      </c>
      <c r="AB556">
        <f t="shared" si="128"/>
        <v>0</v>
      </c>
      <c r="AC556">
        <f t="shared" si="129"/>
        <v>0</v>
      </c>
      <c r="AD556" s="1">
        <f t="shared" si="130"/>
        <v>6.666666666666667</v>
      </c>
      <c r="AE556">
        <f t="shared" si="131"/>
        <v>0</v>
      </c>
      <c r="AF556">
        <f t="shared" si="132"/>
        <v>10</v>
      </c>
      <c r="AG556">
        <f t="shared" si="133"/>
        <v>10</v>
      </c>
    </row>
    <row r="557" spans="1:33" x14ac:dyDescent="0.25">
      <c r="A557" t="s">
        <v>1013</v>
      </c>
      <c r="B557" t="s">
        <v>1014</v>
      </c>
      <c r="C557">
        <v>167074</v>
      </c>
      <c r="D557">
        <v>167074</v>
      </c>
      <c r="E557">
        <v>20</v>
      </c>
      <c r="F557">
        <v>10</v>
      </c>
      <c r="G557">
        <v>20</v>
      </c>
      <c r="O557">
        <v>50</v>
      </c>
      <c r="S557">
        <f t="shared" si="122"/>
        <v>3.125</v>
      </c>
      <c r="T557">
        <f t="shared" si="123"/>
        <v>0</v>
      </c>
      <c r="U557">
        <f t="shared" si="121"/>
        <v>1</v>
      </c>
      <c r="V557">
        <f t="shared" si="124"/>
        <v>1</v>
      </c>
      <c r="W557">
        <f t="shared" si="125"/>
        <v>0</v>
      </c>
      <c r="X557">
        <f t="shared" si="134"/>
        <v>0</v>
      </c>
      <c r="Y557">
        <f t="shared" si="135"/>
        <v>0</v>
      </c>
      <c r="Z557">
        <f t="shared" si="126"/>
        <v>4</v>
      </c>
      <c r="AA557">
        <f t="shared" si="127"/>
        <v>2.5</v>
      </c>
      <c r="AB557">
        <f t="shared" si="128"/>
        <v>2.8571428571428572</v>
      </c>
      <c r="AC557">
        <f t="shared" si="129"/>
        <v>0</v>
      </c>
      <c r="AD557" s="1">
        <f t="shared" si="130"/>
        <v>0</v>
      </c>
      <c r="AE557">
        <f t="shared" si="131"/>
        <v>0</v>
      </c>
      <c r="AF557">
        <f t="shared" si="132"/>
        <v>0</v>
      </c>
      <c r="AG557">
        <f t="shared" si="133"/>
        <v>0</v>
      </c>
    </row>
    <row r="558" spans="1:33" x14ac:dyDescent="0.25">
      <c r="A558" t="s">
        <v>1015</v>
      </c>
      <c r="B558" t="s">
        <v>1016</v>
      </c>
      <c r="C558">
        <v>166383</v>
      </c>
      <c r="D558">
        <v>166383</v>
      </c>
      <c r="E558">
        <v>20</v>
      </c>
      <c r="F558">
        <v>20</v>
      </c>
      <c r="G558">
        <v>50</v>
      </c>
      <c r="O558">
        <v>90</v>
      </c>
      <c r="S558">
        <f t="shared" si="122"/>
        <v>5.625</v>
      </c>
      <c r="T558">
        <f t="shared" si="123"/>
        <v>0</v>
      </c>
      <c r="U558">
        <f t="shared" si="121"/>
        <v>1</v>
      </c>
      <c r="V558">
        <f t="shared" si="124"/>
        <v>1</v>
      </c>
      <c r="W558">
        <f t="shared" si="125"/>
        <v>0</v>
      </c>
      <c r="X558">
        <f t="shared" si="134"/>
        <v>0</v>
      </c>
      <c r="Y558">
        <f t="shared" si="135"/>
        <v>0</v>
      </c>
      <c r="Z558">
        <f t="shared" si="126"/>
        <v>4</v>
      </c>
      <c r="AA558">
        <f t="shared" si="127"/>
        <v>5</v>
      </c>
      <c r="AB558">
        <f t="shared" si="128"/>
        <v>7.1428571428571432</v>
      </c>
      <c r="AC558">
        <f t="shared" si="129"/>
        <v>0</v>
      </c>
      <c r="AD558" s="1">
        <f t="shared" si="130"/>
        <v>0</v>
      </c>
      <c r="AE558">
        <f t="shared" si="131"/>
        <v>0</v>
      </c>
      <c r="AF558">
        <f t="shared" si="132"/>
        <v>0</v>
      </c>
      <c r="AG558">
        <f t="shared" si="133"/>
        <v>0</v>
      </c>
    </row>
    <row r="559" spans="1:33" x14ac:dyDescent="0.25">
      <c r="A559" t="s">
        <v>1017</v>
      </c>
      <c r="B559" t="s">
        <v>49</v>
      </c>
      <c r="C559">
        <v>166716</v>
      </c>
      <c r="D559">
        <v>166716</v>
      </c>
      <c r="H559">
        <v>0</v>
      </c>
      <c r="I559">
        <v>20</v>
      </c>
      <c r="J559">
        <v>10</v>
      </c>
      <c r="K559">
        <v>0</v>
      </c>
      <c r="L559">
        <v>0</v>
      </c>
      <c r="M559">
        <v>30</v>
      </c>
      <c r="S559">
        <f t="shared" si="122"/>
        <v>0</v>
      </c>
      <c r="T559">
        <f t="shared" si="123"/>
        <v>2.5</v>
      </c>
      <c r="U559">
        <f t="shared" si="121"/>
        <v>1</v>
      </c>
      <c r="V559">
        <f t="shared" si="124"/>
        <v>0</v>
      </c>
      <c r="W559">
        <f t="shared" si="125"/>
        <v>1</v>
      </c>
      <c r="X559">
        <f t="shared" si="134"/>
        <v>0</v>
      </c>
      <c r="Y559">
        <f t="shared" si="135"/>
        <v>0</v>
      </c>
      <c r="Z559">
        <f t="shared" si="126"/>
        <v>0</v>
      </c>
      <c r="AA559">
        <f t="shared" si="127"/>
        <v>0</v>
      </c>
      <c r="AB559">
        <f t="shared" si="128"/>
        <v>0</v>
      </c>
      <c r="AC559">
        <f t="shared" si="129"/>
        <v>0</v>
      </c>
      <c r="AD559" s="1">
        <f t="shared" si="130"/>
        <v>3.3333333333333335</v>
      </c>
      <c r="AE559">
        <f t="shared" si="131"/>
        <v>5</v>
      </c>
      <c r="AF559">
        <f t="shared" si="132"/>
        <v>0</v>
      </c>
      <c r="AG559">
        <f t="shared" si="133"/>
        <v>0</v>
      </c>
    </row>
    <row r="560" spans="1:33" x14ac:dyDescent="0.25">
      <c r="A560" t="s">
        <v>1018</v>
      </c>
      <c r="B560" t="s">
        <v>1019</v>
      </c>
      <c r="C560">
        <v>168439</v>
      </c>
      <c r="D560">
        <v>168439</v>
      </c>
      <c r="H560">
        <v>10</v>
      </c>
      <c r="I560">
        <v>10</v>
      </c>
      <c r="J560">
        <v>10</v>
      </c>
      <c r="K560">
        <v>0</v>
      </c>
      <c r="L560">
        <v>0</v>
      </c>
      <c r="M560">
        <v>30</v>
      </c>
      <c r="S560">
        <f t="shared" si="122"/>
        <v>0</v>
      </c>
      <c r="T560">
        <f t="shared" si="123"/>
        <v>2.5</v>
      </c>
      <c r="U560">
        <f t="shared" si="121"/>
        <v>1</v>
      </c>
      <c r="V560">
        <f t="shared" si="124"/>
        <v>0</v>
      </c>
      <c r="W560">
        <f t="shared" si="125"/>
        <v>1</v>
      </c>
      <c r="X560">
        <f t="shared" si="134"/>
        <v>0</v>
      </c>
      <c r="Y560">
        <f t="shared" si="135"/>
        <v>0</v>
      </c>
      <c r="Z560">
        <f t="shared" si="126"/>
        <v>0</v>
      </c>
      <c r="AA560">
        <f t="shared" si="127"/>
        <v>0</v>
      </c>
      <c r="AB560">
        <f t="shared" si="128"/>
        <v>0</v>
      </c>
      <c r="AC560">
        <f t="shared" si="129"/>
        <v>5</v>
      </c>
      <c r="AD560" s="1">
        <f t="shared" si="130"/>
        <v>1.6666666666666667</v>
      </c>
      <c r="AE560">
        <f t="shared" si="131"/>
        <v>5</v>
      </c>
      <c r="AF560">
        <f t="shared" si="132"/>
        <v>0</v>
      </c>
      <c r="AG560">
        <f t="shared" si="133"/>
        <v>0</v>
      </c>
    </row>
    <row r="561" spans="1:33" x14ac:dyDescent="0.25">
      <c r="A561" t="s">
        <v>1020</v>
      </c>
      <c r="B561" t="s">
        <v>1021</v>
      </c>
      <c r="C561">
        <v>168164</v>
      </c>
      <c r="D561">
        <v>168164</v>
      </c>
      <c r="E561">
        <v>40</v>
      </c>
      <c r="F561">
        <v>30</v>
      </c>
      <c r="G561">
        <v>40</v>
      </c>
      <c r="O561">
        <v>110</v>
      </c>
      <c r="S561">
        <f t="shared" si="122"/>
        <v>6.875</v>
      </c>
      <c r="T561">
        <f t="shared" si="123"/>
        <v>0</v>
      </c>
      <c r="U561">
        <f t="shared" si="121"/>
        <v>1</v>
      </c>
      <c r="V561">
        <f t="shared" si="124"/>
        <v>1</v>
      </c>
      <c r="W561">
        <f t="shared" si="125"/>
        <v>0</v>
      </c>
      <c r="X561">
        <f t="shared" si="134"/>
        <v>1</v>
      </c>
      <c r="Y561">
        <f t="shared" si="135"/>
        <v>0</v>
      </c>
      <c r="Z561">
        <f t="shared" si="126"/>
        <v>8</v>
      </c>
      <c r="AA561">
        <f t="shared" si="127"/>
        <v>7.5</v>
      </c>
      <c r="AB561">
        <f t="shared" si="128"/>
        <v>5.7142857142857144</v>
      </c>
      <c r="AC561">
        <f t="shared" si="129"/>
        <v>0</v>
      </c>
      <c r="AD561" s="1">
        <f t="shared" si="130"/>
        <v>0</v>
      </c>
      <c r="AE561">
        <f t="shared" si="131"/>
        <v>0</v>
      </c>
      <c r="AF561">
        <f t="shared" si="132"/>
        <v>0</v>
      </c>
      <c r="AG561">
        <f t="shared" si="133"/>
        <v>0</v>
      </c>
    </row>
    <row r="562" spans="1:33" x14ac:dyDescent="0.25">
      <c r="A562" t="s">
        <v>1022</v>
      </c>
      <c r="B562" t="s">
        <v>1023</v>
      </c>
      <c r="C562">
        <v>168253</v>
      </c>
      <c r="D562">
        <v>168253</v>
      </c>
      <c r="H562">
        <v>20</v>
      </c>
      <c r="I562">
        <v>40</v>
      </c>
      <c r="J562">
        <v>0</v>
      </c>
      <c r="K562">
        <v>0</v>
      </c>
      <c r="L562">
        <v>10</v>
      </c>
      <c r="M562">
        <v>70</v>
      </c>
      <c r="S562">
        <f t="shared" si="122"/>
        <v>0</v>
      </c>
      <c r="T562">
        <f t="shared" si="123"/>
        <v>5.833333333333333</v>
      </c>
      <c r="U562">
        <f t="shared" si="121"/>
        <v>1</v>
      </c>
      <c r="V562">
        <f t="shared" si="124"/>
        <v>0</v>
      </c>
      <c r="W562">
        <f t="shared" si="125"/>
        <v>1</v>
      </c>
      <c r="X562">
        <f t="shared" si="134"/>
        <v>0</v>
      </c>
      <c r="Y562">
        <f t="shared" si="135"/>
        <v>0</v>
      </c>
      <c r="Z562">
        <f t="shared" si="126"/>
        <v>0</v>
      </c>
      <c r="AA562">
        <f t="shared" si="127"/>
        <v>0</v>
      </c>
      <c r="AB562">
        <f t="shared" si="128"/>
        <v>0</v>
      </c>
      <c r="AC562">
        <f t="shared" si="129"/>
        <v>10</v>
      </c>
      <c r="AD562" s="1">
        <f t="shared" si="130"/>
        <v>6.666666666666667</v>
      </c>
      <c r="AE562">
        <f t="shared" si="131"/>
        <v>0</v>
      </c>
      <c r="AF562">
        <f t="shared" si="132"/>
        <v>0</v>
      </c>
      <c r="AG562">
        <f t="shared" si="133"/>
        <v>10</v>
      </c>
    </row>
    <row r="563" spans="1:33" x14ac:dyDescent="0.25">
      <c r="A563" t="s">
        <v>1024</v>
      </c>
      <c r="B563" t="s">
        <v>1025</v>
      </c>
      <c r="C563">
        <v>168502</v>
      </c>
      <c r="D563">
        <v>168502</v>
      </c>
      <c r="E563">
        <v>50</v>
      </c>
      <c r="F563">
        <v>40</v>
      </c>
      <c r="G563">
        <v>50</v>
      </c>
      <c r="O563">
        <v>140</v>
      </c>
      <c r="S563">
        <f t="shared" si="122"/>
        <v>8.75</v>
      </c>
      <c r="T563">
        <f t="shared" si="123"/>
        <v>0</v>
      </c>
      <c r="U563">
        <f t="shared" si="121"/>
        <v>1</v>
      </c>
      <c r="V563">
        <f t="shared" si="124"/>
        <v>1</v>
      </c>
      <c r="W563">
        <f t="shared" si="125"/>
        <v>0</v>
      </c>
      <c r="X563">
        <f t="shared" si="134"/>
        <v>1</v>
      </c>
      <c r="Y563">
        <f t="shared" si="135"/>
        <v>0</v>
      </c>
      <c r="Z563">
        <f t="shared" si="126"/>
        <v>10</v>
      </c>
      <c r="AA563">
        <f t="shared" si="127"/>
        <v>10</v>
      </c>
      <c r="AB563">
        <f t="shared" si="128"/>
        <v>7.1428571428571432</v>
      </c>
      <c r="AC563">
        <f t="shared" si="129"/>
        <v>0</v>
      </c>
      <c r="AD563" s="1">
        <f t="shared" si="130"/>
        <v>0</v>
      </c>
      <c r="AE563">
        <f t="shared" si="131"/>
        <v>0</v>
      </c>
      <c r="AF563">
        <f t="shared" si="132"/>
        <v>0</v>
      </c>
      <c r="AG563">
        <f t="shared" si="133"/>
        <v>0</v>
      </c>
    </row>
    <row r="564" spans="1:33" x14ac:dyDescent="0.25">
      <c r="A564" t="s">
        <v>1026</v>
      </c>
      <c r="B564" t="s">
        <v>1027</v>
      </c>
      <c r="C564">
        <v>165712</v>
      </c>
      <c r="D564">
        <v>165712</v>
      </c>
      <c r="H564">
        <v>10</v>
      </c>
      <c r="I564">
        <v>40</v>
      </c>
      <c r="J564">
        <v>10</v>
      </c>
      <c r="K564">
        <v>10</v>
      </c>
      <c r="L564">
        <v>10</v>
      </c>
      <c r="M564">
        <v>80</v>
      </c>
      <c r="S564">
        <f t="shared" si="122"/>
        <v>0</v>
      </c>
      <c r="T564">
        <f t="shared" si="123"/>
        <v>6.666666666666667</v>
      </c>
      <c r="U564">
        <f t="shared" si="121"/>
        <v>1</v>
      </c>
      <c r="V564">
        <f t="shared" si="124"/>
        <v>0</v>
      </c>
      <c r="W564">
        <f t="shared" si="125"/>
        <v>1</v>
      </c>
      <c r="X564">
        <f t="shared" si="134"/>
        <v>0</v>
      </c>
      <c r="Y564">
        <f t="shared" si="135"/>
        <v>1</v>
      </c>
      <c r="Z564">
        <f t="shared" si="126"/>
        <v>0</v>
      </c>
      <c r="AA564">
        <f t="shared" si="127"/>
        <v>0</v>
      </c>
      <c r="AB564">
        <f t="shared" si="128"/>
        <v>0</v>
      </c>
      <c r="AC564">
        <f t="shared" si="129"/>
        <v>5</v>
      </c>
      <c r="AD564" s="1">
        <f t="shared" si="130"/>
        <v>6.666666666666667</v>
      </c>
      <c r="AE564">
        <f t="shared" si="131"/>
        <v>5</v>
      </c>
      <c r="AF564">
        <f t="shared" si="132"/>
        <v>10</v>
      </c>
      <c r="AG564">
        <f t="shared" si="133"/>
        <v>10</v>
      </c>
    </row>
    <row r="565" spans="1:33" x14ac:dyDescent="0.25">
      <c r="A565" t="s">
        <v>1028</v>
      </c>
      <c r="B565" t="s">
        <v>197</v>
      </c>
      <c r="C565">
        <v>168045</v>
      </c>
      <c r="D565">
        <v>168045</v>
      </c>
      <c r="E565">
        <v>40</v>
      </c>
      <c r="F565">
        <v>20</v>
      </c>
      <c r="G565">
        <v>20</v>
      </c>
      <c r="O565">
        <v>80</v>
      </c>
      <c r="S565">
        <f t="shared" si="122"/>
        <v>5</v>
      </c>
      <c r="T565">
        <f t="shared" si="123"/>
        <v>0</v>
      </c>
      <c r="U565">
        <f t="shared" si="121"/>
        <v>1</v>
      </c>
      <c r="V565">
        <f t="shared" si="124"/>
        <v>1</v>
      </c>
      <c r="W565">
        <f t="shared" si="125"/>
        <v>0</v>
      </c>
      <c r="X565">
        <f t="shared" si="134"/>
        <v>0</v>
      </c>
      <c r="Y565">
        <f t="shared" si="135"/>
        <v>0</v>
      </c>
      <c r="Z565">
        <f t="shared" si="126"/>
        <v>8</v>
      </c>
      <c r="AA565">
        <f t="shared" si="127"/>
        <v>5</v>
      </c>
      <c r="AB565">
        <f t="shared" si="128"/>
        <v>2.8571428571428572</v>
      </c>
      <c r="AC565">
        <f t="shared" si="129"/>
        <v>0</v>
      </c>
      <c r="AD565" s="1">
        <f t="shared" si="130"/>
        <v>0</v>
      </c>
      <c r="AE565">
        <f t="shared" si="131"/>
        <v>0</v>
      </c>
      <c r="AF565">
        <f t="shared" si="132"/>
        <v>0</v>
      </c>
      <c r="AG565">
        <f t="shared" si="133"/>
        <v>0</v>
      </c>
    </row>
    <row r="566" spans="1:33" x14ac:dyDescent="0.25">
      <c r="A566" t="s">
        <v>1029</v>
      </c>
      <c r="B566" t="s">
        <v>764</v>
      </c>
      <c r="C566">
        <v>167669</v>
      </c>
      <c r="D566">
        <v>167669</v>
      </c>
      <c r="E566">
        <v>20</v>
      </c>
      <c r="F566">
        <v>40</v>
      </c>
      <c r="G566">
        <v>40</v>
      </c>
      <c r="O566">
        <v>100</v>
      </c>
      <c r="S566">
        <f t="shared" si="122"/>
        <v>6.25</v>
      </c>
      <c r="T566">
        <f t="shared" si="123"/>
        <v>0</v>
      </c>
      <c r="U566">
        <f t="shared" si="121"/>
        <v>1</v>
      </c>
      <c r="V566">
        <f t="shared" si="124"/>
        <v>1</v>
      </c>
      <c r="W566">
        <f t="shared" si="125"/>
        <v>0</v>
      </c>
      <c r="X566">
        <f t="shared" si="134"/>
        <v>1</v>
      </c>
      <c r="Y566">
        <f t="shared" si="135"/>
        <v>0</v>
      </c>
      <c r="Z566">
        <f t="shared" si="126"/>
        <v>4</v>
      </c>
      <c r="AA566">
        <f t="shared" si="127"/>
        <v>10</v>
      </c>
      <c r="AB566">
        <f t="shared" si="128"/>
        <v>5.7142857142857144</v>
      </c>
      <c r="AC566">
        <f t="shared" si="129"/>
        <v>0</v>
      </c>
      <c r="AD566" s="1">
        <f t="shared" si="130"/>
        <v>0</v>
      </c>
      <c r="AE566">
        <f t="shared" si="131"/>
        <v>0</v>
      </c>
      <c r="AF566">
        <f t="shared" si="132"/>
        <v>0</v>
      </c>
      <c r="AG566">
        <f t="shared" si="133"/>
        <v>0</v>
      </c>
    </row>
    <row r="567" spans="1:33" x14ac:dyDescent="0.25">
      <c r="A567" t="s">
        <v>1030</v>
      </c>
      <c r="B567" t="s">
        <v>1031</v>
      </c>
      <c r="C567">
        <v>168432</v>
      </c>
      <c r="D567">
        <v>168432</v>
      </c>
      <c r="H567">
        <v>0</v>
      </c>
      <c r="I567">
        <v>60</v>
      </c>
      <c r="J567">
        <v>0</v>
      </c>
      <c r="K567">
        <v>0</v>
      </c>
      <c r="L567">
        <v>0</v>
      </c>
      <c r="M567">
        <v>60</v>
      </c>
      <c r="S567">
        <f t="shared" si="122"/>
        <v>0</v>
      </c>
      <c r="T567">
        <f t="shared" si="123"/>
        <v>5</v>
      </c>
      <c r="U567">
        <f t="shared" si="121"/>
        <v>1</v>
      </c>
      <c r="V567">
        <f t="shared" si="124"/>
        <v>0</v>
      </c>
      <c r="W567">
        <f t="shared" si="125"/>
        <v>1</v>
      </c>
      <c r="X567">
        <f t="shared" si="134"/>
        <v>0</v>
      </c>
      <c r="Y567">
        <f t="shared" si="135"/>
        <v>0</v>
      </c>
      <c r="Z567">
        <f t="shared" si="126"/>
        <v>0</v>
      </c>
      <c r="AA567">
        <f t="shared" si="127"/>
        <v>0</v>
      </c>
      <c r="AB567">
        <f t="shared" si="128"/>
        <v>0</v>
      </c>
      <c r="AC567">
        <f t="shared" si="129"/>
        <v>0</v>
      </c>
      <c r="AD567" s="1">
        <f t="shared" si="130"/>
        <v>10</v>
      </c>
      <c r="AE567">
        <f t="shared" si="131"/>
        <v>0</v>
      </c>
      <c r="AF567">
        <f t="shared" si="132"/>
        <v>0</v>
      </c>
      <c r="AG567">
        <f t="shared" si="133"/>
        <v>0</v>
      </c>
    </row>
    <row r="568" spans="1:33" x14ac:dyDescent="0.25">
      <c r="A568" t="s">
        <v>1032</v>
      </c>
      <c r="B568" t="s">
        <v>1033</v>
      </c>
      <c r="C568">
        <v>167563</v>
      </c>
      <c r="D568">
        <v>167563</v>
      </c>
      <c r="E568">
        <v>20</v>
      </c>
      <c r="F568">
        <v>10</v>
      </c>
      <c r="G568">
        <v>20</v>
      </c>
      <c r="O568">
        <v>50</v>
      </c>
      <c r="S568">
        <f t="shared" si="122"/>
        <v>3.125</v>
      </c>
      <c r="T568">
        <f t="shared" si="123"/>
        <v>0</v>
      </c>
      <c r="U568">
        <f t="shared" si="121"/>
        <v>1</v>
      </c>
      <c r="V568">
        <f t="shared" si="124"/>
        <v>1</v>
      </c>
      <c r="W568">
        <f t="shared" si="125"/>
        <v>0</v>
      </c>
      <c r="X568">
        <f t="shared" si="134"/>
        <v>0</v>
      </c>
      <c r="Y568">
        <f t="shared" si="135"/>
        <v>0</v>
      </c>
      <c r="Z568">
        <f t="shared" si="126"/>
        <v>4</v>
      </c>
      <c r="AA568">
        <f t="shared" si="127"/>
        <v>2.5</v>
      </c>
      <c r="AB568">
        <f t="shared" si="128"/>
        <v>2.8571428571428572</v>
      </c>
      <c r="AC568">
        <f t="shared" si="129"/>
        <v>0</v>
      </c>
      <c r="AD568" s="1">
        <f t="shared" si="130"/>
        <v>0</v>
      </c>
      <c r="AE568">
        <f t="shared" si="131"/>
        <v>0</v>
      </c>
      <c r="AF568">
        <f t="shared" si="132"/>
        <v>0</v>
      </c>
      <c r="AG568">
        <f t="shared" si="133"/>
        <v>0</v>
      </c>
    </row>
    <row r="569" spans="1:33" x14ac:dyDescent="0.25">
      <c r="A569" t="s">
        <v>1034</v>
      </c>
      <c r="B569" t="s">
        <v>950</v>
      </c>
      <c r="C569">
        <v>167820</v>
      </c>
      <c r="D569">
        <v>167820</v>
      </c>
      <c r="E569">
        <v>10</v>
      </c>
      <c r="F569">
        <v>10</v>
      </c>
      <c r="G569">
        <v>20</v>
      </c>
      <c r="O569">
        <v>40</v>
      </c>
      <c r="S569">
        <f t="shared" si="122"/>
        <v>2.5</v>
      </c>
      <c r="T569">
        <f t="shared" si="123"/>
        <v>0</v>
      </c>
      <c r="U569">
        <f t="shared" si="121"/>
        <v>1</v>
      </c>
      <c r="V569">
        <f t="shared" si="124"/>
        <v>1</v>
      </c>
      <c r="W569">
        <f t="shared" si="125"/>
        <v>0</v>
      </c>
      <c r="X569">
        <f t="shared" si="134"/>
        <v>0</v>
      </c>
      <c r="Y569">
        <f t="shared" si="135"/>
        <v>0</v>
      </c>
      <c r="Z569">
        <f t="shared" si="126"/>
        <v>2</v>
      </c>
      <c r="AA569">
        <f t="shared" si="127"/>
        <v>2.5</v>
      </c>
      <c r="AB569">
        <f t="shared" si="128"/>
        <v>2.8571428571428572</v>
      </c>
      <c r="AC569">
        <f t="shared" si="129"/>
        <v>0</v>
      </c>
      <c r="AD569" s="1">
        <f t="shared" si="130"/>
        <v>0</v>
      </c>
      <c r="AE569">
        <f t="shared" si="131"/>
        <v>0</v>
      </c>
      <c r="AF569">
        <f t="shared" si="132"/>
        <v>0</v>
      </c>
      <c r="AG569">
        <f t="shared" si="133"/>
        <v>0</v>
      </c>
    </row>
    <row r="570" spans="1:33" x14ac:dyDescent="0.25">
      <c r="A570" t="s">
        <v>1035</v>
      </c>
      <c r="B570" t="s">
        <v>636</v>
      </c>
      <c r="C570">
        <v>157727</v>
      </c>
      <c r="D570">
        <v>157727</v>
      </c>
      <c r="E570">
        <v>10</v>
      </c>
      <c r="F570">
        <v>20</v>
      </c>
      <c r="G570">
        <v>30</v>
      </c>
      <c r="O570">
        <v>60</v>
      </c>
      <c r="S570">
        <f t="shared" si="122"/>
        <v>3.75</v>
      </c>
      <c r="T570">
        <f t="shared" si="123"/>
        <v>0</v>
      </c>
      <c r="U570">
        <f t="shared" si="121"/>
        <v>1</v>
      </c>
      <c r="V570">
        <f t="shared" si="124"/>
        <v>1</v>
      </c>
      <c r="W570">
        <f t="shared" si="125"/>
        <v>0</v>
      </c>
      <c r="X570">
        <f t="shared" si="134"/>
        <v>0</v>
      </c>
      <c r="Y570">
        <f t="shared" si="135"/>
        <v>0</v>
      </c>
      <c r="Z570">
        <f t="shared" si="126"/>
        <v>2</v>
      </c>
      <c r="AA570">
        <f t="shared" si="127"/>
        <v>5</v>
      </c>
      <c r="AB570">
        <f t="shared" si="128"/>
        <v>4.2857142857142856</v>
      </c>
      <c r="AC570">
        <f t="shared" si="129"/>
        <v>0</v>
      </c>
      <c r="AD570" s="1">
        <f t="shared" si="130"/>
        <v>0</v>
      </c>
      <c r="AE570">
        <f t="shared" si="131"/>
        <v>0</v>
      </c>
      <c r="AF570">
        <f t="shared" si="132"/>
        <v>0</v>
      </c>
      <c r="AG570">
        <f t="shared" si="133"/>
        <v>0</v>
      </c>
    </row>
    <row r="571" spans="1:33" x14ac:dyDescent="0.25">
      <c r="A571" t="s">
        <v>1036</v>
      </c>
      <c r="B571" t="s">
        <v>1037</v>
      </c>
      <c r="C571">
        <v>168503</v>
      </c>
      <c r="D571">
        <v>168503</v>
      </c>
      <c r="E571">
        <v>20</v>
      </c>
      <c r="F571">
        <v>10</v>
      </c>
      <c r="G571">
        <v>10</v>
      </c>
      <c r="O571">
        <v>40</v>
      </c>
      <c r="S571">
        <f t="shared" si="122"/>
        <v>2.5</v>
      </c>
      <c r="T571">
        <f t="shared" si="123"/>
        <v>0</v>
      </c>
      <c r="U571">
        <f t="shared" si="121"/>
        <v>1</v>
      </c>
      <c r="V571">
        <f t="shared" si="124"/>
        <v>1</v>
      </c>
      <c r="W571">
        <f t="shared" si="125"/>
        <v>0</v>
      </c>
      <c r="X571">
        <f t="shared" si="134"/>
        <v>0</v>
      </c>
      <c r="Y571">
        <f t="shared" si="135"/>
        <v>0</v>
      </c>
      <c r="Z571">
        <f t="shared" si="126"/>
        <v>4</v>
      </c>
      <c r="AA571">
        <f t="shared" si="127"/>
        <v>2.5</v>
      </c>
      <c r="AB571">
        <f t="shared" si="128"/>
        <v>1.4285714285714286</v>
      </c>
      <c r="AC571">
        <f t="shared" si="129"/>
        <v>0</v>
      </c>
      <c r="AD571" s="1">
        <f t="shared" si="130"/>
        <v>0</v>
      </c>
      <c r="AE571">
        <f t="shared" si="131"/>
        <v>0</v>
      </c>
      <c r="AF571">
        <f t="shared" si="132"/>
        <v>0</v>
      </c>
      <c r="AG571">
        <f t="shared" si="133"/>
        <v>0</v>
      </c>
    </row>
    <row r="572" spans="1:33" x14ac:dyDescent="0.25">
      <c r="A572" t="s">
        <v>1038</v>
      </c>
      <c r="B572" t="s">
        <v>1039</v>
      </c>
      <c r="C572">
        <v>168647</v>
      </c>
      <c r="D572">
        <v>168647</v>
      </c>
      <c r="H572">
        <v>10</v>
      </c>
      <c r="I572">
        <v>10</v>
      </c>
      <c r="J572">
        <v>10</v>
      </c>
      <c r="K572">
        <v>0</v>
      </c>
      <c r="L572">
        <v>10</v>
      </c>
      <c r="M572">
        <v>40</v>
      </c>
      <c r="S572">
        <f t="shared" si="122"/>
        <v>0</v>
      </c>
      <c r="T572">
        <f t="shared" si="123"/>
        <v>3.3333333333333335</v>
      </c>
      <c r="U572">
        <f t="shared" si="121"/>
        <v>1</v>
      </c>
      <c r="V572">
        <f t="shared" si="124"/>
        <v>0</v>
      </c>
      <c r="W572">
        <f t="shared" si="125"/>
        <v>1</v>
      </c>
      <c r="X572">
        <f t="shared" si="134"/>
        <v>0</v>
      </c>
      <c r="Y572">
        <f t="shared" si="135"/>
        <v>0</v>
      </c>
      <c r="Z572">
        <f t="shared" si="126"/>
        <v>0</v>
      </c>
      <c r="AA572">
        <f t="shared" si="127"/>
        <v>0</v>
      </c>
      <c r="AB572">
        <f t="shared" si="128"/>
        <v>0</v>
      </c>
      <c r="AC572">
        <f t="shared" si="129"/>
        <v>5</v>
      </c>
      <c r="AD572" s="1">
        <f t="shared" si="130"/>
        <v>1.6666666666666667</v>
      </c>
      <c r="AE572">
        <f t="shared" si="131"/>
        <v>5</v>
      </c>
      <c r="AF572">
        <f t="shared" si="132"/>
        <v>0</v>
      </c>
      <c r="AG572">
        <f t="shared" si="133"/>
        <v>10</v>
      </c>
    </row>
    <row r="573" spans="1:33" x14ac:dyDescent="0.25">
      <c r="A573" t="s">
        <v>1040</v>
      </c>
      <c r="B573" t="s">
        <v>1041</v>
      </c>
      <c r="C573">
        <v>168065</v>
      </c>
      <c r="D573">
        <v>168065</v>
      </c>
      <c r="H573">
        <v>10</v>
      </c>
      <c r="I573">
        <v>10</v>
      </c>
      <c r="J573">
        <v>10</v>
      </c>
      <c r="K573">
        <v>10</v>
      </c>
      <c r="L573">
        <v>0</v>
      </c>
      <c r="M573">
        <v>40</v>
      </c>
      <c r="S573">
        <f t="shared" si="122"/>
        <v>0</v>
      </c>
      <c r="T573">
        <f t="shared" si="123"/>
        <v>3.3333333333333335</v>
      </c>
      <c r="U573">
        <f t="shared" si="121"/>
        <v>1</v>
      </c>
      <c r="V573">
        <f t="shared" si="124"/>
        <v>0</v>
      </c>
      <c r="W573">
        <f t="shared" si="125"/>
        <v>1</v>
      </c>
      <c r="X573">
        <f t="shared" si="134"/>
        <v>0</v>
      </c>
      <c r="Y573">
        <f t="shared" si="135"/>
        <v>0</v>
      </c>
      <c r="Z573">
        <f t="shared" si="126"/>
        <v>0</v>
      </c>
      <c r="AA573">
        <f t="shared" si="127"/>
        <v>0</v>
      </c>
      <c r="AB573">
        <f t="shared" si="128"/>
        <v>0</v>
      </c>
      <c r="AC573">
        <f t="shared" si="129"/>
        <v>5</v>
      </c>
      <c r="AD573" s="1">
        <f t="shared" si="130"/>
        <v>1.6666666666666667</v>
      </c>
      <c r="AE573">
        <f t="shared" si="131"/>
        <v>5</v>
      </c>
      <c r="AF573">
        <f t="shared" si="132"/>
        <v>10</v>
      </c>
      <c r="AG573">
        <f t="shared" si="133"/>
        <v>0</v>
      </c>
    </row>
    <row r="574" spans="1:33" x14ac:dyDescent="0.25">
      <c r="A574" t="s">
        <v>1042</v>
      </c>
      <c r="B574" t="s">
        <v>1043</v>
      </c>
      <c r="C574">
        <v>168450</v>
      </c>
      <c r="D574">
        <v>168450</v>
      </c>
      <c r="E574">
        <v>20</v>
      </c>
      <c r="F574">
        <v>10</v>
      </c>
      <c r="G574">
        <v>50</v>
      </c>
      <c r="O574">
        <v>80</v>
      </c>
      <c r="S574">
        <f t="shared" si="122"/>
        <v>5</v>
      </c>
      <c r="T574">
        <f t="shared" si="123"/>
        <v>0</v>
      </c>
      <c r="U574">
        <f t="shared" si="121"/>
        <v>1</v>
      </c>
      <c r="V574">
        <f t="shared" si="124"/>
        <v>1</v>
      </c>
      <c r="W574">
        <f t="shared" si="125"/>
        <v>0</v>
      </c>
      <c r="X574">
        <f t="shared" si="134"/>
        <v>0</v>
      </c>
      <c r="Y574">
        <f t="shared" si="135"/>
        <v>0</v>
      </c>
      <c r="Z574">
        <f t="shared" si="126"/>
        <v>4</v>
      </c>
      <c r="AA574">
        <f t="shared" si="127"/>
        <v>2.5</v>
      </c>
      <c r="AB574">
        <f t="shared" si="128"/>
        <v>7.1428571428571432</v>
      </c>
      <c r="AC574">
        <f t="shared" si="129"/>
        <v>0</v>
      </c>
      <c r="AD574" s="1">
        <f t="shared" si="130"/>
        <v>0</v>
      </c>
      <c r="AE574">
        <f t="shared" si="131"/>
        <v>0</v>
      </c>
      <c r="AF574">
        <f t="shared" si="132"/>
        <v>0</v>
      </c>
      <c r="AG574">
        <f t="shared" si="133"/>
        <v>0</v>
      </c>
    </row>
    <row r="575" spans="1:33" x14ac:dyDescent="0.25">
      <c r="A575" t="s">
        <v>1044</v>
      </c>
      <c r="B575" t="s">
        <v>1045</v>
      </c>
      <c r="C575">
        <v>168470</v>
      </c>
      <c r="D575">
        <v>168470</v>
      </c>
      <c r="E575">
        <v>50</v>
      </c>
      <c r="F575">
        <v>0</v>
      </c>
      <c r="G575">
        <v>20</v>
      </c>
      <c r="O575">
        <v>70</v>
      </c>
      <c r="S575">
        <f t="shared" si="122"/>
        <v>4.375</v>
      </c>
      <c r="T575">
        <f t="shared" si="123"/>
        <v>0</v>
      </c>
      <c r="U575">
        <f t="shared" si="121"/>
        <v>1</v>
      </c>
      <c r="V575">
        <f t="shared" si="124"/>
        <v>1</v>
      </c>
      <c r="W575">
        <f t="shared" si="125"/>
        <v>0</v>
      </c>
      <c r="X575">
        <f t="shared" si="134"/>
        <v>0</v>
      </c>
      <c r="Y575">
        <f t="shared" si="135"/>
        <v>0</v>
      </c>
      <c r="Z575">
        <f t="shared" si="126"/>
        <v>10</v>
      </c>
      <c r="AA575">
        <f t="shared" si="127"/>
        <v>0</v>
      </c>
      <c r="AB575">
        <f t="shared" si="128"/>
        <v>2.8571428571428572</v>
      </c>
      <c r="AC575">
        <f t="shared" si="129"/>
        <v>0</v>
      </c>
      <c r="AD575" s="1">
        <f t="shared" si="130"/>
        <v>0</v>
      </c>
      <c r="AE575">
        <f t="shared" si="131"/>
        <v>0</v>
      </c>
      <c r="AF575">
        <f t="shared" si="132"/>
        <v>0</v>
      </c>
      <c r="AG575">
        <f t="shared" si="133"/>
        <v>0</v>
      </c>
    </row>
    <row r="576" spans="1:33" x14ac:dyDescent="0.25">
      <c r="A576" t="s">
        <v>1046</v>
      </c>
      <c r="B576" t="s">
        <v>1047</v>
      </c>
      <c r="C576">
        <v>166363</v>
      </c>
      <c r="D576">
        <v>166363</v>
      </c>
      <c r="E576">
        <v>50</v>
      </c>
      <c r="F576">
        <v>40</v>
      </c>
      <c r="G576">
        <v>60</v>
      </c>
      <c r="O576">
        <v>150</v>
      </c>
      <c r="S576">
        <f t="shared" si="122"/>
        <v>9.375</v>
      </c>
      <c r="T576">
        <f t="shared" si="123"/>
        <v>0</v>
      </c>
      <c r="U576">
        <f t="shared" si="121"/>
        <v>1</v>
      </c>
      <c r="V576">
        <f t="shared" si="124"/>
        <v>1</v>
      </c>
      <c r="W576">
        <f t="shared" si="125"/>
        <v>0</v>
      </c>
      <c r="X576">
        <f t="shared" si="134"/>
        <v>1</v>
      </c>
      <c r="Y576">
        <f t="shared" si="135"/>
        <v>0</v>
      </c>
      <c r="Z576">
        <f t="shared" si="126"/>
        <v>10</v>
      </c>
      <c r="AA576">
        <f t="shared" si="127"/>
        <v>10</v>
      </c>
      <c r="AB576">
        <f t="shared" si="128"/>
        <v>8.5714285714285712</v>
      </c>
      <c r="AC576">
        <f t="shared" si="129"/>
        <v>0</v>
      </c>
      <c r="AD576" s="1">
        <f t="shared" si="130"/>
        <v>0</v>
      </c>
      <c r="AE576">
        <f t="shared" si="131"/>
        <v>0</v>
      </c>
      <c r="AF576">
        <f t="shared" si="132"/>
        <v>0</v>
      </c>
      <c r="AG576">
        <f t="shared" si="133"/>
        <v>0</v>
      </c>
    </row>
    <row r="577" spans="1:33" x14ac:dyDescent="0.25">
      <c r="A577" t="s">
        <v>1048</v>
      </c>
      <c r="B577" t="s">
        <v>486</v>
      </c>
      <c r="C577">
        <v>165451</v>
      </c>
      <c r="D577">
        <v>165451</v>
      </c>
      <c r="E577">
        <v>50</v>
      </c>
      <c r="F577">
        <v>30</v>
      </c>
      <c r="G577">
        <v>20</v>
      </c>
      <c r="O577">
        <v>100</v>
      </c>
      <c r="S577">
        <f t="shared" si="122"/>
        <v>6.25</v>
      </c>
      <c r="T577">
        <f t="shared" si="123"/>
        <v>0</v>
      </c>
      <c r="U577">
        <f t="shared" si="121"/>
        <v>1</v>
      </c>
      <c r="V577">
        <f t="shared" si="124"/>
        <v>1</v>
      </c>
      <c r="W577">
        <f t="shared" si="125"/>
        <v>0</v>
      </c>
      <c r="X577">
        <f t="shared" si="134"/>
        <v>1</v>
      </c>
      <c r="Y577">
        <f t="shared" si="135"/>
        <v>0</v>
      </c>
      <c r="Z577">
        <f t="shared" si="126"/>
        <v>10</v>
      </c>
      <c r="AA577">
        <f t="shared" si="127"/>
        <v>7.5</v>
      </c>
      <c r="AB577">
        <f t="shared" si="128"/>
        <v>2.8571428571428572</v>
      </c>
      <c r="AC577">
        <f t="shared" si="129"/>
        <v>0</v>
      </c>
      <c r="AD577" s="1">
        <f t="shared" si="130"/>
        <v>0</v>
      </c>
      <c r="AE577">
        <f t="shared" si="131"/>
        <v>0</v>
      </c>
      <c r="AF577">
        <f t="shared" si="132"/>
        <v>0</v>
      </c>
      <c r="AG577">
        <f t="shared" si="133"/>
        <v>0</v>
      </c>
    </row>
    <row r="578" spans="1:33" x14ac:dyDescent="0.25">
      <c r="A578" t="s">
        <v>1049</v>
      </c>
      <c r="B578" t="s">
        <v>1050</v>
      </c>
      <c r="C578">
        <v>165110</v>
      </c>
      <c r="D578">
        <v>165110</v>
      </c>
      <c r="H578">
        <v>0</v>
      </c>
      <c r="I578">
        <v>30</v>
      </c>
      <c r="J578">
        <v>20</v>
      </c>
      <c r="K578">
        <v>10</v>
      </c>
      <c r="L578">
        <v>0</v>
      </c>
      <c r="M578">
        <v>60</v>
      </c>
      <c r="S578">
        <f t="shared" si="122"/>
        <v>0</v>
      </c>
      <c r="T578">
        <f t="shared" si="123"/>
        <v>5</v>
      </c>
      <c r="U578">
        <f t="shared" ref="U578:U641" si="136">IF(AND(E578="",F578="",G578="",H578="",I578="",J578="",K578="",L578="",M578=""),0,1)</f>
        <v>1</v>
      </c>
      <c r="V578">
        <f t="shared" si="124"/>
        <v>0</v>
      </c>
      <c r="W578">
        <f t="shared" si="125"/>
        <v>1</v>
      </c>
      <c r="X578">
        <f t="shared" si="134"/>
        <v>0</v>
      </c>
      <c r="Y578">
        <f t="shared" si="135"/>
        <v>0</v>
      </c>
      <c r="Z578">
        <f t="shared" si="126"/>
        <v>0</v>
      </c>
      <c r="AA578">
        <f t="shared" si="127"/>
        <v>0</v>
      </c>
      <c r="AB578">
        <f t="shared" si="128"/>
        <v>0</v>
      </c>
      <c r="AC578">
        <f t="shared" si="129"/>
        <v>0</v>
      </c>
      <c r="AD578" s="1">
        <f t="shared" si="130"/>
        <v>5</v>
      </c>
      <c r="AE578">
        <f t="shared" si="131"/>
        <v>10</v>
      </c>
      <c r="AF578">
        <f t="shared" si="132"/>
        <v>10</v>
      </c>
      <c r="AG578">
        <f t="shared" si="133"/>
        <v>0</v>
      </c>
    </row>
    <row r="579" spans="1:33" x14ac:dyDescent="0.25">
      <c r="A579" t="s">
        <v>1051</v>
      </c>
      <c r="B579" t="s">
        <v>1052</v>
      </c>
      <c r="C579">
        <v>166885</v>
      </c>
      <c r="D579">
        <v>166885</v>
      </c>
      <c r="E579">
        <v>20</v>
      </c>
      <c r="F579">
        <v>20</v>
      </c>
      <c r="G579">
        <v>50</v>
      </c>
      <c r="O579">
        <v>90</v>
      </c>
      <c r="S579">
        <f t="shared" ref="S579:S642" si="137">O579/16</f>
        <v>5.625</v>
      </c>
      <c r="T579">
        <f t="shared" ref="T579:T642" si="138">M579/12</f>
        <v>0</v>
      </c>
      <c r="U579">
        <f t="shared" si="136"/>
        <v>1</v>
      </c>
      <c r="V579">
        <f t="shared" ref="V579:V642" si="139">IF(O579="",0,1)</f>
        <v>1</v>
      </c>
      <c r="W579">
        <f t="shared" ref="W579:W642" si="140">IF(M579="",0,1)</f>
        <v>0</v>
      </c>
      <c r="X579">
        <f t="shared" si="134"/>
        <v>0</v>
      </c>
      <c r="Y579">
        <f t="shared" si="135"/>
        <v>0</v>
      </c>
      <c r="Z579">
        <f t="shared" ref="Z579:Z642" si="141">E579/5</f>
        <v>4</v>
      </c>
      <c r="AA579">
        <f t="shared" ref="AA579:AA642" si="142">F579/4</f>
        <v>5</v>
      </c>
      <c r="AB579">
        <f t="shared" ref="AB579:AB642" si="143">G579/7</f>
        <v>7.1428571428571432</v>
      </c>
      <c r="AC579">
        <f t="shared" ref="AC579:AC642" si="144">H579/2</f>
        <v>0</v>
      </c>
      <c r="AD579" s="1">
        <f t="shared" ref="AD579:AD642" si="145">I579/6</f>
        <v>0</v>
      </c>
      <c r="AE579">
        <f t="shared" ref="AE579:AE642" si="146">J579/2</f>
        <v>0</v>
      </c>
      <c r="AF579">
        <f t="shared" ref="AF579:AF642" si="147">K579</f>
        <v>0</v>
      </c>
      <c r="AG579">
        <f t="shared" ref="AG579:AG642" si="148">L579</f>
        <v>0</v>
      </c>
    </row>
    <row r="580" spans="1:33" x14ac:dyDescent="0.25">
      <c r="A580" t="s">
        <v>1053</v>
      </c>
      <c r="B580" t="s">
        <v>93</v>
      </c>
      <c r="C580">
        <v>168511</v>
      </c>
      <c r="D580">
        <v>168511</v>
      </c>
      <c r="H580">
        <v>10</v>
      </c>
      <c r="I580">
        <v>40</v>
      </c>
      <c r="J580">
        <v>20</v>
      </c>
      <c r="K580">
        <v>10</v>
      </c>
      <c r="L580">
        <v>10</v>
      </c>
      <c r="M580">
        <v>90</v>
      </c>
      <c r="S580">
        <f t="shared" si="137"/>
        <v>0</v>
      </c>
      <c r="T580">
        <f t="shared" si="138"/>
        <v>7.5</v>
      </c>
      <c r="U580">
        <f t="shared" si="136"/>
        <v>1</v>
      </c>
      <c r="V580">
        <f t="shared" si="139"/>
        <v>0</v>
      </c>
      <c r="W580">
        <f t="shared" si="140"/>
        <v>1</v>
      </c>
      <c r="X580">
        <f t="shared" si="134"/>
        <v>0</v>
      </c>
      <c r="Y580">
        <f t="shared" si="135"/>
        <v>1</v>
      </c>
      <c r="Z580">
        <f t="shared" si="141"/>
        <v>0</v>
      </c>
      <c r="AA580">
        <f t="shared" si="142"/>
        <v>0</v>
      </c>
      <c r="AB580">
        <f t="shared" si="143"/>
        <v>0</v>
      </c>
      <c r="AC580">
        <f t="shared" si="144"/>
        <v>5</v>
      </c>
      <c r="AD580" s="1">
        <f t="shared" si="145"/>
        <v>6.666666666666667</v>
      </c>
      <c r="AE580">
        <f t="shared" si="146"/>
        <v>10</v>
      </c>
      <c r="AF580">
        <f t="shared" si="147"/>
        <v>10</v>
      </c>
      <c r="AG580">
        <f t="shared" si="148"/>
        <v>10</v>
      </c>
    </row>
    <row r="581" spans="1:33" x14ac:dyDescent="0.25">
      <c r="A581" t="s">
        <v>1054</v>
      </c>
      <c r="B581" t="s">
        <v>1055</v>
      </c>
      <c r="C581">
        <v>168548</v>
      </c>
      <c r="D581">
        <v>168548</v>
      </c>
      <c r="H581">
        <v>10</v>
      </c>
      <c r="I581">
        <v>30</v>
      </c>
      <c r="J581">
        <v>20</v>
      </c>
      <c r="K581">
        <v>0</v>
      </c>
      <c r="L581">
        <v>0</v>
      </c>
      <c r="M581">
        <v>60</v>
      </c>
      <c r="S581">
        <f t="shared" si="137"/>
        <v>0</v>
      </c>
      <c r="T581">
        <f t="shared" si="138"/>
        <v>5</v>
      </c>
      <c r="U581">
        <f t="shared" si="136"/>
        <v>1</v>
      </c>
      <c r="V581">
        <f t="shared" si="139"/>
        <v>0</v>
      </c>
      <c r="W581">
        <f t="shared" si="140"/>
        <v>1</v>
      </c>
      <c r="X581">
        <f t="shared" ref="X581:X644" si="149">IF(AND(V581=1,S581&gt;6),1,0)</f>
        <v>0</v>
      </c>
      <c r="Y581">
        <f t="shared" ref="Y581:Y644" si="150">IF(AND(W581=1,T581&gt;6),1,0)</f>
        <v>0</v>
      </c>
      <c r="Z581">
        <f t="shared" si="141"/>
        <v>0</v>
      </c>
      <c r="AA581">
        <f t="shared" si="142"/>
        <v>0</v>
      </c>
      <c r="AB581">
        <f t="shared" si="143"/>
        <v>0</v>
      </c>
      <c r="AC581">
        <f t="shared" si="144"/>
        <v>5</v>
      </c>
      <c r="AD581" s="1">
        <f t="shared" si="145"/>
        <v>5</v>
      </c>
      <c r="AE581">
        <f t="shared" si="146"/>
        <v>10</v>
      </c>
      <c r="AF581">
        <f t="shared" si="147"/>
        <v>0</v>
      </c>
      <c r="AG581">
        <f t="shared" si="148"/>
        <v>0</v>
      </c>
    </row>
    <row r="582" spans="1:33" x14ac:dyDescent="0.25">
      <c r="A582" t="s">
        <v>1056</v>
      </c>
      <c r="B582" t="s">
        <v>1057</v>
      </c>
      <c r="C582">
        <v>154609</v>
      </c>
      <c r="D582">
        <v>154609</v>
      </c>
      <c r="E582">
        <v>20</v>
      </c>
      <c r="F582">
        <v>20</v>
      </c>
      <c r="G582">
        <v>10</v>
      </c>
      <c r="O582">
        <v>50</v>
      </c>
      <c r="S582">
        <f t="shared" si="137"/>
        <v>3.125</v>
      </c>
      <c r="T582">
        <f t="shared" si="138"/>
        <v>0</v>
      </c>
      <c r="U582">
        <f t="shared" si="136"/>
        <v>1</v>
      </c>
      <c r="V582">
        <f t="shared" si="139"/>
        <v>1</v>
      </c>
      <c r="W582">
        <f t="shared" si="140"/>
        <v>0</v>
      </c>
      <c r="X582">
        <f t="shared" si="149"/>
        <v>0</v>
      </c>
      <c r="Y582">
        <f t="shared" si="150"/>
        <v>0</v>
      </c>
      <c r="Z582">
        <f t="shared" si="141"/>
        <v>4</v>
      </c>
      <c r="AA582">
        <f t="shared" si="142"/>
        <v>5</v>
      </c>
      <c r="AB582">
        <f t="shared" si="143"/>
        <v>1.4285714285714286</v>
      </c>
      <c r="AC582">
        <f t="shared" si="144"/>
        <v>0</v>
      </c>
      <c r="AD582" s="1">
        <f t="shared" si="145"/>
        <v>0</v>
      </c>
      <c r="AE582">
        <f t="shared" si="146"/>
        <v>0</v>
      </c>
      <c r="AF582">
        <f t="shared" si="147"/>
        <v>0</v>
      </c>
      <c r="AG582">
        <f t="shared" si="148"/>
        <v>0</v>
      </c>
    </row>
    <row r="583" spans="1:33" x14ac:dyDescent="0.25">
      <c r="A583" t="s">
        <v>1058</v>
      </c>
      <c r="B583" t="s">
        <v>1059</v>
      </c>
      <c r="C583">
        <v>168871</v>
      </c>
      <c r="D583">
        <v>168871</v>
      </c>
      <c r="H583">
        <v>20</v>
      </c>
      <c r="I583">
        <v>50</v>
      </c>
      <c r="J583">
        <v>20</v>
      </c>
      <c r="K583">
        <v>10</v>
      </c>
      <c r="L583">
        <v>0</v>
      </c>
      <c r="M583">
        <v>100</v>
      </c>
      <c r="S583">
        <f t="shared" si="137"/>
        <v>0</v>
      </c>
      <c r="T583">
        <f t="shared" si="138"/>
        <v>8.3333333333333339</v>
      </c>
      <c r="U583">
        <f t="shared" si="136"/>
        <v>1</v>
      </c>
      <c r="V583">
        <f t="shared" si="139"/>
        <v>0</v>
      </c>
      <c r="W583">
        <f t="shared" si="140"/>
        <v>1</v>
      </c>
      <c r="X583">
        <f t="shared" si="149"/>
        <v>0</v>
      </c>
      <c r="Y583">
        <f t="shared" si="150"/>
        <v>1</v>
      </c>
      <c r="Z583">
        <f t="shared" si="141"/>
        <v>0</v>
      </c>
      <c r="AA583">
        <f t="shared" si="142"/>
        <v>0</v>
      </c>
      <c r="AB583">
        <f t="shared" si="143"/>
        <v>0</v>
      </c>
      <c r="AC583">
        <f t="shared" si="144"/>
        <v>10</v>
      </c>
      <c r="AD583" s="1">
        <f t="shared" si="145"/>
        <v>8.3333333333333339</v>
      </c>
      <c r="AE583">
        <f t="shared" si="146"/>
        <v>10</v>
      </c>
      <c r="AF583">
        <f t="shared" si="147"/>
        <v>10</v>
      </c>
      <c r="AG583">
        <f t="shared" si="148"/>
        <v>0</v>
      </c>
    </row>
    <row r="584" spans="1:33" x14ac:dyDescent="0.25">
      <c r="A584" t="s">
        <v>1060</v>
      </c>
      <c r="B584" t="s">
        <v>486</v>
      </c>
      <c r="C584">
        <v>168093</v>
      </c>
      <c r="D584">
        <v>168093</v>
      </c>
      <c r="S584">
        <f t="shared" si="137"/>
        <v>0</v>
      </c>
      <c r="T584">
        <f t="shared" si="138"/>
        <v>0</v>
      </c>
      <c r="U584">
        <f t="shared" si="136"/>
        <v>0</v>
      </c>
      <c r="V584">
        <f t="shared" si="139"/>
        <v>0</v>
      </c>
      <c r="W584">
        <f t="shared" si="140"/>
        <v>0</v>
      </c>
      <c r="X584">
        <f t="shared" si="149"/>
        <v>0</v>
      </c>
      <c r="Y584">
        <f t="shared" si="150"/>
        <v>0</v>
      </c>
      <c r="Z584">
        <f t="shared" si="141"/>
        <v>0</v>
      </c>
      <c r="AA584">
        <f t="shared" si="142"/>
        <v>0</v>
      </c>
      <c r="AB584">
        <f t="shared" si="143"/>
        <v>0</v>
      </c>
      <c r="AC584">
        <f t="shared" si="144"/>
        <v>0</v>
      </c>
      <c r="AD584" s="1">
        <f t="shared" si="145"/>
        <v>0</v>
      </c>
      <c r="AE584">
        <f t="shared" si="146"/>
        <v>0</v>
      </c>
      <c r="AF584">
        <f t="shared" si="147"/>
        <v>0</v>
      </c>
      <c r="AG584">
        <f t="shared" si="148"/>
        <v>0</v>
      </c>
    </row>
    <row r="585" spans="1:33" x14ac:dyDescent="0.25">
      <c r="A585" t="s">
        <v>1061</v>
      </c>
      <c r="B585" t="s">
        <v>1043</v>
      </c>
      <c r="C585">
        <v>166321</v>
      </c>
      <c r="D585">
        <v>166321</v>
      </c>
      <c r="H585">
        <v>0</v>
      </c>
      <c r="I585">
        <v>40</v>
      </c>
      <c r="J585">
        <v>20</v>
      </c>
      <c r="K585">
        <v>0</v>
      </c>
      <c r="L585">
        <v>0</v>
      </c>
      <c r="M585">
        <v>60</v>
      </c>
      <c r="S585">
        <f t="shared" si="137"/>
        <v>0</v>
      </c>
      <c r="T585">
        <f t="shared" si="138"/>
        <v>5</v>
      </c>
      <c r="U585">
        <f t="shared" si="136"/>
        <v>1</v>
      </c>
      <c r="V585">
        <f t="shared" si="139"/>
        <v>0</v>
      </c>
      <c r="W585">
        <f t="shared" si="140"/>
        <v>1</v>
      </c>
      <c r="X585">
        <f t="shared" si="149"/>
        <v>0</v>
      </c>
      <c r="Y585">
        <f t="shared" si="150"/>
        <v>0</v>
      </c>
      <c r="Z585">
        <f t="shared" si="141"/>
        <v>0</v>
      </c>
      <c r="AA585">
        <f t="shared" si="142"/>
        <v>0</v>
      </c>
      <c r="AB585">
        <f t="shared" si="143"/>
        <v>0</v>
      </c>
      <c r="AC585">
        <f t="shared" si="144"/>
        <v>0</v>
      </c>
      <c r="AD585" s="1">
        <f t="shared" si="145"/>
        <v>6.666666666666667</v>
      </c>
      <c r="AE585">
        <f t="shared" si="146"/>
        <v>10</v>
      </c>
      <c r="AF585">
        <f t="shared" si="147"/>
        <v>0</v>
      </c>
      <c r="AG585">
        <f t="shared" si="148"/>
        <v>0</v>
      </c>
    </row>
    <row r="586" spans="1:33" x14ac:dyDescent="0.25">
      <c r="A586" t="s">
        <v>1062</v>
      </c>
      <c r="B586" t="s">
        <v>1063</v>
      </c>
      <c r="C586">
        <v>164551</v>
      </c>
      <c r="D586">
        <v>164551</v>
      </c>
      <c r="S586">
        <f t="shared" si="137"/>
        <v>0</v>
      </c>
      <c r="T586">
        <f t="shared" si="138"/>
        <v>0</v>
      </c>
      <c r="U586">
        <f t="shared" si="136"/>
        <v>0</v>
      </c>
      <c r="V586">
        <f t="shared" si="139"/>
        <v>0</v>
      </c>
      <c r="W586">
        <f t="shared" si="140"/>
        <v>0</v>
      </c>
      <c r="X586">
        <f t="shared" si="149"/>
        <v>0</v>
      </c>
      <c r="Y586">
        <f t="shared" si="150"/>
        <v>0</v>
      </c>
      <c r="Z586">
        <f t="shared" si="141"/>
        <v>0</v>
      </c>
      <c r="AA586">
        <f t="shared" si="142"/>
        <v>0</v>
      </c>
      <c r="AB586">
        <f t="shared" si="143"/>
        <v>0</v>
      </c>
      <c r="AC586">
        <f t="shared" si="144"/>
        <v>0</v>
      </c>
      <c r="AD586" s="1">
        <f t="shared" si="145"/>
        <v>0</v>
      </c>
      <c r="AE586">
        <f t="shared" si="146"/>
        <v>0</v>
      </c>
      <c r="AF586">
        <f t="shared" si="147"/>
        <v>0</v>
      </c>
      <c r="AG586">
        <f t="shared" si="148"/>
        <v>0</v>
      </c>
    </row>
    <row r="587" spans="1:33" x14ac:dyDescent="0.25">
      <c r="A587" t="s">
        <v>1064</v>
      </c>
      <c r="B587" t="s">
        <v>1065</v>
      </c>
      <c r="C587">
        <v>168100</v>
      </c>
      <c r="D587">
        <v>168100</v>
      </c>
      <c r="E587">
        <v>10</v>
      </c>
      <c r="F587">
        <v>20</v>
      </c>
      <c r="G587">
        <v>30</v>
      </c>
      <c r="O587">
        <v>60</v>
      </c>
      <c r="S587">
        <f t="shared" si="137"/>
        <v>3.75</v>
      </c>
      <c r="T587">
        <f t="shared" si="138"/>
        <v>0</v>
      </c>
      <c r="U587">
        <f t="shared" si="136"/>
        <v>1</v>
      </c>
      <c r="V587">
        <f t="shared" si="139"/>
        <v>1</v>
      </c>
      <c r="W587">
        <f t="shared" si="140"/>
        <v>0</v>
      </c>
      <c r="X587">
        <f t="shared" si="149"/>
        <v>0</v>
      </c>
      <c r="Y587">
        <f t="shared" si="150"/>
        <v>0</v>
      </c>
      <c r="Z587">
        <f t="shared" si="141"/>
        <v>2</v>
      </c>
      <c r="AA587">
        <f t="shared" si="142"/>
        <v>5</v>
      </c>
      <c r="AB587">
        <f t="shared" si="143"/>
        <v>4.2857142857142856</v>
      </c>
      <c r="AC587">
        <f t="shared" si="144"/>
        <v>0</v>
      </c>
      <c r="AD587" s="1">
        <f t="shared" si="145"/>
        <v>0</v>
      </c>
      <c r="AE587">
        <f t="shared" si="146"/>
        <v>0</v>
      </c>
      <c r="AF587">
        <f t="shared" si="147"/>
        <v>0</v>
      </c>
      <c r="AG587">
        <f t="shared" si="148"/>
        <v>0</v>
      </c>
    </row>
    <row r="588" spans="1:33" x14ac:dyDescent="0.25">
      <c r="A588" t="s">
        <v>1064</v>
      </c>
      <c r="B588" t="s">
        <v>1066</v>
      </c>
      <c r="C588">
        <v>164647</v>
      </c>
      <c r="D588">
        <v>164647</v>
      </c>
      <c r="E588">
        <v>40</v>
      </c>
      <c r="O588">
        <v>40</v>
      </c>
      <c r="S588">
        <f t="shared" si="137"/>
        <v>2.5</v>
      </c>
      <c r="T588">
        <f t="shared" si="138"/>
        <v>0</v>
      </c>
      <c r="U588">
        <f t="shared" si="136"/>
        <v>1</v>
      </c>
      <c r="V588">
        <f t="shared" si="139"/>
        <v>1</v>
      </c>
      <c r="W588">
        <f t="shared" si="140"/>
        <v>0</v>
      </c>
      <c r="X588">
        <f t="shared" si="149"/>
        <v>0</v>
      </c>
      <c r="Y588">
        <f t="shared" si="150"/>
        <v>0</v>
      </c>
      <c r="Z588">
        <f t="shared" si="141"/>
        <v>8</v>
      </c>
      <c r="AA588">
        <f t="shared" si="142"/>
        <v>0</v>
      </c>
      <c r="AB588">
        <f t="shared" si="143"/>
        <v>0</v>
      </c>
      <c r="AC588">
        <f t="shared" si="144"/>
        <v>0</v>
      </c>
      <c r="AD588" s="1">
        <f t="shared" si="145"/>
        <v>0</v>
      </c>
      <c r="AE588">
        <f t="shared" si="146"/>
        <v>0</v>
      </c>
      <c r="AF588">
        <f t="shared" si="147"/>
        <v>0</v>
      </c>
      <c r="AG588">
        <f t="shared" si="148"/>
        <v>0</v>
      </c>
    </row>
    <row r="589" spans="1:33" x14ac:dyDescent="0.25">
      <c r="A589" t="s">
        <v>1067</v>
      </c>
      <c r="B589" t="s">
        <v>1068</v>
      </c>
      <c r="C589">
        <v>166540</v>
      </c>
      <c r="D589">
        <v>166540</v>
      </c>
      <c r="H589">
        <v>10</v>
      </c>
      <c r="I589">
        <v>50</v>
      </c>
      <c r="J589">
        <v>10</v>
      </c>
      <c r="K589">
        <v>0</v>
      </c>
      <c r="L589">
        <v>0</v>
      </c>
      <c r="M589">
        <v>70</v>
      </c>
      <c r="S589">
        <f t="shared" si="137"/>
        <v>0</v>
      </c>
      <c r="T589">
        <f t="shared" si="138"/>
        <v>5.833333333333333</v>
      </c>
      <c r="U589">
        <f t="shared" si="136"/>
        <v>1</v>
      </c>
      <c r="V589">
        <f t="shared" si="139"/>
        <v>0</v>
      </c>
      <c r="W589">
        <f t="shared" si="140"/>
        <v>1</v>
      </c>
      <c r="X589">
        <f t="shared" si="149"/>
        <v>0</v>
      </c>
      <c r="Y589">
        <f t="shared" si="150"/>
        <v>0</v>
      </c>
      <c r="Z589">
        <f t="shared" si="141"/>
        <v>0</v>
      </c>
      <c r="AA589">
        <f t="shared" si="142"/>
        <v>0</v>
      </c>
      <c r="AB589">
        <f t="shared" si="143"/>
        <v>0</v>
      </c>
      <c r="AC589">
        <f t="shared" si="144"/>
        <v>5</v>
      </c>
      <c r="AD589" s="1">
        <f t="shared" si="145"/>
        <v>8.3333333333333339</v>
      </c>
      <c r="AE589">
        <f t="shared" si="146"/>
        <v>5</v>
      </c>
      <c r="AF589">
        <f t="shared" si="147"/>
        <v>0</v>
      </c>
      <c r="AG589">
        <f t="shared" si="148"/>
        <v>0</v>
      </c>
    </row>
    <row r="590" spans="1:33" x14ac:dyDescent="0.25">
      <c r="A590" t="s">
        <v>1069</v>
      </c>
      <c r="B590" t="s">
        <v>1070</v>
      </c>
      <c r="C590">
        <v>162900</v>
      </c>
      <c r="D590">
        <v>162900</v>
      </c>
      <c r="S590">
        <f t="shared" si="137"/>
        <v>0</v>
      </c>
      <c r="T590">
        <f t="shared" si="138"/>
        <v>0</v>
      </c>
      <c r="U590">
        <f t="shared" si="136"/>
        <v>0</v>
      </c>
      <c r="V590">
        <f t="shared" si="139"/>
        <v>0</v>
      </c>
      <c r="W590">
        <f t="shared" si="140"/>
        <v>0</v>
      </c>
      <c r="X590">
        <f t="shared" si="149"/>
        <v>0</v>
      </c>
      <c r="Y590">
        <f t="shared" si="150"/>
        <v>0</v>
      </c>
      <c r="Z590">
        <f t="shared" si="141"/>
        <v>0</v>
      </c>
      <c r="AA590">
        <f t="shared" si="142"/>
        <v>0</v>
      </c>
      <c r="AB590">
        <f t="shared" si="143"/>
        <v>0</v>
      </c>
      <c r="AC590">
        <f t="shared" si="144"/>
        <v>0</v>
      </c>
      <c r="AD590" s="1">
        <f t="shared" si="145"/>
        <v>0</v>
      </c>
      <c r="AE590">
        <f t="shared" si="146"/>
        <v>0</v>
      </c>
      <c r="AF590">
        <f t="shared" si="147"/>
        <v>0</v>
      </c>
      <c r="AG590">
        <f t="shared" si="148"/>
        <v>0</v>
      </c>
    </row>
    <row r="591" spans="1:33" x14ac:dyDescent="0.25">
      <c r="A591" t="s">
        <v>1071</v>
      </c>
      <c r="B591" t="s">
        <v>228</v>
      </c>
      <c r="C591">
        <v>168827</v>
      </c>
      <c r="D591">
        <v>168827</v>
      </c>
      <c r="H591">
        <v>0</v>
      </c>
      <c r="I591">
        <v>20</v>
      </c>
      <c r="J591">
        <v>20</v>
      </c>
      <c r="K591">
        <v>10</v>
      </c>
      <c r="L591">
        <v>0</v>
      </c>
      <c r="M591">
        <v>50</v>
      </c>
      <c r="S591">
        <f t="shared" si="137"/>
        <v>0</v>
      </c>
      <c r="T591">
        <f t="shared" si="138"/>
        <v>4.166666666666667</v>
      </c>
      <c r="U591">
        <f t="shared" si="136"/>
        <v>1</v>
      </c>
      <c r="V591">
        <f t="shared" si="139"/>
        <v>0</v>
      </c>
      <c r="W591">
        <f t="shared" si="140"/>
        <v>1</v>
      </c>
      <c r="X591">
        <f t="shared" si="149"/>
        <v>0</v>
      </c>
      <c r="Y591">
        <f t="shared" si="150"/>
        <v>0</v>
      </c>
      <c r="Z591">
        <f t="shared" si="141"/>
        <v>0</v>
      </c>
      <c r="AA591">
        <f t="shared" si="142"/>
        <v>0</v>
      </c>
      <c r="AB591">
        <f t="shared" si="143"/>
        <v>0</v>
      </c>
      <c r="AC591">
        <f t="shared" si="144"/>
        <v>0</v>
      </c>
      <c r="AD591" s="1">
        <f t="shared" si="145"/>
        <v>3.3333333333333335</v>
      </c>
      <c r="AE591">
        <f t="shared" si="146"/>
        <v>10</v>
      </c>
      <c r="AF591">
        <f t="shared" si="147"/>
        <v>10</v>
      </c>
      <c r="AG591">
        <f t="shared" si="148"/>
        <v>0</v>
      </c>
    </row>
    <row r="592" spans="1:33" x14ac:dyDescent="0.25">
      <c r="A592" t="s">
        <v>1071</v>
      </c>
      <c r="B592" t="s">
        <v>1072</v>
      </c>
      <c r="C592">
        <v>168905</v>
      </c>
      <c r="D592">
        <v>168905</v>
      </c>
      <c r="H592">
        <v>10</v>
      </c>
      <c r="I592">
        <v>50</v>
      </c>
      <c r="J592">
        <v>10</v>
      </c>
      <c r="K592">
        <v>10</v>
      </c>
      <c r="L592">
        <v>10</v>
      </c>
      <c r="M592">
        <v>90</v>
      </c>
      <c r="S592">
        <f t="shared" si="137"/>
        <v>0</v>
      </c>
      <c r="T592">
        <f t="shared" si="138"/>
        <v>7.5</v>
      </c>
      <c r="U592">
        <f t="shared" si="136"/>
        <v>1</v>
      </c>
      <c r="V592">
        <f t="shared" si="139"/>
        <v>0</v>
      </c>
      <c r="W592">
        <f t="shared" si="140"/>
        <v>1</v>
      </c>
      <c r="X592">
        <f t="shared" si="149"/>
        <v>0</v>
      </c>
      <c r="Y592">
        <f t="shared" si="150"/>
        <v>1</v>
      </c>
      <c r="Z592">
        <f t="shared" si="141"/>
        <v>0</v>
      </c>
      <c r="AA592">
        <f t="shared" si="142"/>
        <v>0</v>
      </c>
      <c r="AB592">
        <f t="shared" si="143"/>
        <v>0</v>
      </c>
      <c r="AC592">
        <f t="shared" si="144"/>
        <v>5</v>
      </c>
      <c r="AD592" s="1">
        <f t="shared" si="145"/>
        <v>8.3333333333333339</v>
      </c>
      <c r="AE592">
        <f t="shared" si="146"/>
        <v>5</v>
      </c>
      <c r="AF592">
        <f t="shared" si="147"/>
        <v>10</v>
      </c>
      <c r="AG592">
        <f t="shared" si="148"/>
        <v>10</v>
      </c>
    </row>
    <row r="593" spans="1:33" x14ac:dyDescent="0.25">
      <c r="A593" t="s">
        <v>1073</v>
      </c>
      <c r="B593" t="s">
        <v>830</v>
      </c>
      <c r="C593">
        <v>168308</v>
      </c>
      <c r="D593">
        <v>168308</v>
      </c>
      <c r="H593">
        <v>0</v>
      </c>
      <c r="I593">
        <v>50</v>
      </c>
      <c r="J593">
        <v>0</v>
      </c>
      <c r="K593">
        <v>0</v>
      </c>
      <c r="L593">
        <v>10</v>
      </c>
      <c r="M593">
        <v>60</v>
      </c>
      <c r="S593">
        <f t="shared" si="137"/>
        <v>0</v>
      </c>
      <c r="T593">
        <f t="shared" si="138"/>
        <v>5</v>
      </c>
      <c r="U593">
        <f t="shared" si="136"/>
        <v>1</v>
      </c>
      <c r="V593">
        <f t="shared" si="139"/>
        <v>0</v>
      </c>
      <c r="W593">
        <f t="shared" si="140"/>
        <v>1</v>
      </c>
      <c r="X593">
        <f t="shared" si="149"/>
        <v>0</v>
      </c>
      <c r="Y593">
        <f t="shared" si="150"/>
        <v>0</v>
      </c>
      <c r="Z593">
        <f t="shared" si="141"/>
        <v>0</v>
      </c>
      <c r="AA593">
        <f t="shared" si="142"/>
        <v>0</v>
      </c>
      <c r="AB593">
        <f t="shared" si="143"/>
        <v>0</v>
      </c>
      <c r="AC593">
        <f t="shared" si="144"/>
        <v>0</v>
      </c>
      <c r="AD593" s="1">
        <f t="shared" si="145"/>
        <v>8.3333333333333339</v>
      </c>
      <c r="AE593">
        <f t="shared" si="146"/>
        <v>0</v>
      </c>
      <c r="AF593">
        <f t="shared" si="147"/>
        <v>0</v>
      </c>
      <c r="AG593">
        <f t="shared" si="148"/>
        <v>10</v>
      </c>
    </row>
    <row r="594" spans="1:33" x14ac:dyDescent="0.25">
      <c r="A594" t="s">
        <v>1074</v>
      </c>
      <c r="B594" t="s">
        <v>1075</v>
      </c>
      <c r="C594">
        <v>164862</v>
      </c>
      <c r="D594">
        <v>164862</v>
      </c>
      <c r="E594">
        <v>10</v>
      </c>
      <c r="F594">
        <v>10</v>
      </c>
      <c r="G594">
        <v>10</v>
      </c>
      <c r="O594">
        <v>30</v>
      </c>
      <c r="S594">
        <f t="shared" si="137"/>
        <v>1.875</v>
      </c>
      <c r="T594">
        <f t="shared" si="138"/>
        <v>0</v>
      </c>
      <c r="U594">
        <f t="shared" si="136"/>
        <v>1</v>
      </c>
      <c r="V594">
        <f t="shared" si="139"/>
        <v>1</v>
      </c>
      <c r="W594">
        <f t="shared" si="140"/>
        <v>0</v>
      </c>
      <c r="X594">
        <f t="shared" si="149"/>
        <v>0</v>
      </c>
      <c r="Y594">
        <f t="shared" si="150"/>
        <v>0</v>
      </c>
      <c r="Z594">
        <f t="shared" si="141"/>
        <v>2</v>
      </c>
      <c r="AA594">
        <f t="shared" si="142"/>
        <v>2.5</v>
      </c>
      <c r="AB594">
        <f t="shared" si="143"/>
        <v>1.4285714285714286</v>
      </c>
      <c r="AC594">
        <f t="shared" si="144"/>
        <v>0</v>
      </c>
      <c r="AD594" s="1">
        <f t="shared" si="145"/>
        <v>0</v>
      </c>
      <c r="AE594">
        <f t="shared" si="146"/>
        <v>0</v>
      </c>
      <c r="AF594">
        <f t="shared" si="147"/>
        <v>0</v>
      </c>
      <c r="AG594">
        <f t="shared" si="148"/>
        <v>0</v>
      </c>
    </row>
    <row r="595" spans="1:33" x14ac:dyDescent="0.25">
      <c r="A595" t="s">
        <v>1076</v>
      </c>
      <c r="B595" t="s">
        <v>270</v>
      </c>
      <c r="C595">
        <v>167454</v>
      </c>
      <c r="D595">
        <v>167454</v>
      </c>
      <c r="H595">
        <v>0</v>
      </c>
      <c r="I595">
        <v>20</v>
      </c>
      <c r="J595">
        <v>20</v>
      </c>
      <c r="K595">
        <v>0</v>
      </c>
      <c r="L595">
        <v>10</v>
      </c>
      <c r="M595">
        <v>50</v>
      </c>
      <c r="S595">
        <f t="shared" si="137"/>
        <v>0</v>
      </c>
      <c r="T595">
        <f t="shared" si="138"/>
        <v>4.166666666666667</v>
      </c>
      <c r="U595">
        <f t="shared" si="136"/>
        <v>1</v>
      </c>
      <c r="V595">
        <f t="shared" si="139"/>
        <v>0</v>
      </c>
      <c r="W595">
        <f t="shared" si="140"/>
        <v>1</v>
      </c>
      <c r="X595">
        <f t="shared" si="149"/>
        <v>0</v>
      </c>
      <c r="Y595">
        <f t="shared" si="150"/>
        <v>0</v>
      </c>
      <c r="Z595">
        <f t="shared" si="141"/>
        <v>0</v>
      </c>
      <c r="AA595">
        <f t="shared" si="142"/>
        <v>0</v>
      </c>
      <c r="AB595">
        <f t="shared" si="143"/>
        <v>0</v>
      </c>
      <c r="AC595">
        <f t="shared" si="144"/>
        <v>0</v>
      </c>
      <c r="AD595" s="1">
        <f t="shared" si="145"/>
        <v>3.3333333333333335</v>
      </c>
      <c r="AE595">
        <f t="shared" si="146"/>
        <v>10</v>
      </c>
      <c r="AF595">
        <f t="shared" si="147"/>
        <v>0</v>
      </c>
      <c r="AG595">
        <f t="shared" si="148"/>
        <v>10</v>
      </c>
    </row>
    <row r="596" spans="1:33" x14ac:dyDescent="0.25">
      <c r="A596" t="s">
        <v>1077</v>
      </c>
      <c r="B596" t="s">
        <v>1078</v>
      </c>
      <c r="C596">
        <v>165979</v>
      </c>
      <c r="D596">
        <v>165979</v>
      </c>
      <c r="E596">
        <v>20</v>
      </c>
      <c r="F596">
        <v>20</v>
      </c>
      <c r="G596">
        <v>10</v>
      </c>
      <c r="O596">
        <v>50</v>
      </c>
      <c r="S596">
        <f t="shared" si="137"/>
        <v>3.125</v>
      </c>
      <c r="T596">
        <f t="shared" si="138"/>
        <v>0</v>
      </c>
      <c r="U596">
        <f t="shared" si="136"/>
        <v>1</v>
      </c>
      <c r="V596">
        <f t="shared" si="139"/>
        <v>1</v>
      </c>
      <c r="W596">
        <f t="shared" si="140"/>
        <v>0</v>
      </c>
      <c r="X596">
        <f t="shared" si="149"/>
        <v>0</v>
      </c>
      <c r="Y596">
        <f t="shared" si="150"/>
        <v>0</v>
      </c>
      <c r="Z596">
        <f t="shared" si="141"/>
        <v>4</v>
      </c>
      <c r="AA596">
        <f t="shared" si="142"/>
        <v>5</v>
      </c>
      <c r="AB596">
        <f t="shared" si="143"/>
        <v>1.4285714285714286</v>
      </c>
      <c r="AC596">
        <f t="shared" si="144"/>
        <v>0</v>
      </c>
      <c r="AD596" s="1">
        <f t="shared" si="145"/>
        <v>0</v>
      </c>
      <c r="AE596">
        <f t="shared" si="146"/>
        <v>0</v>
      </c>
      <c r="AF596">
        <f t="shared" si="147"/>
        <v>0</v>
      </c>
      <c r="AG596">
        <f t="shared" si="148"/>
        <v>0</v>
      </c>
    </row>
    <row r="597" spans="1:33" x14ac:dyDescent="0.25">
      <c r="A597" t="s">
        <v>1079</v>
      </c>
      <c r="B597" t="s">
        <v>1080</v>
      </c>
      <c r="C597">
        <v>168672</v>
      </c>
      <c r="D597">
        <v>168672</v>
      </c>
      <c r="S597">
        <f t="shared" si="137"/>
        <v>0</v>
      </c>
      <c r="T597">
        <f t="shared" si="138"/>
        <v>0</v>
      </c>
      <c r="U597">
        <f t="shared" si="136"/>
        <v>0</v>
      </c>
      <c r="V597">
        <f t="shared" si="139"/>
        <v>0</v>
      </c>
      <c r="W597">
        <f t="shared" si="140"/>
        <v>0</v>
      </c>
      <c r="X597">
        <f t="shared" si="149"/>
        <v>0</v>
      </c>
      <c r="Y597">
        <f t="shared" si="150"/>
        <v>0</v>
      </c>
      <c r="Z597">
        <f t="shared" si="141"/>
        <v>0</v>
      </c>
      <c r="AA597">
        <f t="shared" si="142"/>
        <v>0</v>
      </c>
      <c r="AB597">
        <f t="shared" si="143"/>
        <v>0</v>
      </c>
      <c r="AC597">
        <f t="shared" si="144"/>
        <v>0</v>
      </c>
      <c r="AD597" s="1">
        <f t="shared" si="145"/>
        <v>0</v>
      </c>
      <c r="AE597">
        <f t="shared" si="146"/>
        <v>0</v>
      </c>
      <c r="AF597">
        <f t="shared" si="147"/>
        <v>0</v>
      </c>
      <c r="AG597">
        <f t="shared" si="148"/>
        <v>0</v>
      </c>
    </row>
    <row r="598" spans="1:33" x14ac:dyDescent="0.25">
      <c r="A598" t="s">
        <v>1081</v>
      </c>
      <c r="B598" t="s">
        <v>1082</v>
      </c>
      <c r="C598">
        <v>167311</v>
      </c>
      <c r="D598">
        <v>167311</v>
      </c>
      <c r="H598">
        <v>10</v>
      </c>
      <c r="I598">
        <v>30</v>
      </c>
      <c r="J598">
        <v>10</v>
      </c>
      <c r="K598">
        <v>10</v>
      </c>
      <c r="L598">
        <v>10</v>
      </c>
      <c r="M598">
        <v>70</v>
      </c>
      <c r="S598">
        <f t="shared" si="137"/>
        <v>0</v>
      </c>
      <c r="T598">
        <f t="shared" si="138"/>
        <v>5.833333333333333</v>
      </c>
      <c r="U598">
        <f t="shared" si="136"/>
        <v>1</v>
      </c>
      <c r="V598">
        <f t="shared" si="139"/>
        <v>0</v>
      </c>
      <c r="W598">
        <f t="shared" si="140"/>
        <v>1</v>
      </c>
      <c r="X598">
        <f t="shared" si="149"/>
        <v>0</v>
      </c>
      <c r="Y598">
        <f t="shared" si="150"/>
        <v>0</v>
      </c>
      <c r="Z598">
        <f t="shared" si="141"/>
        <v>0</v>
      </c>
      <c r="AA598">
        <f t="shared" si="142"/>
        <v>0</v>
      </c>
      <c r="AB598">
        <f t="shared" si="143"/>
        <v>0</v>
      </c>
      <c r="AC598">
        <f t="shared" si="144"/>
        <v>5</v>
      </c>
      <c r="AD598" s="1">
        <f t="shared" si="145"/>
        <v>5</v>
      </c>
      <c r="AE598">
        <f t="shared" si="146"/>
        <v>5</v>
      </c>
      <c r="AF598">
        <f t="shared" si="147"/>
        <v>10</v>
      </c>
      <c r="AG598">
        <f t="shared" si="148"/>
        <v>10</v>
      </c>
    </row>
    <row r="599" spans="1:33" x14ac:dyDescent="0.25">
      <c r="A599" t="s">
        <v>1083</v>
      </c>
      <c r="B599" t="s">
        <v>197</v>
      </c>
      <c r="C599">
        <v>168060</v>
      </c>
      <c r="D599">
        <v>168060</v>
      </c>
      <c r="E599">
        <v>30</v>
      </c>
      <c r="F599">
        <v>20</v>
      </c>
      <c r="G599">
        <v>40</v>
      </c>
      <c r="O599">
        <v>90</v>
      </c>
      <c r="S599">
        <f t="shared" si="137"/>
        <v>5.625</v>
      </c>
      <c r="T599">
        <f t="shared" si="138"/>
        <v>0</v>
      </c>
      <c r="U599">
        <f t="shared" si="136"/>
        <v>1</v>
      </c>
      <c r="V599">
        <f t="shared" si="139"/>
        <v>1</v>
      </c>
      <c r="W599">
        <f t="shared" si="140"/>
        <v>0</v>
      </c>
      <c r="X599">
        <f t="shared" si="149"/>
        <v>0</v>
      </c>
      <c r="Y599">
        <f t="shared" si="150"/>
        <v>0</v>
      </c>
      <c r="Z599">
        <f t="shared" si="141"/>
        <v>6</v>
      </c>
      <c r="AA599">
        <f t="shared" si="142"/>
        <v>5</v>
      </c>
      <c r="AB599">
        <f t="shared" si="143"/>
        <v>5.7142857142857144</v>
      </c>
      <c r="AC599">
        <f t="shared" si="144"/>
        <v>0</v>
      </c>
      <c r="AD599" s="1">
        <f t="shared" si="145"/>
        <v>0</v>
      </c>
      <c r="AE599">
        <f t="shared" si="146"/>
        <v>0</v>
      </c>
      <c r="AF599">
        <f t="shared" si="147"/>
        <v>0</v>
      </c>
      <c r="AG599">
        <f t="shared" si="148"/>
        <v>0</v>
      </c>
    </row>
    <row r="600" spans="1:33" x14ac:dyDescent="0.25">
      <c r="A600" t="s">
        <v>1084</v>
      </c>
      <c r="B600" t="s">
        <v>1085</v>
      </c>
      <c r="C600">
        <v>158448</v>
      </c>
      <c r="D600">
        <v>158448</v>
      </c>
      <c r="E600">
        <v>10</v>
      </c>
      <c r="F600">
        <v>0</v>
      </c>
      <c r="G600">
        <v>40</v>
      </c>
      <c r="O600">
        <v>50</v>
      </c>
      <c r="S600">
        <f t="shared" si="137"/>
        <v>3.125</v>
      </c>
      <c r="T600">
        <f t="shared" si="138"/>
        <v>0</v>
      </c>
      <c r="U600">
        <f t="shared" si="136"/>
        <v>1</v>
      </c>
      <c r="V600">
        <f t="shared" si="139"/>
        <v>1</v>
      </c>
      <c r="W600">
        <f t="shared" si="140"/>
        <v>0</v>
      </c>
      <c r="X600">
        <f t="shared" si="149"/>
        <v>0</v>
      </c>
      <c r="Y600">
        <f t="shared" si="150"/>
        <v>0</v>
      </c>
      <c r="Z600">
        <f t="shared" si="141"/>
        <v>2</v>
      </c>
      <c r="AA600">
        <f t="shared" si="142"/>
        <v>0</v>
      </c>
      <c r="AB600">
        <f t="shared" si="143"/>
        <v>5.7142857142857144</v>
      </c>
      <c r="AC600">
        <f t="shared" si="144"/>
        <v>0</v>
      </c>
      <c r="AD600" s="1">
        <f t="shared" si="145"/>
        <v>0</v>
      </c>
      <c r="AE600">
        <f t="shared" si="146"/>
        <v>0</v>
      </c>
      <c r="AF600">
        <f t="shared" si="147"/>
        <v>0</v>
      </c>
      <c r="AG600">
        <f t="shared" si="148"/>
        <v>0</v>
      </c>
    </row>
    <row r="601" spans="1:33" x14ac:dyDescent="0.25">
      <c r="A601" t="s">
        <v>1086</v>
      </c>
      <c r="B601" t="s">
        <v>1087</v>
      </c>
      <c r="C601">
        <v>168797</v>
      </c>
      <c r="D601">
        <v>168797</v>
      </c>
      <c r="E601">
        <v>20</v>
      </c>
      <c r="F601">
        <v>30</v>
      </c>
      <c r="G601">
        <v>40</v>
      </c>
      <c r="O601">
        <v>90</v>
      </c>
      <c r="S601">
        <f t="shared" si="137"/>
        <v>5.625</v>
      </c>
      <c r="T601">
        <f t="shared" si="138"/>
        <v>0</v>
      </c>
      <c r="U601">
        <f t="shared" si="136"/>
        <v>1</v>
      </c>
      <c r="V601">
        <f t="shared" si="139"/>
        <v>1</v>
      </c>
      <c r="W601">
        <f t="shared" si="140"/>
        <v>0</v>
      </c>
      <c r="X601">
        <f t="shared" si="149"/>
        <v>0</v>
      </c>
      <c r="Y601">
        <f t="shared" si="150"/>
        <v>0</v>
      </c>
      <c r="Z601">
        <f t="shared" si="141"/>
        <v>4</v>
      </c>
      <c r="AA601">
        <f t="shared" si="142"/>
        <v>7.5</v>
      </c>
      <c r="AB601">
        <f t="shared" si="143"/>
        <v>5.7142857142857144</v>
      </c>
      <c r="AC601">
        <f t="shared" si="144"/>
        <v>0</v>
      </c>
      <c r="AD601" s="1">
        <f t="shared" si="145"/>
        <v>0</v>
      </c>
      <c r="AE601">
        <f t="shared" si="146"/>
        <v>0</v>
      </c>
      <c r="AF601">
        <f t="shared" si="147"/>
        <v>0</v>
      </c>
      <c r="AG601">
        <f t="shared" si="148"/>
        <v>0</v>
      </c>
    </row>
    <row r="602" spans="1:33" x14ac:dyDescent="0.25">
      <c r="A602" t="s">
        <v>1088</v>
      </c>
      <c r="B602" t="s">
        <v>1089</v>
      </c>
      <c r="C602">
        <v>166022</v>
      </c>
      <c r="D602">
        <v>166022</v>
      </c>
      <c r="S602">
        <f t="shared" si="137"/>
        <v>0</v>
      </c>
      <c r="T602">
        <f t="shared" si="138"/>
        <v>0</v>
      </c>
      <c r="U602">
        <f t="shared" si="136"/>
        <v>0</v>
      </c>
      <c r="V602">
        <f t="shared" si="139"/>
        <v>0</v>
      </c>
      <c r="W602">
        <f t="shared" si="140"/>
        <v>0</v>
      </c>
      <c r="X602">
        <f t="shared" si="149"/>
        <v>0</v>
      </c>
      <c r="Y602">
        <f t="shared" si="150"/>
        <v>0</v>
      </c>
      <c r="Z602">
        <f t="shared" si="141"/>
        <v>0</v>
      </c>
      <c r="AA602">
        <f t="shared" si="142"/>
        <v>0</v>
      </c>
      <c r="AB602">
        <f t="shared" si="143"/>
        <v>0</v>
      </c>
      <c r="AC602">
        <f t="shared" si="144"/>
        <v>0</v>
      </c>
      <c r="AD602" s="1">
        <f t="shared" si="145"/>
        <v>0</v>
      </c>
      <c r="AE602">
        <f t="shared" si="146"/>
        <v>0</v>
      </c>
      <c r="AF602">
        <f t="shared" si="147"/>
        <v>0</v>
      </c>
      <c r="AG602">
        <f t="shared" si="148"/>
        <v>0</v>
      </c>
    </row>
    <row r="603" spans="1:33" x14ac:dyDescent="0.25">
      <c r="A603" t="s">
        <v>1090</v>
      </c>
      <c r="B603" t="s">
        <v>1091</v>
      </c>
      <c r="C603">
        <v>166020</v>
      </c>
      <c r="D603">
        <v>166020</v>
      </c>
      <c r="H603">
        <v>20</v>
      </c>
      <c r="I603">
        <v>20</v>
      </c>
      <c r="J603">
        <v>20</v>
      </c>
      <c r="K603">
        <v>10</v>
      </c>
      <c r="L603">
        <v>10</v>
      </c>
      <c r="M603">
        <v>80</v>
      </c>
      <c r="S603">
        <f t="shared" si="137"/>
        <v>0</v>
      </c>
      <c r="T603">
        <f t="shared" si="138"/>
        <v>6.666666666666667</v>
      </c>
      <c r="U603">
        <f t="shared" si="136"/>
        <v>1</v>
      </c>
      <c r="V603">
        <f t="shared" si="139"/>
        <v>0</v>
      </c>
      <c r="W603">
        <f t="shared" si="140"/>
        <v>1</v>
      </c>
      <c r="X603">
        <f t="shared" si="149"/>
        <v>0</v>
      </c>
      <c r="Y603">
        <f t="shared" si="150"/>
        <v>1</v>
      </c>
      <c r="Z603">
        <f t="shared" si="141"/>
        <v>0</v>
      </c>
      <c r="AA603">
        <f t="shared" si="142"/>
        <v>0</v>
      </c>
      <c r="AB603">
        <f t="shared" si="143"/>
        <v>0</v>
      </c>
      <c r="AC603">
        <f t="shared" si="144"/>
        <v>10</v>
      </c>
      <c r="AD603" s="1">
        <f t="shared" si="145"/>
        <v>3.3333333333333335</v>
      </c>
      <c r="AE603">
        <f t="shared" si="146"/>
        <v>10</v>
      </c>
      <c r="AF603">
        <f t="shared" si="147"/>
        <v>10</v>
      </c>
      <c r="AG603">
        <f t="shared" si="148"/>
        <v>10</v>
      </c>
    </row>
    <row r="604" spans="1:33" x14ac:dyDescent="0.25">
      <c r="A604" t="s">
        <v>1092</v>
      </c>
      <c r="B604" t="s">
        <v>1093</v>
      </c>
      <c r="C604">
        <v>167757</v>
      </c>
      <c r="D604">
        <v>167757</v>
      </c>
      <c r="E604">
        <v>20</v>
      </c>
      <c r="F604">
        <v>10</v>
      </c>
      <c r="G604">
        <v>30</v>
      </c>
      <c r="O604">
        <v>60</v>
      </c>
      <c r="S604">
        <f t="shared" si="137"/>
        <v>3.75</v>
      </c>
      <c r="T604">
        <f t="shared" si="138"/>
        <v>0</v>
      </c>
      <c r="U604">
        <f t="shared" si="136"/>
        <v>1</v>
      </c>
      <c r="V604">
        <f t="shared" si="139"/>
        <v>1</v>
      </c>
      <c r="W604">
        <f t="shared" si="140"/>
        <v>0</v>
      </c>
      <c r="X604">
        <f t="shared" si="149"/>
        <v>0</v>
      </c>
      <c r="Y604">
        <f t="shared" si="150"/>
        <v>0</v>
      </c>
      <c r="Z604">
        <f t="shared" si="141"/>
        <v>4</v>
      </c>
      <c r="AA604">
        <f t="shared" si="142"/>
        <v>2.5</v>
      </c>
      <c r="AB604">
        <f t="shared" si="143"/>
        <v>4.2857142857142856</v>
      </c>
      <c r="AC604">
        <f t="shared" si="144"/>
        <v>0</v>
      </c>
      <c r="AD604" s="1">
        <f t="shared" si="145"/>
        <v>0</v>
      </c>
      <c r="AE604">
        <f t="shared" si="146"/>
        <v>0</v>
      </c>
      <c r="AF604">
        <f t="shared" si="147"/>
        <v>0</v>
      </c>
      <c r="AG604">
        <f t="shared" si="148"/>
        <v>0</v>
      </c>
    </row>
    <row r="605" spans="1:33" x14ac:dyDescent="0.25">
      <c r="A605" t="s">
        <v>1094</v>
      </c>
      <c r="B605" t="s">
        <v>1095</v>
      </c>
      <c r="C605">
        <v>168353</v>
      </c>
      <c r="D605">
        <v>168353</v>
      </c>
      <c r="E605">
        <v>30</v>
      </c>
      <c r="F605">
        <v>20</v>
      </c>
      <c r="G605">
        <v>50</v>
      </c>
      <c r="O605">
        <v>100</v>
      </c>
      <c r="S605">
        <f t="shared" si="137"/>
        <v>6.25</v>
      </c>
      <c r="T605">
        <f t="shared" si="138"/>
        <v>0</v>
      </c>
      <c r="U605">
        <f t="shared" si="136"/>
        <v>1</v>
      </c>
      <c r="V605">
        <f t="shared" si="139"/>
        <v>1</v>
      </c>
      <c r="W605">
        <f t="shared" si="140"/>
        <v>0</v>
      </c>
      <c r="X605">
        <f t="shared" si="149"/>
        <v>1</v>
      </c>
      <c r="Y605">
        <f t="shared" si="150"/>
        <v>0</v>
      </c>
      <c r="Z605">
        <f t="shared" si="141"/>
        <v>6</v>
      </c>
      <c r="AA605">
        <f t="shared" si="142"/>
        <v>5</v>
      </c>
      <c r="AB605">
        <f t="shared" si="143"/>
        <v>7.1428571428571432</v>
      </c>
      <c r="AC605">
        <f t="shared" si="144"/>
        <v>0</v>
      </c>
      <c r="AD605" s="1">
        <f t="shared" si="145"/>
        <v>0</v>
      </c>
      <c r="AE605">
        <f t="shared" si="146"/>
        <v>0</v>
      </c>
      <c r="AF605">
        <f t="shared" si="147"/>
        <v>0</v>
      </c>
      <c r="AG605">
        <f t="shared" si="148"/>
        <v>0</v>
      </c>
    </row>
    <row r="606" spans="1:33" x14ac:dyDescent="0.25">
      <c r="A606" t="s">
        <v>1096</v>
      </c>
      <c r="B606" t="s">
        <v>286</v>
      </c>
      <c r="C606">
        <v>167510</v>
      </c>
      <c r="D606">
        <v>167510</v>
      </c>
      <c r="H606">
        <v>20</v>
      </c>
      <c r="I606">
        <v>30</v>
      </c>
      <c r="J606">
        <v>20</v>
      </c>
      <c r="K606">
        <v>0</v>
      </c>
      <c r="L606">
        <v>10</v>
      </c>
      <c r="M606">
        <v>80</v>
      </c>
      <c r="S606">
        <f t="shared" si="137"/>
        <v>0</v>
      </c>
      <c r="T606">
        <f t="shared" si="138"/>
        <v>6.666666666666667</v>
      </c>
      <c r="U606">
        <f t="shared" si="136"/>
        <v>1</v>
      </c>
      <c r="V606">
        <f t="shared" si="139"/>
        <v>0</v>
      </c>
      <c r="W606">
        <f t="shared" si="140"/>
        <v>1</v>
      </c>
      <c r="X606">
        <f t="shared" si="149"/>
        <v>0</v>
      </c>
      <c r="Y606">
        <f t="shared" si="150"/>
        <v>1</v>
      </c>
      <c r="Z606">
        <f t="shared" si="141"/>
        <v>0</v>
      </c>
      <c r="AA606">
        <f t="shared" si="142"/>
        <v>0</v>
      </c>
      <c r="AB606">
        <f t="shared" si="143"/>
        <v>0</v>
      </c>
      <c r="AC606">
        <f t="shared" si="144"/>
        <v>10</v>
      </c>
      <c r="AD606" s="1">
        <f t="shared" si="145"/>
        <v>5</v>
      </c>
      <c r="AE606">
        <f t="shared" si="146"/>
        <v>10</v>
      </c>
      <c r="AF606">
        <f t="shared" si="147"/>
        <v>0</v>
      </c>
      <c r="AG606">
        <f t="shared" si="148"/>
        <v>10</v>
      </c>
    </row>
    <row r="607" spans="1:33" x14ac:dyDescent="0.25">
      <c r="A607" t="s">
        <v>1097</v>
      </c>
      <c r="B607" t="s">
        <v>1098</v>
      </c>
      <c r="C607">
        <v>168319</v>
      </c>
      <c r="D607">
        <v>168319</v>
      </c>
      <c r="E607">
        <v>20</v>
      </c>
      <c r="F607">
        <v>0</v>
      </c>
      <c r="G607">
        <v>20</v>
      </c>
      <c r="O607">
        <v>40</v>
      </c>
      <c r="S607">
        <f t="shared" si="137"/>
        <v>2.5</v>
      </c>
      <c r="T607">
        <f t="shared" si="138"/>
        <v>0</v>
      </c>
      <c r="U607">
        <f t="shared" si="136"/>
        <v>1</v>
      </c>
      <c r="V607">
        <f t="shared" si="139"/>
        <v>1</v>
      </c>
      <c r="W607">
        <f t="shared" si="140"/>
        <v>0</v>
      </c>
      <c r="X607">
        <f t="shared" si="149"/>
        <v>0</v>
      </c>
      <c r="Y607">
        <f t="shared" si="150"/>
        <v>0</v>
      </c>
      <c r="Z607">
        <f t="shared" si="141"/>
        <v>4</v>
      </c>
      <c r="AA607">
        <f t="shared" si="142"/>
        <v>0</v>
      </c>
      <c r="AB607">
        <f t="shared" si="143"/>
        <v>2.8571428571428572</v>
      </c>
      <c r="AC607">
        <f t="shared" si="144"/>
        <v>0</v>
      </c>
      <c r="AD607" s="1">
        <f t="shared" si="145"/>
        <v>0</v>
      </c>
      <c r="AE607">
        <f t="shared" si="146"/>
        <v>0</v>
      </c>
      <c r="AF607">
        <f t="shared" si="147"/>
        <v>0</v>
      </c>
      <c r="AG607">
        <f t="shared" si="148"/>
        <v>0</v>
      </c>
    </row>
    <row r="608" spans="1:33" x14ac:dyDescent="0.25">
      <c r="A608" t="s">
        <v>1099</v>
      </c>
      <c r="B608" t="s">
        <v>286</v>
      </c>
      <c r="C608">
        <v>168443</v>
      </c>
      <c r="D608">
        <v>168443</v>
      </c>
      <c r="H608">
        <v>10</v>
      </c>
      <c r="I608">
        <v>40</v>
      </c>
      <c r="J608">
        <v>10</v>
      </c>
      <c r="K608">
        <v>10</v>
      </c>
      <c r="L608">
        <v>0</v>
      </c>
      <c r="M608">
        <v>70</v>
      </c>
      <c r="S608">
        <f t="shared" si="137"/>
        <v>0</v>
      </c>
      <c r="T608">
        <f t="shared" si="138"/>
        <v>5.833333333333333</v>
      </c>
      <c r="U608">
        <f t="shared" si="136"/>
        <v>1</v>
      </c>
      <c r="V608">
        <f t="shared" si="139"/>
        <v>0</v>
      </c>
      <c r="W608">
        <f t="shared" si="140"/>
        <v>1</v>
      </c>
      <c r="X608">
        <f t="shared" si="149"/>
        <v>0</v>
      </c>
      <c r="Y608">
        <f t="shared" si="150"/>
        <v>0</v>
      </c>
      <c r="Z608">
        <f t="shared" si="141"/>
        <v>0</v>
      </c>
      <c r="AA608">
        <f t="shared" si="142"/>
        <v>0</v>
      </c>
      <c r="AB608">
        <f t="shared" si="143"/>
        <v>0</v>
      </c>
      <c r="AC608">
        <f t="shared" si="144"/>
        <v>5</v>
      </c>
      <c r="AD608" s="1">
        <f t="shared" si="145"/>
        <v>6.666666666666667</v>
      </c>
      <c r="AE608">
        <f t="shared" si="146"/>
        <v>5</v>
      </c>
      <c r="AF608">
        <f t="shared" si="147"/>
        <v>10</v>
      </c>
      <c r="AG608">
        <f t="shared" si="148"/>
        <v>0</v>
      </c>
    </row>
    <row r="609" spans="1:33" x14ac:dyDescent="0.25">
      <c r="A609" t="s">
        <v>1100</v>
      </c>
      <c r="B609" t="s">
        <v>1101</v>
      </c>
      <c r="C609">
        <v>168579</v>
      </c>
      <c r="D609">
        <v>168579</v>
      </c>
      <c r="E609">
        <v>10</v>
      </c>
      <c r="F609">
        <v>10</v>
      </c>
      <c r="G609">
        <v>10</v>
      </c>
      <c r="O609">
        <v>30</v>
      </c>
      <c r="S609">
        <f t="shared" si="137"/>
        <v>1.875</v>
      </c>
      <c r="T609">
        <f t="shared" si="138"/>
        <v>0</v>
      </c>
      <c r="U609">
        <f t="shared" si="136"/>
        <v>1</v>
      </c>
      <c r="V609">
        <f t="shared" si="139"/>
        <v>1</v>
      </c>
      <c r="W609">
        <f t="shared" si="140"/>
        <v>0</v>
      </c>
      <c r="X609">
        <f t="shared" si="149"/>
        <v>0</v>
      </c>
      <c r="Y609">
        <f t="shared" si="150"/>
        <v>0</v>
      </c>
      <c r="Z609">
        <f t="shared" si="141"/>
        <v>2</v>
      </c>
      <c r="AA609">
        <f t="shared" si="142"/>
        <v>2.5</v>
      </c>
      <c r="AB609">
        <f t="shared" si="143"/>
        <v>1.4285714285714286</v>
      </c>
      <c r="AC609">
        <f t="shared" si="144"/>
        <v>0</v>
      </c>
      <c r="AD609" s="1">
        <f t="shared" si="145"/>
        <v>0</v>
      </c>
      <c r="AE609">
        <f t="shared" si="146"/>
        <v>0</v>
      </c>
      <c r="AF609">
        <f t="shared" si="147"/>
        <v>0</v>
      </c>
      <c r="AG609">
        <f t="shared" si="148"/>
        <v>0</v>
      </c>
    </row>
    <row r="610" spans="1:33" x14ac:dyDescent="0.25">
      <c r="A610" t="s">
        <v>1102</v>
      </c>
      <c r="B610" t="s">
        <v>1103</v>
      </c>
      <c r="C610">
        <v>164012</v>
      </c>
      <c r="D610">
        <v>164012</v>
      </c>
      <c r="E610">
        <v>20</v>
      </c>
      <c r="F610">
        <v>20</v>
      </c>
      <c r="G610">
        <v>50</v>
      </c>
      <c r="O610">
        <v>90</v>
      </c>
      <c r="S610">
        <f t="shared" si="137"/>
        <v>5.625</v>
      </c>
      <c r="T610">
        <f t="shared" si="138"/>
        <v>0</v>
      </c>
      <c r="U610">
        <f t="shared" si="136"/>
        <v>1</v>
      </c>
      <c r="V610">
        <f t="shared" si="139"/>
        <v>1</v>
      </c>
      <c r="W610">
        <f t="shared" si="140"/>
        <v>0</v>
      </c>
      <c r="X610">
        <f t="shared" si="149"/>
        <v>0</v>
      </c>
      <c r="Y610">
        <f t="shared" si="150"/>
        <v>0</v>
      </c>
      <c r="Z610">
        <f t="shared" si="141"/>
        <v>4</v>
      </c>
      <c r="AA610">
        <f t="shared" si="142"/>
        <v>5</v>
      </c>
      <c r="AB610">
        <f t="shared" si="143"/>
        <v>7.1428571428571432</v>
      </c>
      <c r="AC610">
        <f t="shared" si="144"/>
        <v>0</v>
      </c>
      <c r="AD610" s="1">
        <f t="shared" si="145"/>
        <v>0</v>
      </c>
      <c r="AE610">
        <f t="shared" si="146"/>
        <v>0</v>
      </c>
      <c r="AF610">
        <f t="shared" si="147"/>
        <v>0</v>
      </c>
      <c r="AG610">
        <f t="shared" si="148"/>
        <v>0</v>
      </c>
    </row>
    <row r="611" spans="1:33" x14ac:dyDescent="0.25">
      <c r="A611" t="s">
        <v>1104</v>
      </c>
      <c r="B611" t="s">
        <v>270</v>
      </c>
      <c r="C611">
        <v>166417</v>
      </c>
      <c r="D611">
        <v>166417</v>
      </c>
      <c r="E611">
        <v>20</v>
      </c>
      <c r="F611">
        <v>10</v>
      </c>
      <c r="G611">
        <v>20</v>
      </c>
      <c r="O611">
        <v>50</v>
      </c>
      <c r="S611">
        <f t="shared" si="137"/>
        <v>3.125</v>
      </c>
      <c r="T611">
        <f t="shared" si="138"/>
        <v>0</v>
      </c>
      <c r="U611">
        <f t="shared" si="136"/>
        <v>1</v>
      </c>
      <c r="V611">
        <f t="shared" si="139"/>
        <v>1</v>
      </c>
      <c r="W611">
        <f t="shared" si="140"/>
        <v>0</v>
      </c>
      <c r="X611">
        <f t="shared" si="149"/>
        <v>0</v>
      </c>
      <c r="Y611">
        <f t="shared" si="150"/>
        <v>0</v>
      </c>
      <c r="Z611">
        <f t="shared" si="141"/>
        <v>4</v>
      </c>
      <c r="AA611">
        <f t="shared" si="142"/>
        <v>2.5</v>
      </c>
      <c r="AB611">
        <f t="shared" si="143"/>
        <v>2.8571428571428572</v>
      </c>
      <c r="AC611">
        <f t="shared" si="144"/>
        <v>0</v>
      </c>
      <c r="AD611" s="1">
        <f t="shared" si="145"/>
        <v>0</v>
      </c>
      <c r="AE611">
        <f t="shared" si="146"/>
        <v>0</v>
      </c>
      <c r="AF611">
        <f t="shared" si="147"/>
        <v>0</v>
      </c>
      <c r="AG611">
        <f t="shared" si="148"/>
        <v>0</v>
      </c>
    </row>
    <row r="612" spans="1:33" x14ac:dyDescent="0.25">
      <c r="A612" t="s">
        <v>1105</v>
      </c>
      <c r="B612" t="s">
        <v>1106</v>
      </c>
      <c r="C612">
        <v>168079</v>
      </c>
      <c r="D612">
        <v>168079</v>
      </c>
      <c r="E612">
        <v>50</v>
      </c>
      <c r="F612">
        <v>30</v>
      </c>
      <c r="G612">
        <v>50</v>
      </c>
      <c r="O612">
        <v>130</v>
      </c>
      <c r="S612">
        <f t="shared" si="137"/>
        <v>8.125</v>
      </c>
      <c r="T612">
        <f t="shared" si="138"/>
        <v>0</v>
      </c>
      <c r="U612">
        <f t="shared" si="136"/>
        <v>1</v>
      </c>
      <c r="V612">
        <f t="shared" si="139"/>
        <v>1</v>
      </c>
      <c r="W612">
        <f t="shared" si="140"/>
        <v>0</v>
      </c>
      <c r="X612">
        <f t="shared" si="149"/>
        <v>1</v>
      </c>
      <c r="Y612">
        <f t="shared" si="150"/>
        <v>0</v>
      </c>
      <c r="Z612">
        <f t="shared" si="141"/>
        <v>10</v>
      </c>
      <c r="AA612">
        <f t="shared" si="142"/>
        <v>7.5</v>
      </c>
      <c r="AB612">
        <f t="shared" si="143"/>
        <v>7.1428571428571432</v>
      </c>
      <c r="AC612">
        <f t="shared" si="144"/>
        <v>0</v>
      </c>
      <c r="AD612" s="1">
        <f t="shared" si="145"/>
        <v>0</v>
      </c>
      <c r="AE612">
        <f t="shared" si="146"/>
        <v>0</v>
      </c>
      <c r="AF612">
        <f t="shared" si="147"/>
        <v>0</v>
      </c>
      <c r="AG612">
        <f t="shared" si="148"/>
        <v>0</v>
      </c>
    </row>
    <row r="613" spans="1:33" x14ac:dyDescent="0.25">
      <c r="A613" t="s">
        <v>1107</v>
      </c>
      <c r="B613" t="s">
        <v>1108</v>
      </c>
      <c r="C613">
        <v>166166</v>
      </c>
      <c r="D613">
        <v>166166</v>
      </c>
      <c r="S613">
        <f t="shared" si="137"/>
        <v>0</v>
      </c>
      <c r="T613">
        <f t="shared" si="138"/>
        <v>0</v>
      </c>
      <c r="U613">
        <f t="shared" si="136"/>
        <v>0</v>
      </c>
      <c r="V613">
        <f t="shared" si="139"/>
        <v>0</v>
      </c>
      <c r="W613">
        <f t="shared" si="140"/>
        <v>0</v>
      </c>
      <c r="X613">
        <f t="shared" si="149"/>
        <v>0</v>
      </c>
      <c r="Y613">
        <f t="shared" si="150"/>
        <v>0</v>
      </c>
      <c r="Z613">
        <f t="shared" si="141"/>
        <v>0</v>
      </c>
      <c r="AA613">
        <f t="shared" si="142"/>
        <v>0</v>
      </c>
      <c r="AB613">
        <f t="shared" si="143"/>
        <v>0</v>
      </c>
      <c r="AC613">
        <f t="shared" si="144"/>
        <v>0</v>
      </c>
      <c r="AD613" s="1">
        <f t="shared" si="145"/>
        <v>0</v>
      </c>
      <c r="AE613">
        <f t="shared" si="146"/>
        <v>0</v>
      </c>
      <c r="AF613">
        <f t="shared" si="147"/>
        <v>0</v>
      </c>
      <c r="AG613">
        <f t="shared" si="148"/>
        <v>0</v>
      </c>
    </row>
    <row r="614" spans="1:33" x14ac:dyDescent="0.25">
      <c r="A614" t="s">
        <v>1109</v>
      </c>
      <c r="B614" t="s">
        <v>1110</v>
      </c>
      <c r="C614">
        <v>166172</v>
      </c>
      <c r="D614">
        <v>166172</v>
      </c>
      <c r="E614">
        <v>50</v>
      </c>
      <c r="F614">
        <v>20</v>
      </c>
      <c r="G614">
        <v>40</v>
      </c>
      <c r="O614">
        <v>110</v>
      </c>
      <c r="S614">
        <f t="shared" si="137"/>
        <v>6.875</v>
      </c>
      <c r="T614">
        <f t="shared" si="138"/>
        <v>0</v>
      </c>
      <c r="U614">
        <f t="shared" si="136"/>
        <v>1</v>
      </c>
      <c r="V614">
        <f t="shared" si="139"/>
        <v>1</v>
      </c>
      <c r="W614">
        <f t="shared" si="140"/>
        <v>0</v>
      </c>
      <c r="X614">
        <f t="shared" si="149"/>
        <v>1</v>
      </c>
      <c r="Y614">
        <f t="shared" si="150"/>
        <v>0</v>
      </c>
      <c r="Z614">
        <f t="shared" si="141"/>
        <v>10</v>
      </c>
      <c r="AA614">
        <f t="shared" si="142"/>
        <v>5</v>
      </c>
      <c r="AB614">
        <f t="shared" si="143"/>
        <v>5.7142857142857144</v>
      </c>
      <c r="AC614">
        <f t="shared" si="144"/>
        <v>0</v>
      </c>
      <c r="AD614" s="1">
        <f t="shared" si="145"/>
        <v>0</v>
      </c>
      <c r="AE614">
        <f t="shared" si="146"/>
        <v>0</v>
      </c>
      <c r="AF614">
        <f t="shared" si="147"/>
        <v>0</v>
      </c>
      <c r="AG614">
        <f t="shared" si="148"/>
        <v>0</v>
      </c>
    </row>
    <row r="615" spans="1:33" x14ac:dyDescent="0.25">
      <c r="A615" t="s">
        <v>1111</v>
      </c>
      <c r="B615" t="s">
        <v>890</v>
      </c>
      <c r="C615">
        <v>165283</v>
      </c>
      <c r="D615">
        <v>165283</v>
      </c>
      <c r="E615">
        <v>10</v>
      </c>
      <c r="F615">
        <v>10</v>
      </c>
      <c r="G615">
        <v>10</v>
      </c>
      <c r="O615">
        <v>30</v>
      </c>
      <c r="S615">
        <f t="shared" si="137"/>
        <v>1.875</v>
      </c>
      <c r="T615">
        <f t="shared" si="138"/>
        <v>0</v>
      </c>
      <c r="U615">
        <f t="shared" si="136"/>
        <v>1</v>
      </c>
      <c r="V615">
        <f t="shared" si="139"/>
        <v>1</v>
      </c>
      <c r="W615">
        <f t="shared" si="140"/>
        <v>0</v>
      </c>
      <c r="X615">
        <f t="shared" si="149"/>
        <v>0</v>
      </c>
      <c r="Y615">
        <f t="shared" si="150"/>
        <v>0</v>
      </c>
      <c r="Z615">
        <f t="shared" si="141"/>
        <v>2</v>
      </c>
      <c r="AA615">
        <f t="shared" si="142"/>
        <v>2.5</v>
      </c>
      <c r="AB615">
        <f t="shared" si="143"/>
        <v>1.4285714285714286</v>
      </c>
      <c r="AC615">
        <f t="shared" si="144"/>
        <v>0</v>
      </c>
      <c r="AD615" s="1">
        <f t="shared" si="145"/>
        <v>0</v>
      </c>
      <c r="AE615">
        <f t="shared" si="146"/>
        <v>0</v>
      </c>
      <c r="AF615">
        <f t="shared" si="147"/>
        <v>0</v>
      </c>
      <c r="AG615">
        <f t="shared" si="148"/>
        <v>0</v>
      </c>
    </row>
    <row r="616" spans="1:33" x14ac:dyDescent="0.25">
      <c r="A616" t="s">
        <v>1112</v>
      </c>
      <c r="B616" t="s">
        <v>1113</v>
      </c>
      <c r="C616">
        <v>166120</v>
      </c>
      <c r="D616">
        <v>166120</v>
      </c>
      <c r="E616">
        <v>20</v>
      </c>
      <c r="F616">
        <v>0</v>
      </c>
      <c r="G616">
        <v>10</v>
      </c>
      <c r="O616">
        <v>30</v>
      </c>
      <c r="S616">
        <f t="shared" si="137"/>
        <v>1.875</v>
      </c>
      <c r="T616">
        <f t="shared" si="138"/>
        <v>0</v>
      </c>
      <c r="U616">
        <f t="shared" si="136"/>
        <v>1</v>
      </c>
      <c r="V616">
        <f t="shared" si="139"/>
        <v>1</v>
      </c>
      <c r="W616">
        <f t="shared" si="140"/>
        <v>0</v>
      </c>
      <c r="X616">
        <f t="shared" si="149"/>
        <v>0</v>
      </c>
      <c r="Y616">
        <f t="shared" si="150"/>
        <v>0</v>
      </c>
      <c r="Z616">
        <f t="shared" si="141"/>
        <v>4</v>
      </c>
      <c r="AA616">
        <f t="shared" si="142"/>
        <v>0</v>
      </c>
      <c r="AB616">
        <f t="shared" si="143"/>
        <v>1.4285714285714286</v>
      </c>
      <c r="AC616">
        <f t="shared" si="144"/>
        <v>0</v>
      </c>
      <c r="AD616" s="1">
        <f t="shared" si="145"/>
        <v>0</v>
      </c>
      <c r="AE616">
        <f t="shared" si="146"/>
        <v>0</v>
      </c>
      <c r="AF616">
        <f t="shared" si="147"/>
        <v>0</v>
      </c>
      <c r="AG616">
        <f t="shared" si="148"/>
        <v>0</v>
      </c>
    </row>
    <row r="617" spans="1:33" x14ac:dyDescent="0.25">
      <c r="A617" t="s">
        <v>1114</v>
      </c>
      <c r="B617" t="s">
        <v>1115</v>
      </c>
      <c r="C617">
        <v>167019</v>
      </c>
      <c r="D617">
        <v>167019</v>
      </c>
      <c r="S617">
        <f t="shared" si="137"/>
        <v>0</v>
      </c>
      <c r="T617">
        <f t="shared" si="138"/>
        <v>0</v>
      </c>
      <c r="U617">
        <f t="shared" si="136"/>
        <v>0</v>
      </c>
      <c r="V617">
        <f t="shared" si="139"/>
        <v>0</v>
      </c>
      <c r="W617">
        <f t="shared" si="140"/>
        <v>0</v>
      </c>
      <c r="X617">
        <f t="shared" si="149"/>
        <v>0</v>
      </c>
      <c r="Y617">
        <f t="shared" si="150"/>
        <v>0</v>
      </c>
      <c r="Z617">
        <f t="shared" si="141"/>
        <v>0</v>
      </c>
      <c r="AA617">
        <f t="shared" si="142"/>
        <v>0</v>
      </c>
      <c r="AB617">
        <f t="shared" si="143"/>
        <v>0</v>
      </c>
      <c r="AC617">
        <f t="shared" si="144"/>
        <v>0</v>
      </c>
      <c r="AD617" s="1">
        <f t="shared" si="145"/>
        <v>0</v>
      </c>
      <c r="AE617">
        <f t="shared" si="146"/>
        <v>0</v>
      </c>
      <c r="AF617">
        <f t="shared" si="147"/>
        <v>0</v>
      </c>
      <c r="AG617">
        <f t="shared" si="148"/>
        <v>0</v>
      </c>
    </row>
    <row r="618" spans="1:33" x14ac:dyDescent="0.25">
      <c r="A618" t="s">
        <v>1116</v>
      </c>
      <c r="B618" t="s">
        <v>1117</v>
      </c>
      <c r="C618">
        <v>168143</v>
      </c>
      <c r="D618">
        <v>168143</v>
      </c>
      <c r="H618">
        <v>0</v>
      </c>
      <c r="I618">
        <v>30</v>
      </c>
      <c r="J618">
        <v>10</v>
      </c>
      <c r="K618">
        <v>10</v>
      </c>
      <c r="L618">
        <v>0</v>
      </c>
      <c r="M618">
        <v>50</v>
      </c>
      <c r="S618">
        <f t="shared" si="137"/>
        <v>0</v>
      </c>
      <c r="T618">
        <f t="shared" si="138"/>
        <v>4.166666666666667</v>
      </c>
      <c r="U618">
        <f t="shared" si="136"/>
        <v>1</v>
      </c>
      <c r="V618">
        <f t="shared" si="139"/>
        <v>0</v>
      </c>
      <c r="W618">
        <f t="shared" si="140"/>
        <v>1</v>
      </c>
      <c r="X618">
        <f t="shared" si="149"/>
        <v>0</v>
      </c>
      <c r="Y618">
        <f t="shared" si="150"/>
        <v>0</v>
      </c>
      <c r="Z618">
        <f t="shared" si="141"/>
        <v>0</v>
      </c>
      <c r="AA618">
        <f t="shared" si="142"/>
        <v>0</v>
      </c>
      <c r="AB618">
        <f t="shared" si="143"/>
        <v>0</v>
      </c>
      <c r="AC618">
        <f t="shared" si="144"/>
        <v>0</v>
      </c>
      <c r="AD618" s="1">
        <f t="shared" si="145"/>
        <v>5</v>
      </c>
      <c r="AE618">
        <f t="shared" si="146"/>
        <v>5</v>
      </c>
      <c r="AF618">
        <f t="shared" si="147"/>
        <v>10</v>
      </c>
      <c r="AG618">
        <f t="shared" si="148"/>
        <v>0</v>
      </c>
    </row>
    <row r="619" spans="1:33" x14ac:dyDescent="0.25">
      <c r="A619" t="s">
        <v>1118</v>
      </c>
      <c r="B619" t="s">
        <v>1119</v>
      </c>
      <c r="C619">
        <v>160058</v>
      </c>
      <c r="D619">
        <v>160058</v>
      </c>
      <c r="N619" t="s">
        <v>549</v>
      </c>
      <c r="S619">
        <f t="shared" si="137"/>
        <v>0</v>
      </c>
      <c r="T619">
        <f t="shared" si="138"/>
        <v>0</v>
      </c>
      <c r="U619">
        <f t="shared" si="136"/>
        <v>0</v>
      </c>
      <c r="V619">
        <f t="shared" si="139"/>
        <v>0</v>
      </c>
      <c r="W619">
        <f t="shared" si="140"/>
        <v>0</v>
      </c>
      <c r="X619">
        <f t="shared" si="149"/>
        <v>0</v>
      </c>
      <c r="Y619">
        <f t="shared" si="150"/>
        <v>0</v>
      </c>
      <c r="Z619">
        <f t="shared" si="141"/>
        <v>0</v>
      </c>
      <c r="AA619">
        <f t="shared" si="142"/>
        <v>0</v>
      </c>
      <c r="AB619">
        <f t="shared" si="143"/>
        <v>0</v>
      </c>
      <c r="AC619">
        <f t="shared" si="144"/>
        <v>0</v>
      </c>
      <c r="AD619" s="1">
        <f t="shared" si="145"/>
        <v>0</v>
      </c>
      <c r="AE619">
        <f t="shared" si="146"/>
        <v>0</v>
      </c>
      <c r="AF619">
        <f t="shared" si="147"/>
        <v>0</v>
      </c>
      <c r="AG619">
        <f t="shared" si="148"/>
        <v>0</v>
      </c>
    </row>
    <row r="620" spans="1:33" x14ac:dyDescent="0.25">
      <c r="A620" t="s">
        <v>1120</v>
      </c>
      <c r="B620" t="s">
        <v>839</v>
      </c>
      <c r="C620">
        <v>167464</v>
      </c>
      <c r="D620">
        <v>167464</v>
      </c>
      <c r="H620">
        <v>20</v>
      </c>
      <c r="I620">
        <v>50</v>
      </c>
      <c r="J620">
        <v>20</v>
      </c>
      <c r="K620">
        <v>10</v>
      </c>
      <c r="L620">
        <v>0</v>
      </c>
      <c r="M620">
        <v>100</v>
      </c>
      <c r="S620">
        <f t="shared" si="137"/>
        <v>0</v>
      </c>
      <c r="T620">
        <f t="shared" si="138"/>
        <v>8.3333333333333339</v>
      </c>
      <c r="U620">
        <f t="shared" si="136"/>
        <v>1</v>
      </c>
      <c r="V620">
        <f t="shared" si="139"/>
        <v>0</v>
      </c>
      <c r="W620">
        <f t="shared" si="140"/>
        <v>1</v>
      </c>
      <c r="X620">
        <f t="shared" si="149"/>
        <v>0</v>
      </c>
      <c r="Y620">
        <f t="shared" si="150"/>
        <v>1</v>
      </c>
      <c r="Z620">
        <f t="shared" si="141"/>
        <v>0</v>
      </c>
      <c r="AA620">
        <f t="shared" si="142"/>
        <v>0</v>
      </c>
      <c r="AB620">
        <f t="shared" si="143"/>
        <v>0</v>
      </c>
      <c r="AC620">
        <f t="shared" si="144"/>
        <v>10</v>
      </c>
      <c r="AD620" s="1">
        <f t="shared" si="145"/>
        <v>8.3333333333333339</v>
      </c>
      <c r="AE620">
        <f t="shared" si="146"/>
        <v>10</v>
      </c>
      <c r="AF620">
        <f t="shared" si="147"/>
        <v>10</v>
      </c>
      <c r="AG620">
        <f t="shared" si="148"/>
        <v>0</v>
      </c>
    </row>
    <row r="621" spans="1:33" x14ac:dyDescent="0.25">
      <c r="A621" t="s">
        <v>1121</v>
      </c>
      <c r="B621" t="s">
        <v>577</v>
      </c>
      <c r="C621">
        <v>167407</v>
      </c>
      <c r="D621">
        <v>167407</v>
      </c>
      <c r="E621">
        <v>50</v>
      </c>
      <c r="F621">
        <v>40</v>
      </c>
      <c r="G621">
        <v>40</v>
      </c>
      <c r="O621">
        <v>130</v>
      </c>
      <c r="S621">
        <f t="shared" si="137"/>
        <v>8.125</v>
      </c>
      <c r="T621">
        <f t="shared" si="138"/>
        <v>0</v>
      </c>
      <c r="U621">
        <f t="shared" si="136"/>
        <v>1</v>
      </c>
      <c r="V621">
        <f t="shared" si="139"/>
        <v>1</v>
      </c>
      <c r="W621">
        <f t="shared" si="140"/>
        <v>0</v>
      </c>
      <c r="X621">
        <f t="shared" si="149"/>
        <v>1</v>
      </c>
      <c r="Y621">
        <f t="shared" si="150"/>
        <v>0</v>
      </c>
      <c r="Z621">
        <f t="shared" si="141"/>
        <v>10</v>
      </c>
      <c r="AA621">
        <f t="shared" si="142"/>
        <v>10</v>
      </c>
      <c r="AB621">
        <f t="shared" si="143"/>
        <v>5.7142857142857144</v>
      </c>
      <c r="AC621">
        <f t="shared" si="144"/>
        <v>0</v>
      </c>
      <c r="AD621" s="1">
        <f t="shared" si="145"/>
        <v>0</v>
      </c>
      <c r="AE621">
        <f t="shared" si="146"/>
        <v>0</v>
      </c>
      <c r="AF621">
        <f t="shared" si="147"/>
        <v>0</v>
      </c>
      <c r="AG621">
        <f t="shared" si="148"/>
        <v>0</v>
      </c>
    </row>
    <row r="622" spans="1:33" x14ac:dyDescent="0.25">
      <c r="A622" t="s">
        <v>1122</v>
      </c>
      <c r="B622" t="s">
        <v>510</v>
      </c>
      <c r="C622">
        <v>166062</v>
      </c>
      <c r="D622">
        <v>166062</v>
      </c>
      <c r="H622">
        <v>0</v>
      </c>
      <c r="I622">
        <v>30</v>
      </c>
      <c r="J622">
        <v>10</v>
      </c>
      <c r="K622">
        <v>0</v>
      </c>
      <c r="L622">
        <v>0</v>
      </c>
      <c r="M622">
        <v>40</v>
      </c>
      <c r="S622">
        <f t="shared" si="137"/>
        <v>0</v>
      </c>
      <c r="T622">
        <f t="shared" si="138"/>
        <v>3.3333333333333335</v>
      </c>
      <c r="U622">
        <f t="shared" si="136"/>
        <v>1</v>
      </c>
      <c r="V622">
        <f t="shared" si="139"/>
        <v>0</v>
      </c>
      <c r="W622">
        <f t="shared" si="140"/>
        <v>1</v>
      </c>
      <c r="X622">
        <f t="shared" si="149"/>
        <v>0</v>
      </c>
      <c r="Y622">
        <f t="shared" si="150"/>
        <v>0</v>
      </c>
      <c r="Z622">
        <f t="shared" si="141"/>
        <v>0</v>
      </c>
      <c r="AA622">
        <f t="shared" si="142"/>
        <v>0</v>
      </c>
      <c r="AB622">
        <f t="shared" si="143"/>
        <v>0</v>
      </c>
      <c r="AC622">
        <f t="shared" si="144"/>
        <v>0</v>
      </c>
      <c r="AD622" s="1">
        <f t="shared" si="145"/>
        <v>5</v>
      </c>
      <c r="AE622">
        <f t="shared" si="146"/>
        <v>5</v>
      </c>
      <c r="AF622">
        <f t="shared" si="147"/>
        <v>0</v>
      </c>
      <c r="AG622">
        <f t="shared" si="148"/>
        <v>0</v>
      </c>
    </row>
    <row r="623" spans="1:33" x14ac:dyDescent="0.25">
      <c r="A623" t="s">
        <v>1123</v>
      </c>
      <c r="B623" t="s">
        <v>1124</v>
      </c>
      <c r="C623">
        <v>165395</v>
      </c>
      <c r="D623">
        <v>165395</v>
      </c>
      <c r="E623">
        <v>10</v>
      </c>
      <c r="F623">
        <v>30</v>
      </c>
      <c r="G623">
        <v>40</v>
      </c>
      <c r="O623">
        <v>80</v>
      </c>
      <c r="S623">
        <f t="shared" si="137"/>
        <v>5</v>
      </c>
      <c r="T623">
        <f t="shared" si="138"/>
        <v>0</v>
      </c>
      <c r="U623">
        <f t="shared" si="136"/>
        <v>1</v>
      </c>
      <c r="V623">
        <f t="shared" si="139"/>
        <v>1</v>
      </c>
      <c r="W623">
        <f t="shared" si="140"/>
        <v>0</v>
      </c>
      <c r="X623">
        <f t="shared" si="149"/>
        <v>0</v>
      </c>
      <c r="Y623">
        <f t="shared" si="150"/>
        <v>0</v>
      </c>
      <c r="Z623">
        <f t="shared" si="141"/>
        <v>2</v>
      </c>
      <c r="AA623">
        <f t="shared" si="142"/>
        <v>7.5</v>
      </c>
      <c r="AB623">
        <f t="shared" si="143"/>
        <v>5.7142857142857144</v>
      </c>
      <c r="AC623">
        <f t="shared" si="144"/>
        <v>0</v>
      </c>
      <c r="AD623" s="1">
        <f t="shared" si="145"/>
        <v>0</v>
      </c>
      <c r="AE623">
        <f t="shared" si="146"/>
        <v>0</v>
      </c>
      <c r="AF623">
        <f t="shared" si="147"/>
        <v>0</v>
      </c>
      <c r="AG623">
        <f t="shared" si="148"/>
        <v>0</v>
      </c>
    </row>
    <row r="624" spans="1:33" x14ac:dyDescent="0.25">
      <c r="A624" t="s">
        <v>1125</v>
      </c>
      <c r="B624" t="s">
        <v>1126</v>
      </c>
      <c r="C624">
        <v>168440</v>
      </c>
      <c r="D624">
        <v>168440</v>
      </c>
      <c r="H624">
        <v>10</v>
      </c>
      <c r="I624">
        <v>40</v>
      </c>
      <c r="J624">
        <v>10</v>
      </c>
      <c r="K624">
        <v>10</v>
      </c>
      <c r="L624">
        <v>10</v>
      </c>
      <c r="M624">
        <v>80</v>
      </c>
      <c r="S624">
        <f t="shared" si="137"/>
        <v>0</v>
      </c>
      <c r="T624">
        <f t="shared" si="138"/>
        <v>6.666666666666667</v>
      </c>
      <c r="U624">
        <f t="shared" si="136"/>
        <v>1</v>
      </c>
      <c r="V624">
        <f t="shared" si="139"/>
        <v>0</v>
      </c>
      <c r="W624">
        <f t="shared" si="140"/>
        <v>1</v>
      </c>
      <c r="X624">
        <f t="shared" si="149"/>
        <v>0</v>
      </c>
      <c r="Y624">
        <f t="shared" si="150"/>
        <v>1</v>
      </c>
      <c r="Z624">
        <f t="shared" si="141"/>
        <v>0</v>
      </c>
      <c r="AA624">
        <f t="shared" si="142"/>
        <v>0</v>
      </c>
      <c r="AB624">
        <f t="shared" si="143"/>
        <v>0</v>
      </c>
      <c r="AC624">
        <f t="shared" si="144"/>
        <v>5</v>
      </c>
      <c r="AD624" s="1">
        <f t="shared" si="145"/>
        <v>6.666666666666667</v>
      </c>
      <c r="AE624">
        <f t="shared" si="146"/>
        <v>5</v>
      </c>
      <c r="AF624">
        <f t="shared" si="147"/>
        <v>10</v>
      </c>
      <c r="AG624">
        <f t="shared" si="148"/>
        <v>10</v>
      </c>
    </row>
    <row r="625" spans="1:33" x14ac:dyDescent="0.25">
      <c r="A625" t="s">
        <v>1127</v>
      </c>
      <c r="B625" t="s">
        <v>1128</v>
      </c>
      <c r="C625">
        <v>168658</v>
      </c>
      <c r="D625">
        <v>168658</v>
      </c>
      <c r="H625">
        <v>20</v>
      </c>
      <c r="I625">
        <v>40</v>
      </c>
      <c r="J625">
        <v>20</v>
      </c>
      <c r="K625">
        <v>10</v>
      </c>
      <c r="L625">
        <v>0</v>
      </c>
      <c r="M625">
        <v>90</v>
      </c>
      <c r="S625">
        <f t="shared" si="137"/>
        <v>0</v>
      </c>
      <c r="T625">
        <f t="shared" si="138"/>
        <v>7.5</v>
      </c>
      <c r="U625">
        <f t="shared" si="136"/>
        <v>1</v>
      </c>
      <c r="V625">
        <f t="shared" si="139"/>
        <v>0</v>
      </c>
      <c r="W625">
        <f t="shared" si="140"/>
        <v>1</v>
      </c>
      <c r="X625">
        <f t="shared" si="149"/>
        <v>0</v>
      </c>
      <c r="Y625">
        <f t="shared" si="150"/>
        <v>1</v>
      </c>
      <c r="Z625">
        <f t="shared" si="141"/>
        <v>0</v>
      </c>
      <c r="AA625">
        <f t="shared" si="142"/>
        <v>0</v>
      </c>
      <c r="AB625">
        <f t="shared" si="143"/>
        <v>0</v>
      </c>
      <c r="AC625">
        <f t="shared" si="144"/>
        <v>10</v>
      </c>
      <c r="AD625" s="1">
        <f t="shared" si="145"/>
        <v>6.666666666666667</v>
      </c>
      <c r="AE625">
        <f t="shared" si="146"/>
        <v>10</v>
      </c>
      <c r="AF625">
        <f t="shared" si="147"/>
        <v>10</v>
      </c>
      <c r="AG625">
        <f t="shared" si="148"/>
        <v>0</v>
      </c>
    </row>
    <row r="626" spans="1:33" x14ac:dyDescent="0.25">
      <c r="A626" t="s">
        <v>1129</v>
      </c>
      <c r="B626" t="s">
        <v>1130</v>
      </c>
      <c r="C626">
        <v>167513</v>
      </c>
      <c r="D626">
        <v>167513</v>
      </c>
      <c r="E626">
        <v>20</v>
      </c>
      <c r="F626">
        <v>40</v>
      </c>
      <c r="G626">
        <v>20</v>
      </c>
      <c r="O626">
        <v>80</v>
      </c>
      <c r="S626">
        <f t="shared" si="137"/>
        <v>5</v>
      </c>
      <c r="T626">
        <f t="shared" si="138"/>
        <v>0</v>
      </c>
      <c r="U626">
        <f t="shared" si="136"/>
        <v>1</v>
      </c>
      <c r="V626">
        <f t="shared" si="139"/>
        <v>1</v>
      </c>
      <c r="W626">
        <f t="shared" si="140"/>
        <v>0</v>
      </c>
      <c r="X626">
        <f t="shared" si="149"/>
        <v>0</v>
      </c>
      <c r="Y626">
        <f t="shared" si="150"/>
        <v>0</v>
      </c>
      <c r="Z626">
        <f t="shared" si="141"/>
        <v>4</v>
      </c>
      <c r="AA626">
        <f t="shared" si="142"/>
        <v>10</v>
      </c>
      <c r="AB626">
        <f t="shared" si="143"/>
        <v>2.8571428571428572</v>
      </c>
      <c r="AC626">
        <f t="shared" si="144"/>
        <v>0</v>
      </c>
      <c r="AD626" s="1">
        <f t="shared" si="145"/>
        <v>0</v>
      </c>
      <c r="AE626">
        <f t="shared" si="146"/>
        <v>0</v>
      </c>
      <c r="AF626">
        <f t="shared" si="147"/>
        <v>0</v>
      </c>
      <c r="AG626">
        <f t="shared" si="148"/>
        <v>0</v>
      </c>
    </row>
    <row r="627" spans="1:33" x14ac:dyDescent="0.25">
      <c r="A627" t="s">
        <v>1131</v>
      </c>
      <c r="B627" t="s">
        <v>1132</v>
      </c>
      <c r="C627">
        <v>167723</v>
      </c>
      <c r="D627">
        <v>167723</v>
      </c>
      <c r="H627">
        <v>20</v>
      </c>
      <c r="I627">
        <v>40</v>
      </c>
      <c r="J627">
        <v>20</v>
      </c>
      <c r="K627">
        <v>10</v>
      </c>
      <c r="L627">
        <v>0</v>
      </c>
      <c r="M627">
        <v>90</v>
      </c>
      <c r="S627">
        <f t="shared" si="137"/>
        <v>0</v>
      </c>
      <c r="T627">
        <f t="shared" si="138"/>
        <v>7.5</v>
      </c>
      <c r="U627">
        <f t="shared" si="136"/>
        <v>1</v>
      </c>
      <c r="V627">
        <f t="shared" si="139"/>
        <v>0</v>
      </c>
      <c r="W627">
        <f t="shared" si="140"/>
        <v>1</v>
      </c>
      <c r="X627">
        <f t="shared" si="149"/>
        <v>0</v>
      </c>
      <c r="Y627">
        <f t="shared" si="150"/>
        <v>1</v>
      </c>
      <c r="Z627">
        <f t="shared" si="141"/>
        <v>0</v>
      </c>
      <c r="AA627">
        <f t="shared" si="142"/>
        <v>0</v>
      </c>
      <c r="AB627">
        <f t="shared" si="143"/>
        <v>0</v>
      </c>
      <c r="AC627">
        <f t="shared" si="144"/>
        <v>10</v>
      </c>
      <c r="AD627" s="1">
        <f t="shared" si="145"/>
        <v>6.666666666666667</v>
      </c>
      <c r="AE627">
        <f t="shared" si="146"/>
        <v>10</v>
      </c>
      <c r="AF627">
        <f t="shared" si="147"/>
        <v>10</v>
      </c>
      <c r="AG627">
        <f t="shared" si="148"/>
        <v>0</v>
      </c>
    </row>
    <row r="628" spans="1:33" x14ac:dyDescent="0.25">
      <c r="A628" t="s">
        <v>1133</v>
      </c>
      <c r="B628" t="s">
        <v>1134</v>
      </c>
      <c r="C628">
        <v>167202</v>
      </c>
      <c r="D628">
        <v>167202</v>
      </c>
      <c r="E628">
        <v>10</v>
      </c>
      <c r="F628">
        <v>30</v>
      </c>
      <c r="G628">
        <v>40</v>
      </c>
      <c r="O628">
        <v>80</v>
      </c>
      <c r="S628">
        <f t="shared" si="137"/>
        <v>5</v>
      </c>
      <c r="T628">
        <f t="shared" si="138"/>
        <v>0</v>
      </c>
      <c r="U628">
        <f t="shared" si="136"/>
        <v>1</v>
      </c>
      <c r="V628">
        <f t="shared" si="139"/>
        <v>1</v>
      </c>
      <c r="W628">
        <f t="shared" si="140"/>
        <v>0</v>
      </c>
      <c r="X628">
        <f t="shared" si="149"/>
        <v>0</v>
      </c>
      <c r="Y628">
        <f t="shared" si="150"/>
        <v>0</v>
      </c>
      <c r="Z628">
        <f t="shared" si="141"/>
        <v>2</v>
      </c>
      <c r="AA628">
        <f t="shared" si="142"/>
        <v>7.5</v>
      </c>
      <c r="AB628">
        <f t="shared" si="143"/>
        <v>5.7142857142857144</v>
      </c>
      <c r="AC628">
        <f t="shared" si="144"/>
        <v>0</v>
      </c>
      <c r="AD628" s="1">
        <f t="shared" si="145"/>
        <v>0</v>
      </c>
      <c r="AE628">
        <f t="shared" si="146"/>
        <v>0</v>
      </c>
      <c r="AF628">
        <f t="shared" si="147"/>
        <v>0</v>
      </c>
      <c r="AG628">
        <f t="shared" si="148"/>
        <v>0</v>
      </c>
    </row>
    <row r="629" spans="1:33" x14ac:dyDescent="0.25">
      <c r="A629" t="s">
        <v>1135</v>
      </c>
      <c r="B629" t="s">
        <v>614</v>
      </c>
      <c r="C629">
        <v>166259</v>
      </c>
      <c r="D629">
        <v>166259</v>
      </c>
      <c r="H629">
        <v>20</v>
      </c>
      <c r="I629">
        <v>50</v>
      </c>
      <c r="J629">
        <v>20</v>
      </c>
      <c r="K629">
        <v>10</v>
      </c>
      <c r="L629">
        <v>0</v>
      </c>
      <c r="M629">
        <v>100</v>
      </c>
      <c r="S629">
        <f t="shared" si="137"/>
        <v>0</v>
      </c>
      <c r="T629">
        <f t="shared" si="138"/>
        <v>8.3333333333333339</v>
      </c>
      <c r="U629">
        <f t="shared" si="136"/>
        <v>1</v>
      </c>
      <c r="V629">
        <f t="shared" si="139"/>
        <v>0</v>
      </c>
      <c r="W629">
        <f t="shared" si="140"/>
        <v>1</v>
      </c>
      <c r="X629">
        <f t="shared" si="149"/>
        <v>0</v>
      </c>
      <c r="Y629">
        <f t="shared" si="150"/>
        <v>1</v>
      </c>
      <c r="Z629">
        <f t="shared" si="141"/>
        <v>0</v>
      </c>
      <c r="AA629">
        <f t="shared" si="142"/>
        <v>0</v>
      </c>
      <c r="AB629">
        <f t="shared" si="143"/>
        <v>0</v>
      </c>
      <c r="AC629">
        <f t="shared" si="144"/>
        <v>10</v>
      </c>
      <c r="AD629" s="1">
        <f t="shared" si="145"/>
        <v>8.3333333333333339</v>
      </c>
      <c r="AE629">
        <f t="shared" si="146"/>
        <v>10</v>
      </c>
      <c r="AF629">
        <f t="shared" si="147"/>
        <v>10</v>
      </c>
      <c r="AG629">
        <f t="shared" si="148"/>
        <v>0</v>
      </c>
    </row>
    <row r="630" spans="1:33" x14ac:dyDescent="0.25">
      <c r="A630" t="s">
        <v>1136</v>
      </c>
      <c r="B630" t="s">
        <v>1137</v>
      </c>
      <c r="C630">
        <v>168128</v>
      </c>
      <c r="D630">
        <v>168128</v>
      </c>
      <c r="E630">
        <v>40</v>
      </c>
      <c r="F630">
        <v>0</v>
      </c>
      <c r="G630">
        <v>40</v>
      </c>
      <c r="O630">
        <v>80</v>
      </c>
      <c r="S630">
        <f t="shared" si="137"/>
        <v>5</v>
      </c>
      <c r="T630">
        <f t="shared" si="138"/>
        <v>0</v>
      </c>
      <c r="U630">
        <f t="shared" si="136"/>
        <v>1</v>
      </c>
      <c r="V630">
        <f t="shared" si="139"/>
        <v>1</v>
      </c>
      <c r="W630">
        <f t="shared" si="140"/>
        <v>0</v>
      </c>
      <c r="X630">
        <f t="shared" si="149"/>
        <v>0</v>
      </c>
      <c r="Y630">
        <f t="shared" si="150"/>
        <v>0</v>
      </c>
      <c r="Z630">
        <f t="shared" si="141"/>
        <v>8</v>
      </c>
      <c r="AA630">
        <f t="shared" si="142"/>
        <v>0</v>
      </c>
      <c r="AB630">
        <f t="shared" si="143"/>
        <v>5.7142857142857144</v>
      </c>
      <c r="AC630">
        <f t="shared" si="144"/>
        <v>0</v>
      </c>
      <c r="AD630" s="1">
        <f t="shared" si="145"/>
        <v>0</v>
      </c>
      <c r="AE630">
        <f t="shared" si="146"/>
        <v>0</v>
      </c>
      <c r="AF630">
        <f t="shared" si="147"/>
        <v>0</v>
      </c>
      <c r="AG630">
        <f t="shared" si="148"/>
        <v>0</v>
      </c>
    </row>
    <row r="631" spans="1:33" x14ac:dyDescent="0.25">
      <c r="A631" t="s">
        <v>1138</v>
      </c>
      <c r="B631" t="s">
        <v>67</v>
      </c>
      <c r="C631">
        <v>166066</v>
      </c>
      <c r="D631">
        <v>166066</v>
      </c>
      <c r="E631">
        <v>30</v>
      </c>
      <c r="F631">
        <v>30</v>
      </c>
      <c r="G631">
        <v>40</v>
      </c>
      <c r="O631">
        <v>100</v>
      </c>
      <c r="S631">
        <f t="shared" si="137"/>
        <v>6.25</v>
      </c>
      <c r="T631">
        <f t="shared" si="138"/>
        <v>0</v>
      </c>
      <c r="U631">
        <f t="shared" si="136"/>
        <v>1</v>
      </c>
      <c r="V631">
        <f t="shared" si="139"/>
        <v>1</v>
      </c>
      <c r="W631">
        <f t="shared" si="140"/>
        <v>0</v>
      </c>
      <c r="X631">
        <f t="shared" si="149"/>
        <v>1</v>
      </c>
      <c r="Y631">
        <f t="shared" si="150"/>
        <v>0</v>
      </c>
      <c r="Z631">
        <f t="shared" si="141"/>
        <v>6</v>
      </c>
      <c r="AA631">
        <f t="shared" si="142"/>
        <v>7.5</v>
      </c>
      <c r="AB631">
        <f t="shared" si="143"/>
        <v>5.7142857142857144</v>
      </c>
      <c r="AC631">
        <f t="shared" si="144"/>
        <v>0</v>
      </c>
      <c r="AD631" s="1">
        <f t="shared" si="145"/>
        <v>0</v>
      </c>
      <c r="AE631">
        <f t="shared" si="146"/>
        <v>0</v>
      </c>
      <c r="AF631">
        <f t="shared" si="147"/>
        <v>0</v>
      </c>
      <c r="AG631">
        <f t="shared" si="148"/>
        <v>0</v>
      </c>
    </row>
    <row r="632" spans="1:33" x14ac:dyDescent="0.25">
      <c r="A632" t="s">
        <v>1139</v>
      </c>
      <c r="B632" t="s">
        <v>1140</v>
      </c>
      <c r="C632">
        <v>166587</v>
      </c>
      <c r="D632">
        <v>166587</v>
      </c>
      <c r="E632">
        <v>40</v>
      </c>
      <c r="F632">
        <v>40</v>
      </c>
      <c r="G632">
        <v>40</v>
      </c>
      <c r="O632">
        <v>120</v>
      </c>
      <c r="S632">
        <f t="shared" si="137"/>
        <v>7.5</v>
      </c>
      <c r="T632">
        <f t="shared" si="138"/>
        <v>0</v>
      </c>
      <c r="U632">
        <f t="shared" si="136"/>
        <v>1</v>
      </c>
      <c r="V632">
        <f t="shared" si="139"/>
        <v>1</v>
      </c>
      <c r="W632">
        <f t="shared" si="140"/>
        <v>0</v>
      </c>
      <c r="X632">
        <f t="shared" si="149"/>
        <v>1</v>
      </c>
      <c r="Y632">
        <f t="shared" si="150"/>
        <v>0</v>
      </c>
      <c r="Z632">
        <f t="shared" si="141"/>
        <v>8</v>
      </c>
      <c r="AA632">
        <f t="shared" si="142"/>
        <v>10</v>
      </c>
      <c r="AB632">
        <f t="shared" si="143"/>
        <v>5.7142857142857144</v>
      </c>
      <c r="AC632">
        <f t="shared" si="144"/>
        <v>0</v>
      </c>
      <c r="AD632" s="1">
        <f t="shared" si="145"/>
        <v>0</v>
      </c>
      <c r="AE632">
        <f t="shared" si="146"/>
        <v>0</v>
      </c>
      <c r="AF632">
        <f t="shared" si="147"/>
        <v>0</v>
      </c>
      <c r="AG632">
        <f t="shared" si="148"/>
        <v>0</v>
      </c>
    </row>
    <row r="633" spans="1:33" x14ac:dyDescent="0.25">
      <c r="A633" t="s">
        <v>1141</v>
      </c>
      <c r="B633" t="s">
        <v>1142</v>
      </c>
      <c r="C633">
        <v>165945</v>
      </c>
      <c r="D633">
        <v>165945</v>
      </c>
      <c r="E633">
        <v>20</v>
      </c>
      <c r="F633">
        <v>10</v>
      </c>
      <c r="G633">
        <v>40</v>
      </c>
      <c r="O633">
        <v>70</v>
      </c>
      <c r="S633">
        <f t="shared" si="137"/>
        <v>4.375</v>
      </c>
      <c r="T633">
        <f t="shared" si="138"/>
        <v>0</v>
      </c>
      <c r="U633">
        <f t="shared" si="136"/>
        <v>1</v>
      </c>
      <c r="V633">
        <f t="shared" si="139"/>
        <v>1</v>
      </c>
      <c r="W633">
        <f t="shared" si="140"/>
        <v>0</v>
      </c>
      <c r="X633">
        <f t="shared" si="149"/>
        <v>0</v>
      </c>
      <c r="Y633">
        <f t="shared" si="150"/>
        <v>0</v>
      </c>
      <c r="Z633">
        <f t="shared" si="141"/>
        <v>4</v>
      </c>
      <c r="AA633">
        <f t="shared" si="142"/>
        <v>2.5</v>
      </c>
      <c r="AB633">
        <f t="shared" si="143"/>
        <v>5.7142857142857144</v>
      </c>
      <c r="AC633">
        <f t="shared" si="144"/>
        <v>0</v>
      </c>
      <c r="AD633" s="1">
        <f t="shared" si="145"/>
        <v>0</v>
      </c>
      <c r="AE633">
        <f t="shared" si="146"/>
        <v>0</v>
      </c>
      <c r="AF633">
        <f t="shared" si="147"/>
        <v>0</v>
      </c>
      <c r="AG633">
        <f t="shared" si="148"/>
        <v>0</v>
      </c>
    </row>
    <row r="634" spans="1:33" x14ac:dyDescent="0.25">
      <c r="A634" t="s">
        <v>1143</v>
      </c>
      <c r="B634" t="s">
        <v>1144</v>
      </c>
      <c r="C634">
        <v>167226</v>
      </c>
      <c r="D634">
        <v>167226</v>
      </c>
      <c r="H634">
        <v>10</v>
      </c>
      <c r="I634">
        <v>50</v>
      </c>
      <c r="J634">
        <v>20</v>
      </c>
      <c r="K634">
        <v>10</v>
      </c>
      <c r="L634">
        <v>0</v>
      </c>
      <c r="M634">
        <v>90</v>
      </c>
      <c r="S634">
        <f t="shared" si="137"/>
        <v>0</v>
      </c>
      <c r="T634">
        <f t="shared" si="138"/>
        <v>7.5</v>
      </c>
      <c r="U634">
        <f t="shared" si="136"/>
        <v>1</v>
      </c>
      <c r="V634">
        <f t="shared" si="139"/>
        <v>0</v>
      </c>
      <c r="W634">
        <f t="shared" si="140"/>
        <v>1</v>
      </c>
      <c r="X634">
        <f t="shared" si="149"/>
        <v>0</v>
      </c>
      <c r="Y634">
        <f t="shared" si="150"/>
        <v>1</v>
      </c>
      <c r="Z634">
        <f t="shared" si="141"/>
        <v>0</v>
      </c>
      <c r="AA634">
        <f t="shared" si="142"/>
        <v>0</v>
      </c>
      <c r="AB634">
        <f t="shared" si="143"/>
        <v>0</v>
      </c>
      <c r="AC634">
        <f t="shared" si="144"/>
        <v>5</v>
      </c>
      <c r="AD634" s="1">
        <f t="shared" si="145"/>
        <v>8.3333333333333339</v>
      </c>
      <c r="AE634">
        <f t="shared" si="146"/>
        <v>10</v>
      </c>
      <c r="AF634">
        <f t="shared" si="147"/>
        <v>10</v>
      </c>
      <c r="AG634">
        <f t="shared" si="148"/>
        <v>0</v>
      </c>
    </row>
    <row r="635" spans="1:33" x14ac:dyDescent="0.25">
      <c r="A635" t="s">
        <v>1145</v>
      </c>
      <c r="B635" t="s">
        <v>1146</v>
      </c>
      <c r="C635">
        <v>168296</v>
      </c>
      <c r="D635">
        <v>168296</v>
      </c>
      <c r="E635">
        <v>10</v>
      </c>
      <c r="F635">
        <v>30</v>
      </c>
      <c r="G635">
        <v>40</v>
      </c>
      <c r="O635">
        <v>80</v>
      </c>
      <c r="S635">
        <f t="shared" si="137"/>
        <v>5</v>
      </c>
      <c r="T635">
        <f t="shared" si="138"/>
        <v>0</v>
      </c>
      <c r="U635">
        <f t="shared" si="136"/>
        <v>1</v>
      </c>
      <c r="V635">
        <f t="shared" si="139"/>
        <v>1</v>
      </c>
      <c r="W635">
        <f t="shared" si="140"/>
        <v>0</v>
      </c>
      <c r="X635">
        <f t="shared" si="149"/>
        <v>0</v>
      </c>
      <c r="Y635">
        <f t="shared" si="150"/>
        <v>0</v>
      </c>
      <c r="Z635">
        <f t="shared" si="141"/>
        <v>2</v>
      </c>
      <c r="AA635">
        <f t="shared" si="142"/>
        <v>7.5</v>
      </c>
      <c r="AB635">
        <f t="shared" si="143"/>
        <v>5.7142857142857144</v>
      </c>
      <c r="AC635">
        <f t="shared" si="144"/>
        <v>0</v>
      </c>
      <c r="AD635" s="1">
        <f t="shared" si="145"/>
        <v>0</v>
      </c>
      <c r="AE635">
        <f t="shared" si="146"/>
        <v>0</v>
      </c>
      <c r="AF635">
        <f t="shared" si="147"/>
        <v>0</v>
      </c>
      <c r="AG635">
        <f t="shared" si="148"/>
        <v>0</v>
      </c>
    </row>
    <row r="636" spans="1:33" x14ac:dyDescent="0.25">
      <c r="A636" t="s">
        <v>1147</v>
      </c>
      <c r="B636" t="s">
        <v>1148</v>
      </c>
      <c r="C636">
        <v>166789</v>
      </c>
      <c r="D636">
        <v>166789</v>
      </c>
      <c r="E636">
        <v>10</v>
      </c>
      <c r="F636">
        <v>20</v>
      </c>
      <c r="G636">
        <v>30</v>
      </c>
      <c r="O636">
        <v>60</v>
      </c>
      <c r="S636">
        <f t="shared" si="137"/>
        <v>3.75</v>
      </c>
      <c r="T636">
        <f t="shared" si="138"/>
        <v>0</v>
      </c>
      <c r="U636">
        <f t="shared" si="136"/>
        <v>1</v>
      </c>
      <c r="V636">
        <f t="shared" si="139"/>
        <v>1</v>
      </c>
      <c r="W636">
        <f t="shared" si="140"/>
        <v>0</v>
      </c>
      <c r="X636">
        <f t="shared" si="149"/>
        <v>0</v>
      </c>
      <c r="Y636">
        <f t="shared" si="150"/>
        <v>0</v>
      </c>
      <c r="Z636">
        <f t="shared" si="141"/>
        <v>2</v>
      </c>
      <c r="AA636">
        <f t="shared" si="142"/>
        <v>5</v>
      </c>
      <c r="AB636">
        <f t="shared" si="143"/>
        <v>4.2857142857142856</v>
      </c>
      <c r="AC636">
        <f t="shared" si="144"/>
        <v>0</v>
      </c>
      <c r="AD636" s="1">
        <f t="shared" si="145"/>
        <v>0</v>
      </c>
      <c r="AE636">
        <f t="shared" si="146"/>
        <v>0</v>
      </c>
      <c r="AF636">
        <f t="shared" si="147"/>
        <v>0</v>
      </c>
      <c r="AG636">
        <f t="shared" si="148"/>
        <v>0</v>
      </c>
    </row>
    <row r="637" spans="1:33" x14ac:dyDescent="0.25">
      <c r="A637" t="s">
        <v>1149</v>
      </c>
      <c r="B637" t="s">
        <v>1150</v>
      </c>
      <c r="C637">
        <v>166104</v>
      </c>
      <c r="D637">
        <v>166104</v>
      </c>
      <c r="E637">
        <v>20</v>
      </c>
      <c r="F637">
        <v>10</v>
      </c>
      <c r="G637">
        <v>50</v>
      </c>
      <c r="O637">
        <v>80</v>
      </c>
      <c r="S637">
        <f t="shared" si="137"/>
        <v>5</v>
      </c>
      <c r="T637">
        <f t="shared" si="138"/>
        <v>0</v>
      </c>
      <c r="U637">
        <f t="shared" si="136"/>
        <v>1</v>
      </c>
      <c r="V637">
        <f t="shared" si="139"/>
        <v>1</v>
      </c>
      <c r="W637">
        <f t="shared" si="140"/>
        <v>0</v>
      </c>
      <c r="X637">
        <f t="shared" si="149"/>
        <v>0</v>
      </c>
      <c r="Y637">
        <f t="shared" si="150"/>
        <v>0</v>
      </c>
      <c r="Z637">
        <f t="shared" si="141"/>
        <v>4</v>
      </c>
      <c r="AA637">
        <f t="shared" si="142"/>
        <v>2.5</v>
      </c>
      <c r="AB637">
        <f t="shared" si="143"/>
        <v>7.1428571428571432</v>
      </c>
      <c r="AC637">
        <f t="shared" si="144"/>
        <v>0</v>
      </c>
      <c r="AD637" s="1">
        <f t="shared" si="145"/>
        <v>0</v>
      </c>
      <c r="AE637">
        <f t="shared" si="146"/>
        <v>0</v>
      </c>
      <c r="AF637">
        <f t="shared" si="147"/>
        <v>0</v>
      </c>
      <c r="AG637">
        <f t="shared" si="148"/>
        <v>0</v>
      </c>
    </row>
    <row r="638" spans="1:33" x14ac:dyDescent="0.25">
      <c r="A638" t="s">
        <v>1151</v>
      </c>
      <c r="B638" t="s">
        <v>1152</v>
      </c>
      <c r="C638">
        <v>168891</v>
      </c>
      <c r="D638">
        <v>168891</v>
      </c>
      <c r="H638">
        <v>10</v>
      </c>
      <c r="I638">
        <v>10</v>
      </c>
      <c r="J638">
        <v>10</v>
      </c>
      <c r="K638">
        <v>10</v>
      </c>
      <c r="L638">
        <v>0</v>
      </c>
      <c r="M638">
        <v>40</v>
      </c>
      <c r="S638">
        <f t="shared" si="137"/>
        <v>0</v>
      </c>
      <c r="T638">
        <f t="shared" si="138"/>
        <v>3.3333333333333335</v>
      </c>
      <c r="U638">
        <f t="shared" si="136"/>
        <v>1</v>
      </c>
      <c r="V638">
        <f t="shared" si="139"/>
        <v>0</v>
      </c>
      <c r="W638">
        <f t="shared" si="140"/>
        <v>1</v>
      </c>
      <c r="X638">
        <f t="shared" si="149"/>
        <v>0</v>
      </c>
      <c r="Y638">
        <f t="shared" si="150"/>
        <v>0</v>
      </c>
      <c r="Z638">
        <f t="shared" si="141"/>
        <v>0</v>
      </c>
      <c r="AA638">
        <f t="shared" si="142"/>
        <v>0</v>
      </c>
      <c r="AB638">
        <f t="shared" si="143"/>
        <v>0</v>
      </c>
      <c r="AC638">
        <f t="shared" si="144"/>
        <v>5</v>
      </c>
      <c r="AD638" s="1">
        <f t="shared" si="145"/>
        <v>1.6666666666666667</v>
      </c>
      <c r="AE638">
        <f t="shared" si="146"/>
        <v>5</v>
      </c>
      <c r="AF638">
        <f t="shared" si="147"/>
        <v>10</v>
      </c>
      <c r="AG638">
        <f t="shared" si="148"/>
        <v>0</v>
      </c>
    </row>
    <row r="639" spans="1:33" x14ac:dyDescent="0.25">
      <c r="A639" t="s">
        <v>1153</v>
      </c>
      <c r="B639" t="s">
        <v>1154</v>
      </c>
      <c r="C639">
        <v>166590</v>
      </c>
      <c r="D639">
        <v>166590</v>
      </c>
      <c r="H639">
        <v>10</v>
      </c>
      <c r="I639">
        <v>20</v>
      </c>
      <c r="J639">
        <v>10</v>
      </c>
      <c r="K639">
        <v>0</v>
      </c>
      <c r="L639">
        <v>10</v>
      </c>
      <c r="M639">
        <v>50</v>
      </c>
      <c r="S639">
        <f t="shared" si="137"/>
        <v>0</v>
      </c>
      <c r="T639">
        <f t="shared" si="138"/>
        <v>4.166666666666667</v>
      </c>
      <c r="U639">
        <f t="shared" si="136"/>
        <v>1</v>
      </c>
      <c r="V639">
        <f t="shared" si="139"/>
        <v>0</v>
      </c>
      <c r="W639">
        <f t="shared" si="140"/>
        <v>1</v>
      </c>
      <c r="X639">
        <f t="shared" si="149"/>
        <v>0</v>
      </c>
      <c r="Y639">
        <f t="shared" si="150"/>
        <v>0</v>
      </c>
      <c r="Z639">
        <f t="shared" si="141"/>
        <v>0</v>
      </c>
      <c r="AA639">
        <f t="shared" si="142"/>
        <v>0</v>
      </c>
      <c r="AB639">
        <f t="shared" si="143"/>
        <v>0</v>
      </c>
      <c r="AC639">
        <f t="shared" si="144"/>
        <v>5</v>
      </c>
      <c r="AD639" s="1">
        <f t="shared" si="145"/>
        <v>3.3333333333333335</v>
      </c>
      <c r="AE639">
        <f t="shared" si="146"/>
        <v>5</v>
      </c>
      <c r="AF639">
        <f t="shared" si="147"/>
        <v>0</v>
      </c>
      <c r="AG639">
        <f t="shared" si="148"/>
        <v>10</v>
      </c>
    </row>
    <row r="640" spans="1:33" x14ac:dyDescent="0.25">
      <c r="A640" t="s">
        <v>1155</v>
      </c>
      <c r="B640" t="s">
        <v>1156</v>
      </c>
      <c r="C640">
        <v>166753</v>
      </c>
      <c r="D640">
        <v>166753</v>
      </c>
      <c r="H640">
        <v>20</v>
      </c>
      <c r="I640">
        <v>60</v>
      </c>
      <c r="J640">
        <v>20</v>
      </c>
      <c r="K640">
        <v>10</v>
      </c>
      <c r="L640">
        <v>0</v>
      </c>
      <c r="M640">
        <v>110</v>
      </c>
      <c r="S640">
        <f t="shared" si="137"/>
        <v>0</v>
      </c>
      <c r="T640">
        <f t="shared" si="138"/>
        <v>9.1666666666666661</v>
      </c>
      <c r="U640">
        <f t="shared" si="136"/>
        <v>1</v>
      </c>
      <c r="V640">
        <f t="shared" si="139"/>
        <v>0</v>
      </c>
      <c r="W640">
        <f t="shared" si="140"/>
        <v>1</v>
      </c>
      <c r="X640">
        <f t="shared" si="149"/>
        <v>0</v>
      </c>
      <c r="Y640">
        <f t="shared" si="150"/>
        <v>1</v>
      </c>
      <c r="Z640">
        <f t="shared" si="141"/>
        <v>0</v>
      </c>
      <c r="AA640">
        <f t="shared" si="142"/>
        <v>0</v>
      </c>
      <c r="AB640">
        <f t="shared" si="143"/>
        <v>0</v>
      </c>
      <c r="AC640">
        <f t="shared" si="144"/>
        <v>10</v>
      </c>
      <c r="AD640" s="1">
        <f t="shared" si="145"/>
        <v>10</v>
      </c>
      <c r="AE640">
        <f t="shared" si="146"/>
        <v>10</v>
      </c>
      <c r="AF640">
        <f t="shared" si="147"/>
        <v>10</v>
      </c>
      <c r="AG640">
        <f t="shared" si="148"/>
        <v>0</v>
      </c>
    </row>
    <row r="641" spans="1:33" x14ac:dyDescent="0.25">
      <c r="A641" t="s">
        <v>1157</v>
      </c>
      <c r="B641" t="s">
        <v>1158</v>
      </c>
      <c r="C641">
        <v>166776</v>
      </c>
      <c r="D641">
        <v>166776</v>
      </c>
      <c r="E641">
        <v>30</v>
      </c>
      <c r="F641">
        <v>40</v>
      </c>
      <c r="G641">
        <v>60</v>
      </c>
      <c r="O641">
        <v>130</v>
      </c>
      <c r="S641">
        <f t="shared" si="137"/>
        <v>8.125</v>
      </c>
      <c r="T641">
        <f t="shared" si="138"/>
        <v>0</v>
      </c>
      <c r="U641">
        <f t="shared" si="136"/>
        <v>1</v>
      </c>
      <c r="V641">
        <f t="shared" si="139"/>
        <v>1</v>
      </c>
      <c r="W641">
        <f t="shared" si="140"/>
        <v>0</v>
      </c>
      <c r="X641">
        <f t="shared" si="149"/>
        <v>1</v>
      </c>
      <c r="Y641">
        <f t="shared" si="150"/>
        <v>0</v>
      </c>
      <c r="Z641">
        <f t="shared" si="141"/>
        <v>6</v>
      </c>
      <c r="AA641">
        <f t="shared" si="142"/>
        <v>10</v>
      </c>
      <c r="AB641">
        <f t="shared" si="143"/>
        <v>8.5714285714285712</v>
      </c>
      <c r="AC641">
        <f t="shared" si="144"/>
        <v>0</v>
      </c>
      <c r="AD641" s="1">
        <f t="shared" si="145"/>
        <v>0</v>
      </c>
      <c r="AE641">
        <f t="shared" si="146"/>
        <v>0</v>
      </c>
      <c r="AF641">
        <f t="shared" si="147"/>
        <v>0</v>
      </c>
      <c r="AG641">
        <f t="shared" si="148"/>
        <v>0</v>
      </c>
    </row>
    <row r="642" spans="1:33" x14ac:dyDescent="0.25">
      <c r="A642" t="s">
        <v>1159</v>
      </c>
      <c r="B642" t="s">
        <v>1160</v>
      </c>
      <c r="C642">
        <v>166586</v>
      </c>
      <c r="D642">
        <v>166586</v>
      </c>
      <c r="H642">
        <v>10</v>
      </c>
      <c r="I642">
        <v>40</v>
      </c>
      <c r="J642">
        <v>20</v>
      </c>
      <c r="K642">
        <v>10</v>
      </c>
      <c r="L642">
        <v>10</v>
      </c>
      <c r="M642">
        <v>90</v>
      </c>
      <c r="S642">
        <f t="shared" si="137"/>
        <v>0</v>
      </c>
      <c r="T642">
        <f t="shared" si="138"/>
        <v>7.5</v>
      </c>
      <c r="U642">
        <f t="shared" ref="U642:U705" si="151">IF(AND(E642="",F642="",G642="",H642="",I642="",J642="",K642="",L642="",M642=""),0,1)</f>
        <v>1</v>
      </c>
      <c r="V642">
        <f t="shared" si="139"/>
        <v>0</v>
      </c>
      <c r="W642">
        <f t="shared" si="140"/>
        <v>1</v>
      </c>
      <c r="X642">
        <f t="shared" si="149"/>
        <v>0</v>
      </c>
      <c r="Y642">
        <f t="shared" si="150"/>
        <v>1</v>
      </c>
      <c r="Z642">
        <f t="shared" si="141"/>
        <v>0</v>
      </c>
      <c r="AA642">
        <f t="shared" si="142"/>
        <v>0</v>
      </c>
      <c r="AB642">
        <f t="shared" si="143"/>
        <v>0</v>
      </c>
      <c r="AC642">
        <f t="shared" si="144"/>
        <v>5</v>
      </c>
      <c r="AD642" s="1">
        <f t="shared" si="145"/>
        <v>6.666666666666667</v>
      </c>
      <c r="AE642">
        <f t="shared" si="146"/>
        <v>10</v>
      </c>
      <c r="AF642">
        <f t="shared" si="147"/>
        <v>10</v>
      </c>
      <c r="AG642">
        <f t="shared" si="148"/>
        <v>10</v>
      </c>
    </row>
    <row r="643" spans="1:33" x14ac:dyDescent="0.25">
      <c r="A643" t="s">
        <v>1161</v>
      </c>
      <c r="B643" t="s">
        <v>677</v>
      </c>
      <c r="C643">
        <v>167875</v>
      </c>
      <c r="D643">
        <v>167875</v>
      </c>
      <c r="H643">
        <v>0</v>
      </c>
      <c r="I643">
        <v>40</v>
      </c>
      <c r="J643">
        <v>0</v>
      </c>
      <c r="K643">
        <v>10</v>
      </c>
      <c r="L643">
        <v>10</v>
      </c>
      <c r="M643">
        <v>60</v>
      </c>
      <c r="S643">
        <f t="shared" ref="S643:S706" si="152">O643/16</f>
        <v>0</v>
      </c>
      <c r="T643">
        <f t="shared" ref="T643:T706" si="153">M643/12</f>
        <v>5</v>
      </c>
      <c r="U643">
        <f t="shared" si="151"/>
        <v>1</v>
      </c>
      <c r="V643">
        <f t="shared" ref="V643:V706" si="154">IF(O643="",0,1)</f>
        <v>0</v>
      </c>
      <c r="W643">
        <f t="shared" ref="W643:W706" si="155">IF(M643="",0,1)</f>
        <v>1</v>
      </c>
      <c r="X643">
        <f t="shared" si="149"/>
        <v>0</v>
      </c>
      <c r="Y643">
        <f t="shared" si="150"/>
        <v>0</v>
      </c>
      <c r="Z643">
        <f t="shared" ref="Z643:Z706" si="156">E643/5</f>
        <v>0</v>
      </c>
      <c r="AA643">
        <f t="shared" ref="AA643:AA706" si="157">F643/4</f>
        <v>0</v>
      </c>
      <c r="AB643">
        <f t="shared" ref="AB643:AB706" si="158">G643/7</f>
        <v>0</v>
      </c>
      <c r="AC643">
        <f t="shared" ref="AC643:AC706" si="159">H643/2</f>
        <v>0</v>
      </c>
      <c r="AD643" s="1">
        <f t="shared" ref="AD643:AD706" si="160">I643/6</f>
        <v>6.666666666666667</v>
      </c>
      <c r="AE643">
        <f t="shared" ref="AE643:AE706" si="161">J643/2</f>
        <v>0</v>
      </c>
      <c r="AF643">
        <f t="shared" ref="AF643:AF706" si="162">K643</f>
        <v>10</v>
      </c>
      <c r="AG643">
        <f t="shared" ref="AF643:AG706" si="163">L643</f>
        <v>10</v>
      </c>
    </row>
    <row r="644" spans="1:33" x14ac:dyDescent="0.25">
      <c r="A644" t="s">
        <v>1162</v>
      </c>
      <c r="B644" t="s">
        <v>1163</v>
      </c>
      <c r="C644">
        <v>165308</v>
      </c>
      <c r="D644">
        <v>165308</v>
      </c>
      <c r="S644">
        <f t="shared" si="152"/>
        <v>0</v>
      </c>
      <c r="T644">
        <f t="shared" si="153"/>
        <v>0</v>
      </c>
      <c r="U644">
        <f t="shared" si="151"/>
        <v>0</v>
      </c>
      <c r="V644">
        <f t="shared" si="154"/>
        <v>0</v>
      </c>
      <c r="W644">
        <f t="shared" si="155"/>
        <v>0</v>
      </c>
      <c r="X644">
        <f t="shared" si="149"/>
        <v>0</v>
      </c>
      <c r="Y644">
        <f t="shared" si="150"/>
        <v>0</v>
      </c>
      <c r="Z644">
        <f t="shared" si="156"/>
        <v>0</v>
      </c>
      <c r="AA644">
        <f t="shared" si="157"/>
        <v>0</v>
      </c>
      <c r="AB644">
        <f t="shared" si="158"/>
        <v>0</v>
      </c>
      <c r="AC644">
        <f t="shared" si="159"/>
        <v>0</v>
      </c>
      <c r="AD644" s="1">
        <f t="shared" si="160"/>
        <v>0</v>
      </c>
      <c r="AE644">
        <f t="shared" si="161"/>
        <v>0</v>
      </c>
      <c r="AF644">
        <f t="shared" si="162"/>
        <v>0</v>
      </c>
      <c r="AG644">
        <f t="shared" si="163"/>
        <v>0</v>
      </c>
    </row>
    <row r="645" spans="1:33" x14ac:dyDescent="0.25">
      <c r="A645" t="s">
        <v>1164</v>
      </c>
      <c r="B645" t="s">
        <v>1165</v>
      </c>
      <c r="C645">
        <v>163710</v>
      </c>
      <c r="D645">
        <v>163710</v>
      </c>
      <c r="E645">
        <v>10</v>
      </c>
      <c r="F645">
        <v>20</v>
      </c>
      <c r="G645">
        <v>40</v>
      </c>
      <c r="O645">
        <v>70</v>
      </c>
      <c r="S645">
        <f t="shared" si="152"/>
        <v>4.375</v>
      </c>
      <c r="T645">
        <f t="shared" si="153"/>
        <v>0</v>
      </c>
      <c r="U645">
        <f t="shared" si="151"/>
        <v>1</v>
      </c>
      <c r="V645">
        <f t="shared" si="154"/>
        <v>1</v>
      </c>
      <c r="W645">
        <f t="shared" si="155"/>
        <v>0</v>
      </c>
      <c r="X645">
        <f t="shared" ref="X645:X708" si="164">IF(AND(V645=1,S645&gt;6),1,0)</f>
        <v>0</v>
      </c>
      <c r="Y645">
        <f t="shared" ref="Y645:Y708" si="165">IF(AND(W645=1,T645&gt;6),1,0)</f>
        <v>0</v>
      </c>
      <c r="Z645">
        <f t="shared" si="156"/>
        <v>2</v>
      </c>
      <c r="AA645">
        <f t="shared" si="157"/>
        <v>5</v>
      </c>
      <c r="AB645">
        <f t="shared" si="158"/>
        <v>5.7142857142857144</v>
      </c>
      <c r="AC645">
        <f t="shared" si="159"/>
        <v>0</v>
      </c>
      <c r="AD645" s="1">
        <f t="shared" si="160"/>
        <v>0</v>
      </c>
      <c r="AE645">
        <f t="shared" si="161"/>
        <v>0</v>
      </c>
      <c r="AF645">
        <f t="shared" si="162"/>
        <v>0</v>
      </c>
      <c r="AG645">
        <f t="shared" si="163"/>
        <v>0</v>
      </c>
    </row>
    <row r="646" spans="1:33" x14ac:dyDescent="0.25">
      <c r="A646" t="s">
        <v>1166</v>
      </c>
      <c r="B646" t="s">
        <v>1167</v>
      </c>
      <c r="C646">
        <v>167170</v>
      </c>
      <c r="D646">
        <v>167170</v>
      </c>
      <c r="H646">
        <v>20</v>
      </c>
      <c r="I646">
        <v>50</v>
      </c>
      <c r="J646">
        <v>10</v>
      </c>
      <c r="K646">
        <v>10</v>
      </c>
      <c r="L646">
        <v>0</v>
      </c>
      <c r="M646">
        <v>90</v>
      </c>
      <c r="S646">
        <f t="shared" si="152"/>
        <v>0</v>
      </c>
      <c r="T646">
        <f t="shared" si="153"/>
        <v>7.5</v>
      </c>
      <c r="U646">
        <f t="shared" si="151"/>
        <v>1</v>
      </c>
      <c r="V646">
        <f t="shared" si="154"/>
        <v>0</v>
      </c>
      <c r="W646">
        <f t="shared" si="155"/>
        <v>1</v>
      </c>
      <c r="X646">
        <f t="shared" si="164"/>
        <v>0</v>
      </c>
      <c r="Y646">
        <f t="shared" si="165"/>
        <v>1</v>
      </c>
      <c r="Z646">
        <f t="shared" si="156"/>
        <v>0</v>
      </c>
      <c r="AA646">
        <f t="shared" si="157"/>
        <v>0</v>
      </c>
      <c r="AB646">
        <f t="shared" si="158"/>
        <v>0</v>
      </c>
      <c r="AC646">
        <f t="shared" si="159"/>
        <v>10</v>
      </c>
      <c r="AD646" s="1">
        <f t="shared" si="160"/>
        <v>8.3333333333333339</v>
      </c>
      <c r="AE646">
        <f t="shared" si="161"/>
        <v>5</v>
      </c>
      <c r="AF646">
        <f t="shared" si="162"/>
        <v>10</v>
      </c>
      <c r="AG646">
        <f t="shared" si="163"/>
        <v>0</v>
      </c>
    </row>
    <row r="647" spans="1:33" x14ac:dyDescent="0.25">
      <c r="A647" t="s">
        <v>1168</v>
      </c>
      <c r="B647" t="s">
        <v>1169</v>
      </c>
      <c r="C647">
        <v>168605</v>
      </c>
      <c r="D647">
        <v>168605</v>
      </c>
      <c r="S647">
        <f t="shared" si="152"/>
        <v>0</v>
      </c>
      <c r="T647">
        <f t="shared" si="153"/>
        <v>0</v>
      </c>
      <c r="U647">
        <f t="shared" si="151"/>
        <v>0</v>
      </c>
      <c r="V647">
        <f t="shared" si="154"/>
        <v>0</v>
      </c>
      <c r="W647">
        <f t="shared" si="155"/>
        <v>0</v>
      </c>
      <c r="X647">
        <f t="shared" si="164"/>
        <v>0</v>
      </c>
      <c r="Y647">
        <f t="shared" si="165"/>
        <v>0</v>
      </c>
      <c r="Z647">
        <f t="shared" si="156"/>
        <v>0</v>
      </c>
      <c r="AA647">
        <f t="shared" si="157"/>
        <v>0</v>
      </c>
      <c r="AB647">
        <f t="shared" si="158"/>
        <v>0</v>
      </c>
      <c r="AC647">
        <f t="shared" si="159"/>
        <v>0</v>
      </c>
      <c r="AD647" s="1">
        <f t="shared" si="160"/>
        <v>0</v>
      </c>
      <c r="AE647">
        <f t="shared" si="161"/>
        <v>0</v>
      </c>
      <c r="AF647">
        <f t="shared" si="162"/>
        <v>0</v>
      </c>
      <c r="AG647">
        <f t="shared" si="163"/>
        <v>0</v>
      </c>
    </row>
    <row r="648" spans="1:33" x14ac:dyDescent="0.25">
      <c r="A648" t="s">
        <v>1170</v>
      </c>
      <c r="B648" t="s">
        <v>1171</v>
      </c>
      <c r="C648">
        <v>168728</v>
      </c>
      <c r="D648">
        <v>168728</v>
      </c>
      <c r="E648">
        <v>10</v>
      </c>
      <c r="F648">
        <v>10</v>
      </c>
      <c r="G648">
        <v>10</v>
      </c>
      <c r="O648">
        <v>30</v>
      </c>
      <c r="S648">
        <f t="shared" si="152"/>
        <v>1.875</v>
      </c>
      <c r="T648">
        <f t="shared" si="153"/>
        <v>0</v>
      </c>
      <c r="U648">
        <f t="shared" si="151"/>
        <v>1</v>
      </c>
      <c r="V648">
        <f t="shared" si="154"/>
        <v>1</v>
      </c>
      <c r="W648">
        <f t="shared" si="155"/>
        <v>0</v>
      </c>
      <c r="X648">
        <f t="shared" si="164"/>
        <v>0</v>
      </c>
      <c r="Y648">
        <f t="shared" si="165"/>
        <v>0</v>
      </c>
      <c r="Z648">
        <f t="shared" si="156"/>
        <v>2</v>
      </c>
      <c r="AA648">
        <f t="shared" si="157"/>
        <v>2.5</v>
      </c>
      <c r="AB648">
        <f t="shared" si="158"/>
        <v>1.4285714285714286</v>
      </c>
      <c r="AC648">
        <f t="shared" si="159"/>
        <v>0</v>
      </c>
      <c r="AD648" s="1">
        <f t="shared" si="160"/>
        <v>0</v>
      </c>
      <c r="AE648">
        <f t="shared" si="161"/>
        <v>0</v>
      </c>
      <c r="AF648">
        <f t="shared" si="162"/>
        <v>0</v>
      </c>
      <c r="AG648">
        <f t="shared" si="163"/>
        <v>0</v>
      </c>
    </row>
    <row r="649" spans="1:33" x14ac:dyDescent="0.25">
      <c r="A649" t="s">
        <v>1172</v>
      </c>
      <c r="B649" t="s">
        <v>725</v>
      </c>
      <c r="C649">
        <v>165744</v>
      </c>
      <c r="D649">
        <v>165744</v>
      </c>
      <c r="H649">
        <v>20</v>
      </c>
      <c r="I649">
        <v>60</v>
      </c>
      <c r="J649">
        <v>20</v>
      </c>
      <c r="K649">
        <v>10</v>
      </c>
      <c r="L649">
        <v>10</v>
      </c>
      <c r="M649">
        <v>120</v>
      </c>
      <c r="S649">
        <f t="shared" si="152"/>
        <v>0</v>
      </c>
      <c r="T649">
        <f t="shared" si="153"/>
        <v>10</v>
      </c>
      <c r="U649">
        <f t="shared" si="151"/>
        <v>1</v>
      </c>
      <c r="V649">
        <f t="shared" si="154"/>
        <v>0</v>
      </c>
      <c r="W649">
        <f t="shared" si="155"/>
        <v>1</v>
      </c>
      <c r="X649">
        <f t="shared" si="164"/>
        <v>0</v>
      </c>
      <c r="Y649">
        <f t="shared" si="165"/>
        <v>1</v>
      </c>
      <c r="Z649">
        <f t="shared" si="156"/>
        <v>0</v>
      </c>
      <c r="AA649">
        <f t="shared" si="157"/>
        <v>0</v>
      </c>
      <c r="AB649">
        <f t="shared" si="158"/>
        <v>0</v>
      </c>
      <c r="AC649">
        <f t="shared" si="159"/>
        <v>10</v>
      </c>
      <c r="AD649" s="1">
        <f t="shared" si="160"/>
        <v>10</v>
      </c>
      <c r="AE649">
        <f t="shared" si="161"/>
        <v>10</v>
      </c>
      <c r="AF649">
        <f t="shared" si="162"/>
        <v>10</v>
      </c>
      <c r="AG649">
        <f t="shared" si="163"/>
        <v>10</v>
      </c>
    </row>
    <row r="650" spans="1:33" x14ac:dyDescent="0.25">
      <c r="A650" t="s">
        <v>1173</v>
      </c>
      <c r="B650" t="s">
        <v>1174</v>
      </c>
      <c r="C650">
        <v>166840</v>
      </c>
      <c r="D650">
        <v>166840</v>
      </c>
      <c r="H650">
        <v>0</v>
      </c>
      <c r="I650">
        <v>40</v>
      </c>
      <c r="J650">
        <v>10</v>
      </c>
      <c r="K650">
        <v>10</v>
      </c>
      <c r="L650">
        <v>0</v>
      </c>
      <c r="M650">
        <v>60</v>
      </c>
      <c r="S650">
        <f t="shared" si="152"/>
        <v>0</v>
      </c>
      <c r="T650">
        <f t="shared" si="153"/>
        <v>5</v>
      </c>
      <c r="U650">
        <f t="shared" si="151"/>
        <v>1</v>
      </c>
      <c r="V650">
        <f t="shared" si="154"/>
        <v>0</v>
      </c>
      <c r="W650">
        <f t="shared" si="155"/>
        <v>1</v>
      </c>
      <c r="X650">
        <f t="shared" si="164"/>
        <v>0</v>
      </c>
      <c r="Y650">
        <f t="shared" si="165"/>
        <v>0</v>
      </c>
      <c r="Z650">
        <f t="shared" si="156"/>
        <v>0</v>
      </c>
      <c r="AA650">
        <f t="shared" si="157"/>
        <v>0</v>
      </c>
      <c r="AB650">
        <f t="shared" si="158"/>
        <v>0</v>
      </c>
      <c r="AC650">
        <f t="shared" si="159"/>
        <v>0</v>
      </c>
      <c r="AD650" s="1">
        <f t="shared" si="160"/>
        <v>6.666666666666667</v>
      </c>
      <c r="AE650">
        <f t="shared" si="161"/>
        <v>5</v>
      </c>
      <c r="AF650">
        <f t="shared" si="162"/>
        <v>10</v>
      </c>
      <c r="AG650">
        <f t="shared" si="163"/>
        <v>0</v>
      </c>
    </row>
    <row r="651" spans="1:33" x14ac:dyDescent="0.25">
      <c r="A651" t="s">
        <v>1175</v>
      </c>
      <c r="B651" t="s">
        <v>577</v>
      </c>
      <c r="C651">
        <v>166263</v>
      </c>
      <c r="D651">
        <v>166263</v>
      </c>
      <c r="E651">
        <v>10</v>
      </c>
      <c r="F651">
        <v>20</v>
      </c>
      <c r="G651">
        <v>30</v>
      </c>
      <c r="O651">
        <v>60</v>
      </c>
      <c r="S651">
        <f t="shared" si="152"/>
        <v>3.75</v>
      </c>
      <c r="T651">
        <f t="shared" si="153"/>
        <v>0</v>
      </c>
      <c r="U651">
        <f t="shared" si="151"/>
        <v>1</v>
      </c>
      <c r="V651">
        <f t="shared" si="154"/>
        <v>1</v>
      </c>
      <c r="W651">
        <f t="shared" si="155"/>
        <v>0</v>
      </c>
      <c r="X651">
        <f t="shared" si="164"/>
        <v>0</v>
      </c>
      <c r="Y651">
        <f t="shared" si="165"/>
        <v>0</v>
      </c>
      <c r="Z651">
        <f t="shared" si="156"/>
        <v>2</v>
      </c>
      <c r="AA651">
        <f t="shared" si="157"/>
        <v>5</v>
      </c>
      <c r="AB651">
        <f t="shared" si="158"/>
        <v>4.2857142857142856</v>
      </c>
      <c r="AC651">
        <f t="shared" si="159"/>
        <v>0</v>
      </c>
      <c r="AD651" s="1">
        <f t="shared" si="160"/>
        <v>0</v>
      </c>
      <c r="AE651">
        <f t="shared" si="161"/>
        <v>0</v>
      </c>
      <c r="AF651">
        <f t="shared" si="162"/>
        <v>0</v>
      </c>
      <c r="AG651">
        <f t="shared" si="163"/>
        <v>0</v>
      </c>
    </row>
    <row r="652" spans="1:33" x14ac:dyDescent="0.25">
      <c r="A652" t="s">
        <v>1176</v>
      </c>
      <c r="B652" t="s">
        <v>1177</v>
      </c>
      <c r="C652">
        <v>165577</v>
      </c>
      <c r="D652">
        <v>165577</v>
      </c>
      <c r="H652">
        <v>10</v>
      </c>
      <c r="I652">
        <v>20</v>
      </c>
      <c r="J652">
        <v>10</v>
      </c>
      <c r="K652">
        <v>0</v>
      </c>
      <c r="L652">
        <v>0</v>
      </c>
      <c r="M652">
        <v>40</v>
      </c>
      <c r="S652">
        <f t="shared" si="152"/>
        <v>0</v>
      </c>
      <c r="T652">
        <f t="shared" si="153"/>
        <v>3.3333333333333335</v>
      </c>
      <c r="U652">
        <f t="shared" si="151"/>
        <v>1</v>
      </c>
      <c r="V652">
        <f t="shared" si="154"/>
        <v>0</v>
      </c>
      <c r="W652">
        <f t="shared" si="155"/>
        <v>1</v>
      </c>
      <c r="X652">
        <f t="shared" si="164"/>
        <v>0</v>
      </c>
      <c r="Y652">
        <f t="shared" si="165"/>
        <v>0</v>
      </c>
      <c r="Z652">
        <f t="shared" si="156"/>
        <v>0</v>
      </c>
      <c r="AA652">
        <f t="shared" si="157"/>
        <v>0</v>
      </c>
      <c r="AB652">
        <f t="shared" si="158"/>
        <v>0</v>
      </c>
      <c r="AC652">
        <f t="shared" si="159"/>
        <v>5</v>
      </c>
      <c r="AD652" s="1">
        <f t="shared" si="160"/>
        <v>3.3333333333333335</v>
      </c>
      <c r="AE652">
        <f t="shared" si="161"/>
        <v>5</v>
      </c>
      <c r="AF652">
        <f t="shared" si="162"/>
        <v>0</v>
      </c>
      <c r="AG652">
        <f t="shared" si="163"/>
        <v>0</v>
      </c>
    </row>
    <row r="653" spans="1:33" x14ac:dyDescent="0.25">
      <c r="A653" t="s">
        <v>1178</v>
      </c>
      <c r="B653" t="s">
        <v>725</v>
      </c>
      <c r="C653">
        <v>165515</v>
      </c>
      <c r="D653">
        <v>165515</v>
      </c>
      <c r="S653">
        <f t="shared" si="152"/>
        <v>0</v>
      </c>
      <c r="T653">
        <f t="shared" si="153"/>
        <v>0</v>
      </c>
      <c r="U653">
        <f t="shared" si="151"/>
        <v>0</v>
      </c>
      <c r="V653">
        <f t="shared" si="154"/>
        <v>0</v>
      </c>
      <c r="W653">
        <f t="shared" si="155"/>
        <v>0</v>
      </c>
      <c r="X653">
        <f t="shared" si="164"/>
        <v>0</v>
      </c>
      <c r="Y653">
        <f t="shared" si="165"/>
        <v>0</v>
      </c>
      <c r="Z653">
        <f t="shared" si="156"/>
        <v>0</v>
      </c>
      <c r="AA653">
        <f t="shared" si="157"/>
        <v>0</v>
      </c>
      <c r="AB653">
        <f t="shared" si="158"/>
        <v>0</v>
      </c>
      <c r="AC653">
        <f t="shared" si="159"/>
        <v>0</v>
      </c>
      <c r="AD653" s="1">
        <f t="shared" si="160"/>
        <v>0</v>
      </c>
      <c r="AE653">
        <f t="shared" si="161"/>
        <v>0</v>
      </c>
      <c r="AF653">
        <f t="shared" si="162"/>
        <v>0</v>
      </c>
      <c r="AG653">
        <f t="shared" si="163"/>
        <v>0</v>
      </c>
    </row>
    <row r="654" spans="1:33" x14ac:dyDescent="0.25">
      <c r="A654" t="s">
        <v>1179</v>
      </c>
      <c r="B654" t="s">
        <v>1180</v>
      </c>
      <c r="C654">
        <v>168778</v>
      </c>
      <c r="D654">
        <v>168778</v>
      </c>
      <c r="H654">
        <v>10</v>
      </c>
      <c r="I654">
        <v>30</v>
      </c>
      <c r="J654">
        <v>10</v>
      </c>
      <c r="K654">
        <v>10</v>
      </c>
      <c r="L654">
        <v>0</v>
      </c>
      <c r="M654">
        <v>60</v>
      </c>
      <c r="S654">
        <f t="shared" si="152"/>
        <v>0</v>
      </c>
      <c r="T654">
        <f t="shared" si="153"/>
        <v>5</v>
      </c>
      <c r="U654">
        <f t="shared" si="151"/>
        <v>1</v>
      </c>
      <c r="V654">
        <f t="shared" si="154"/>
        <v>0</v>
      </c>
      <c r="W654">
        <f t="shared" si="155"/>
        <v>1</v>
      </c>
      <c r="X654">
        <f t="shared" si="164"/>
        <v>0</v>
      </c>
      <c r="Y654">
        <f t="shared" si="165"/>
        <v>0</v>
      </c>
      <c r="Z654">
        <f t="shared" si="156"/>
        <v>0</v>
      </c>
      <c r="AA654">
        <f t="shared" si="157"/>
        <v>0</v>
      </c>
      <c r="AB654">
        <f t="shared" si="158"/>
        <v>0</v>
      </c>
      <c r="AC654">
        <f t="shared" si="159"/>
        <v>5</v>
      </c>
      <c r="AD654" s="1">
        <f t="shared" si="160"/>
        <v>5</v>
      </c>
      <c r="AE654">
        <f t="shared" si="161"/>
        <v>5</v>
      </c>
      <c r="AF654">
        <f t="shared" si="162"/>
        <v>10</v>
      </c>
      <c r="AG654">
        <f t="shared" si="163"/>
        <v>0</v>
      </c>
    </row>
    <row r="655" spans="1:33" x14ac:dyDescent="0.25">
      <c r="A655" t="s">
        <v>1181</v>
      </c>
      <c r="B655" t="s">
        <v>1182</v>
      </c>
      <c r="C655">
        <v>165877</v>
      </c>
      <c r="D655">
        <v>165877</v>
      </c>
      <c r="E655">
        <v>40</v>
      </c>
      <c r="F655">
        <v>0</v>
      </c>
      <c r="G655">
        <v>30</v>
      </c>
      <c r="O655">
        <v>70</v>
      </c>
      <c r="S655">
        <f t="shared" si="152"/>
        <v>4.375</v>
      </c>
      <c r="T655">
        <f t="shared" si="153"/>
        <v>0</v>
      </c>
      <c r="U655">
        <f t="shared" si="151"/>
        <v>1</v>
      </c>
      <c r="V655">
        <f t="shared" si="154"/>
        <v>1</v>
      </c>
      <c r="W655">
        <f t="shared" si="155"/>
        <v>0</v>
      </c>
      <c r="X655">
        <f t="shared" si="164"/>
        <v>0</v>
      </c>
      <c r="Y655">
        <f t="shared" si="165"/>
        <v>0</v>
      </c>
      <c r="Z655">
        <f t="shared" si="156"/>
        <v>8</v>
      </c>
      <c r="AA655">
        <f t="shared" si="157"/>
        <v>0</v>
      </c>
      <c r="AB655">
        <f t="shared" si="158"/>
        <v>4.2857142857142856</v>
      </c>
      <c r="AC655">
        <f t="shared" si="159"/>
        <v>0</v>
      </c>
      <c r="AD655" s="1">
        <f t="shared" si="160"/>
        <v>0</v>
      </c>
      <c r="AE655">
        <f t="shared" si="161"/>
        <v>0</v>
      </c>
      <c r="AF655">
        <f t="shared" si="162"/>
        <v>0</v>
      </c>
      <c r="AG655">
        <f t="shared" si="163"/>
        <v>0</v>
      </c>
    </row>
    <row r="656" spans="1:33" x14ac:dyDescent="0.25">
      <c r="A656" t="s">
        <v>1183</v>
      </c>
      <c r="B656" t="s">
        <v>95</v>
      </c>
      <c r="C656">
        <v>166328</v>
      </c>
      <c r="D656">
        <v>166328</v>
      </c>
      <c r="H656">
        <v>10</v>
      </c>
      <c r="I656">
        <v>30</v>
      </c>
      <c r="J656">
        <v>10</v>
      </c>
      <c r="K656">
        <v>10</v>
      </c>
      <c r="L656">
        <v>0</v>
      </c>
      <c r="M656">
        <v>60</v>
      </c>
      <c r="S656">
        <f t="shared" si="152"/>
        <v>0</v>
      </c>
      <c r="T656">
        <f t="shared" si="153"/>
        <v>5</v>
      </c>
      <c r="U656">
        <f t="shared" si="151"/>
        <v>1</v>
      </c>
      <c r="V656">
        <f t="shared" si="154"/>
        <v>0</v>
      </c>
      <c r="W656">
        <f t="shared" si="155"/>
        <v>1</v>
      </c>
      <c r="X656">
        <f t="shared" si="164"/>
        <v>0</v>
      </c>
      <c r="Y656">
        <f t="shared" si="165"/>
        <v>0</v>
      </c>
      <c r="Z656">
        <f t="shared" si="156"/>
        <v>0</v>
      </c>
      <c r="AA656">
        <f t="shared" si="157"/>
        <v>0</v>
      </c>
      <c r="AB656">
        <f t="shared" si="158"/>
        <v>0</v>
      </c>
      <c r="AC656">
        <f t="shared" si="159"/>
        <v>5</v>
      </c>
      <c r="AD656" s="1">
        <f t="shared" si="160"/>
        <v>5</v>
      </c>
      <c r="AE656">
        <f t="shared" si="161"/>
        <v>5</v>
      </c>
      <c r="AF656">
        <f t="shared" si="162"/>
        <v>10</v>
      </c>
      <c r="AG656">
        <f t="shared" si="163"/>
        <v>0</v>
      </c>
    </row>
    <row r="657" spans="1:33" x14ac:dyDescent="0.25">
      <c r="A657" t="s">
        <v>1184</v>
      </c>
      <c r="B657" t="s">
        <v>1185</v>
      </c>
      <c r="C657">
        <v>165974</v>
      </c>
      <c r="D657">
        <v>165974</v>
      </c>
      <c r="H657">
        <v>10</v>
      </c>
      <c r="I657">
        <v>20</v>
      </c>
      <c r="J657">
        <v>20</v>
      </c>
      <c r="M657">
        <v>50</v>
      </c>
      <c r="S657">
        <f t="shared" si="152"/>
        <v>0</v>
      </c>
      <c r="T657">
        <f t="shared" si="153"/>
        <v>4.166666666666667</v>
      </c>
      <c r="U657">
        <f t="shared" si="151"/>
        <v>1</v>
      </c>
      <c r="V657">
        <f t="shared" si="154"/>
        <v>0</v>
      </c>
      <c r="W657">
        <f t="shared" si="155"/>
        <v>1</v>
      </c>
      <c r="X657">
        <f t="shared" si="164"/>
        <v>0</v>
      </c>
      <c r="Y657">
        <f t="shared" si="165"/>
        <v>0</v>
      </c>
      <c r="Z657">
        <f t="shared" si="156"/>
        <v>0</v>
      </c>
      <c r="AA657">
        <f t="shared" si="157"/>
        <v>0</v>
      </c>
      <c r="AB657">
        <f t="shared" si="158"/>
        <v>0</v>
      </c>
      <c r="AC657">
        <f t="shared" si="159"/>
        <v>5</v>
      </c>
      <c r="AD657" s="1">
        <f t="shared" si="160"/>
        <v>3.3333333333333335</v>
      </c>
      <c r="AE657">
        <f t="shared" si="161"/>
        <v>10</v>
      </c>
      <c r="AF657">
        <f t="shared" si="163"/>
        <v>0</v>
      </c>
      <c r="AG657">
        <f t="shared" si="163"/>
        <v>0</v>
      </c>
    </row>
    <row r="658" spans="1:33" x14ac:dyDescent="0.25">
      <c r="A658" t="s">
        <v>1186</v>
      </c>
      <c r="B658" t="s">
        <v>1187</v>
      </c>
      <c r="C658">
        <v>162567</v>
      </c>
      <c r="D658">
        <v>162567</v>
      </c>
      <c r="E658">
        <v>30</v>
      </c>
      <c r="F658">
        <v>30</v>
      </c>
      <c r="G658">
        <v>50</v>
      </c>
      <c r="O658">
        <v>110</v>
      </c>
      <c r="S658">
        <f t="shared" si="152"/>
        <v>6.875</v>
      </c>
      <c r="T658">
        <f t="shared" si="153"/>
        <v>0</v>
      </c>
      <c r="U658">
        <f t="shared" si="151"/>
        <v>1</v>
      </c>
      <c r="V658">
        <f t="shared" si="154"/>
        <v>1</v>
      </c>
      <c r="W658">
        <f t="shared" si="155"/>
        <v>0</v>
      </c>
      <c r="X658">
        <f t="shared" si="164"/>
        <v>1</v>
      </c>
      <c r="Y658">
        <f t="shared" si="165"/>
        <v>0</v>
      </c>
      <c r="Z658">
        <f t="shared" si="156"/>
        <v>6</v>
      </c>
      <c r="AA658">
        <f t="shared" si="157"/>
        <v>7.5</v>
      </c>
      <c r="AB658">
        <f t="shared" si="158"/>
        <v>7.1428571428571432</v>
      </c>
      <c r="AC658">
        <f t="shared" si="159"/>
        <v>0</v>
      </c>
      <c r="AD658" s="1">
        <f t="shared" si="160"/>
        <v>0</v>
      </c>
      <c r="AE658">
        <f t="shared" si="161"/>
        <v>0</v>
      </c>
      <c r="AF658">
        <f t="shared" si="162"/>
        <v>0</v>
      </c>
      <c r="AG658">
        <f t="shared" si="163"/>
        <v>0</v>
      </c>
    </row>
    <row r="659" spans="1:33" x14ac:dyDescent="0.25">
      <c r="A659" t="s">
        <v>1188</v>
      </c>
      <c r="B659" t="s">
        <v>1189</v>
      </c>
      <c r="C659">
        <v>168857</v>
      </c>
      <c r="D659">
        <v>168857</v>
      </c>
      <c r="H659">
        <v>10</v>
      </c>
      <c r="I659">
        <v>30</v>
      </c>
      <c r="J659">
        <v>20</v>
      </c>
      <c r="K659">
        <v>10</v>
      </c>
      <c r="L659">
        <v>10</v>
      </c>
      <c r="M659">
        <v>80</v>
      </c>
      <c r="S659">
        <f t="shared" si="152"/>
        <v>0</v>
      </c>
      <c r="T659">
        <f t="shared" si="153"/>
        <v>6.666666666666667</v>
      </c>
      <c r="U659">
        <f t="shared" si="151"/>
        <v>1</v>
      </c>
      <c r="V659">
        <f t="shared" si="154"/>
        <v>0</v>
      </c>
      <c r="W659">
        <f t="shared" si="155"/>
        <v>1</v>
      </c>
      <c r="X659">
        <f t="shared" si="164"/>
        <v>0</v>
      </c>
      <c r="Y659">
        <f t="shared" si="165"/>
        <v>1</v>
      </c>
      <c r="Z659">
        <f t="shared" si="156"/>
        <v>0</v>
      </c>
      <c r="AA659">
        <f t="shared" si="157"/>
        <v>0</v>
      </c>
      <c r="AB659">
        <f t="shared" si="158"/>
        <v>0</v>
      </c>
      <c r="AC659">
        <f t="shared" si="159"/>
        <v>5</v>
      </c>
      <c r="AD659" s="1">
        <f t="shared" si="160"/>
        <v>5</v>
      </c>
      <c r="AE659">
        <f t="shared" si="161"/>
        <v>10</v>
      </c>
      <c r="AF659">
        <f t="shared" si="162"/>
        <v>10</v>
      </c>
      <c r="AG659">
        <f t="shared" si="163"/>
        <v>10</v>
      </c>
    </row>
    <row r="660" spans="1:33" x14ac:dyDescent="0.25">
      <c r="A660" t="s">
        <v>1190</v>
      </c>
      <c r="B660" t="s">
        <v>1191</v>
      </c>
      <c r="C660">
        <v>166343</v>
      </c>
      <c r="D660">
        <v>166343</v>
      </c>
      <c r="E660">
        <v>50</v>
      </c>
      <c r="F660">
        <v>40</v>
      </c>
      <c r="G660">
        <v>30</v>
      </c>
      <c r="O660">
        <v>120</v>
      </c>
      <c r="S660">
        <f t="shared" si="152"/>
        <v>7.5</v>
      </c>
      <c r="T660">
        <f t="shared" si="153"/>
        <v>0</v>
      </c>
      <c r="U660">
        <f t="shared" si="151"/>
        <v>1</v>
      </c>
      <c r="V660">
        <f t="shared" si="154"/>
        <v>1</v>
      </c>
      <c r="W660">
        <f t="shared" si="155"/>
        <v>0</v>
      </c>
      <c r="X660">
        <f t="shared" si="164"/>
        <v>1</v>
      </c>
      <c r="Y660">
        <f t="shared" si="165"/>
        <v>0</v>
      </c>
      <c r="Z660">
        <f t="shared" si="156"/>
        <v>10</v>
      </c>
      <c r="AA660">
        <f t="shared" si="157"/>
        <v>10</v>
      </c>
      <c r="AB660">
        <f t="shared" si="158"/>
        <v>4.2857142857142856</v>
      </c>
      <c r="AC660">
        <f t="shared" si="159"/>
        <v>0</v>
      </c>
      <c r="AD660" s="1">
        <f t="shared" si="160"/>
        <v>0</v>
      </c>
      <c r="AE660">
        <f t="shared" si="161"/>
        <v>0</v>
      </c>
      <c r="AF660">
        <f t="shared" si="162"/>
        <v>0</v>
      </c>
      <c r="AG660">
        <f t="shared" si="163"/>
        <v>0</v>
      </c>
    </row>
    <row r="661" spans="1:33" x14ac:dyDescent="0.25">
      <c r="A661" t="s">
        <v>1192</v>
      </c>
      <c r="B661" t="s">
        <v>43</v>
      </c>
      <c r="C661">
        <v>166331</v>
      </c>
      <c r="D661">
        <v>166331</v>
      </c>
      <c r="H661">
        <v>20</v>
      </c>
      <c r="I661">
        <v>40</v>
      </c>
      <c r="J661">
        <v>20</v>
      </c>
      <c r="K661">
        <v>10</v>
      </c>
      <c r="L661">
        <v>10</v>
      </c>
      <c r="M661">
        <v>100</v>
      </c>
      <c r="S661">
        <f t="shared" si="152"/>
        <v>0</v>
      </c>
      <c r="T661">
        <f t="shared" si="153"/>
        <v>8.3333333333333339</v>
      </c>
      <c r="U661">
        <f t="shared" si="151"/>
        <v>1</v>
      </c>
      <c r="V661">
        <f t="shared" si="154"/>
        <v>0</v>
      </c>
      <c r="W661">
        <f t="shared" si="155"/>
        <v>1</v>
      </c>
      <c r="X661">
        <f t="shared" si="164"/>
        <v>0</v>
      </c>
      <c r="Y661">
        <f t="shared" si="165"/>
        <v>1</v>
      </c>
      <c r="Z661">
        <f t="shared" si="156"/>
        <v>0</v>
      </c>
      <c r="AA661">
        <f t="shared" si="157"/>
        <v>0</v>
      </c>
      <c r="AB661">
        <f t="shared" si="158"/>
        <v>0</v>
      </c>
      <c r="AC661">
        <f t="shared" si="159"/>
        <v>10</v>
      </c>
      <c r="AD661" s="1">
        <f t="shared" si="160"/>
        <v>6.666666666666667</v>
      </c>
      <c r="AE661">
        <f t="shared" si="161"/>
        <v>10</v>
      </c>
      <c r="AF661">
        <f t="shared" si="162"/>
        <v>10</v>
      </c>
      <c r="AG661">
        <f t="shared" si="163"/>
        <v>10</v>
      </c>
    </row>
    <row r="662" spans="1:33" x14ac:dyDescent="0.25">
      <c r="A662" t="s">
        <v>1193</v>
      </c>
      <c r="B662" t="s">
        <v>1194</v>
      </c>
      <c r="C662">
        <v>167036</v>
      </c>
      <c r="D662">
        <v>167036</v>
      </c>
      <c r="S662">
        <f t="shared" si="152"/>
        <v>0</v>
      </c>
      <c r="T662">
        <f t="shared" si="153"/>
        <v>0</v>
      </c>
      <c r="U662">
        <f t="shared" si="151"/>
        <v>0</v>
      </c>
      <c r="V662">
        <f t="shared" si="154"/>
        <v>0</v>
      </c>
      <c r="W662">
        <f t="shared" si="155"/>
        <v>0</v>
      </c>
      <c r="X662">
        <f t="shared" si="164"/>
        <v>0</v>
      </c>
      <c r="Y662">
        <f t="shared" si="165"/>
        <v>0</v>
      </c>
      <c r="Z662">
        <f t="shared" si="156"/>
        <v>0</v>
      </c>
      <c r="AA662">
        <f t="shared" si="157"/>
        <v>0</v>
      </c>
      <c r="AB662">
        <f t="shared" si="158"/>
        <v>0</v>
      </c>
      <c r="AC662">
        <f t="shared" si="159"/>
        <v>0</v>
      </c>
      <c r="AD662" s="1">
        <f t="shared" si="160"/>
        <v>0</v>
      </c>
      <c r="AE662">
        <f t="shared" si="161"/>
        <v>0</v>
      </c>
      <c r="AF662">
        <f t="shared" si="162"/>
        <v>0</v>
      </c>
      <c r="AG662">
        <f t="shared" si="163"/>
        <v>0</v>
      </c>
    </row>
    <row r="663" spans="1:33" x14ac:dyDescent="0.25">
      <c r="A663" t="s">
        <v>1195</v>
      </c>
      <c r="B663" t="s">
        <v>1196</v>
      </c>
      <c r="C663">
        <v>162335</v>
      </c>
      <c r="D663">
        <v>162335</v>
      </c>
      <c r="E663">
        <v>50</v>
      </c>
      <c r="F663">
        <v>20</v>
      </c>
      <c r="G663">
        <v>50</v>
      </c>
      <c r="O663">
        <v>120</v>
      </c>
      <c r="S663">
        <f t="shared" si="152"/>
        <v>7.5</v>
      </c>
      <c r="T663">
        <f t="shared" si="153"/>
        <v>0</v>
      </c>
      <c r="U663">
        <f t="shared" si="151"/>
        <v>1</v>
      </c>
      <c r="V663">
        <f t="shared" si="154"/>
        <v>1</v>
      </c>
      <c r="W663">
        <f t="shared" si="155"/>
        <v>0</v>
      </c>
      <c r="X663">
        <f t="shared" si="164"/>
        <v>1</v>
      </c>
      <c r="Y663">
        <f t="shared" si="165"/>
        <v>0</v>
      </c>
      <c r="Z663">
        <f t="shared" si="156"/>
        <v>10</v>
      </c>
      <c r="AA663">
        <f t="shared" si="157"/>
        <v>5</v>
      </c>
      <c r="AB663">
        <f t="shared" si="158"/>
        <v>7.1428571428571432</v>
      </c>
      <c r="AC663">
        <f t="shared" si="159"/>
        <v>0</v>
      </c>
      <c r="AD663" s="1">
        <f t="shared" si="160"/>
        <v>0</v>
      </c>
      <c r="AE663">
        <f t="shared" si="161"/>
        <v>0</v>
      </c>
      <c r="AF663">
        <f t="shared" si="162"/>
        <v>0</v>
      </c>
      <c r="AG663">
        <f t="shared" si="163"/>
        <v>0</v>
      </c>
    </row>
    <row r="664" spans="1:33" x14ac:dyDescent="0.25">
      <c r="A664" t="s">
        <v>1197</v>
      </c>
      <c r="B664" t="s">
        <v>130</v>
      </c>
      <c r="C664">
        <v>166787</v>
      </c>
      <c r="D664">
        <v>166787</v>
      </c>
      <c r="H664">
        <v>10</v>
      </c>
      <c r="I664">
        <v>50</v>
      </c>
      <c r="J664">
        <v>20</v>
      </c>
      <c r="K664">
        <v>10</v>
      </c>
      <c r="L664">
        <v>10</v>
      </c>
      <c r="M664">
        <v>100</v>
      </c>
      <c r="S664">
        <f t="shared" si="152"/>
        <v>0</v>
      </c>
      <c r="T664">
        <f t="shared" si="153"/>
        <v>8.3333333333333339</v>
      </c>
      <c r="U664">
        <f t="shared" si="151"/>
        <v>1</v>
      </c>
      <c r="V664">
        <f t="shared" si="154"/>
        <v>0</v>
      </c>
      <c r="W664">
        <f t="shared" si="155"/>
        <v>1</v>
      </c>
      <c r="X664">
        <f t="shared" si="164"/>
        <v>0</v>
      </c>
      <c r="Y664">
        <f t="shared" si="165"/>
        <v>1</v>
      </c>
      <c r="Z664">
        <f t="shared" si="156"/>
        <v>0</v>
      </c>
      <c r="AA664">
        <f t="shared" si="157"/>
        <v>0</v>
      </c>
      <c r="AB664">
        <f t="shared" si="158"/>
        <v>0</v>
      </c>
      <c r="AC664">
        <f t="shared" si="159"/>
        <v>5</v>
      </c>
      <c r="AD664" s="1">
        <f t="shared" si="160"/>
        <v>8.3333333333333339</v>
      </c>
      <c r="AE664">
        <f t="shared" si="161"/>
        <v>10</v>
      </c>
      <c r="AF664">
        <f t="shared" si="162"/>
        <v>10</v>
      </c>
      <c r="AG664">
        <f t="shared" si="163"/>
        <v>10</v>
      </c>
    </row>
    <row r="665" spans="1:33" x14ac:dyDescent="0.25">
      <c r="A665" t="s">
        <v>1198</v>
      </c>
      <c r="B665" t="s">
        <v>1199</v>
      </c>
      <c r="C665">
        <v>160769</v>
      </c>
      <c r="D665">
        <v>160769</v>
      </c>
      <c r="S665">
        <f t="shared" si="152"/>
        <v>0</v>
      </c>
      <c r="T665">
        <f t="shared" si="153"/>
        <v>0</v>
      </c>
      <c r="U665">
        <f t="shared" si="151"/>
        <v>0</v>
      </c>
      <c r="V665">
        <f t="shared" si="154"/>
        <v>0</v>
      </c>
      <c r="W665">
        <f t="shared" si="155"/>
        <v>0</v>
      </c>
      <c r="X665">
        <f t="shared" si="164"/>
        <v>0</v>
      </c>
      <c r="Y665">
        <f t="shared" si="165"/>
        <v>0</v>
      </c>
      <c r="Z665">
        <f t="shared" si="156"/>
        <v>0</v>
      </c>
      <c r="AA665">
        <f t="shared" si="157"/>
        <v>0</v>
      </c>
      <c r="AB665">
        <f t="shared" si="158"/>
        <v>0</v>
      </c>
      <c r="AC665">
        <f t="shared" si="159"/>
        <v>0</v>
      </c>
      <c r="AD665" s="1">
        <f t="shared" si="160"/>
        <v>0</v>
      </c>
      <c r="AE665">
        <f t="shared" si="161"/>
        <v>0</v>
      </c>
      <c r="AF665">
        <f t="shared" si="162"/>
        <v>0</v>
      </c>
      <c r="AG665">
        <f t="shared" si="163"/>
        <v>0</v>
      </c>
    </row>
    <row r="666" spans="1:33" x14ac:dyDescent="0.25">
      <c r="A666" t="s">
        <v>1200</v>
      </c>
      <c r="B666" t="s">
        <v>1201</v>
      </c>
      <c r="C666">
        <v>168888</v>
      </c>
      <c r="D666">
        <v>168888</v>
      </c>
      <c r="H666">
        <v>0</v>
      </c>
      <c r="I666">
        <v>20</v>
      </c>
      <c r="J666">
        <v>10</v>
      </c>
      <c r="K666">
        <v>10</v>
      </c>
      <c r="L666">
        <v>0</v>
      </c>
      <c r="M666">
        <v>40</v>
      </c>
      <c r="S666">
        <f t="shared" si="152"/>
        <v>0</v>
      </c>
      <c r="T666">
        <f t="shared" si="153"/>
        <v>3.3333333333333335</v>
      </c>
      <c r="U666">
        <f t="shared" si="151"/>
        <v>1</v>
      </c>
      <c r="V666">
        <f t="shared" si="154"/>
        <v>0</v>
      </c>
      <c r="W666">
        <f t="shared" si="155"/>
        <v>1</v>
      </c>
      <c r="X666">
        <f t="shared" si="164"/>
        <v>0</v>
      </c>
      <c r="Y666">
        <f t="shared" si="165"/>
        <v>0</v>
      </c>
      <c r="Z666">
        <f t="shared" si="156"/>
        <v>0</v>
      </c>
      <c r="AA666">
        <f t="shared" si="157"/>
        <v>0</v>
      </c>
      <c r="AB666">
        <f t="shared" si="158"/>
        <v>0</v>
      </c>
      <c r="AC666">
        <f t="shared" si="159"/>
        <v>0</v>
      </c>
      <c r="AD666" s="1">
        <f t="shared" si="160"/>
        <v>3.3333333333333335</v>
      </c>
      <c r="AE666">
        <f t="shared" si="161"/>
        <v>5</v>
      </c>
      <c r="AF666">
        <f t="shared" si="162"/>
        <v>10</v>
      </c>
      <c r="AG666">
        <f t="shared" si="163"/>
        <v>0</v>
      </c>
    </row>
    <row r="667" spans="1:33" x14ac:dyDescent="0.25">
      <c r="A667" t="s">
        <v>1202</v>
      </c>
      <c r="B667" t="s">
        <v>49</v>
      </c>
      <c r="C667">
        <v>163493</v>
      </c>
      <c r="D667">
        <v>163493</v>
      </c>
      <c r="E667">
        <v>40</v>
      </c>
      <c r="F667">
        <v>10</v>
      </c>
      <c r="G667">
        <v>40</v>
      </c>
      <c r="O667">
        <v>90</v>
      </c>
      <c r="S667">
        <f t="shared" si="152"/>
        <v>5.625</v>
      </c>
      <c r="T667">
        <f t="shared" si="153"/>
        <v>0</v>
      </c>
      <c r="U667">
        <f t="shared" si="151"/>
        <v>1</v>
      </c>
      <c r="V667">
        <f t="shared" si="154"/>
        <v>1</v>
      </c>
      <c r="W667">
        <f t="shared" si="155"/>
        <v>0</v>
      </c>
      <c r="X667">
        <f t="shared" si="164"/>
        <v>0</v>
      </c>
      <c r="Y667">
        <f t="shared" si="165"/>
        <v>0</v>
      </c>
      <c r="Z667">
        <f t="shared" si="156"/>
        <v>8</v>
      </c>
      <c r="AA667">
        <f t="shared" si="157"/>
        <v>2.5</v>
      </c>
      <c r="AB667">
        <f t="shared" si="158"/>
        <v>5.7142857142857144</v>
      </c>
      <c r="AC667">
        <f t="shared" si="159"/>
        <v>0</v>
      </c>
      <c r="AD667" s="1">
        <f t="shared" si="160"/>
        <v>0</v>
      </c>
      <c r="AE667">
        <f t="shared" si="161"/>
        <v>0</v>
      </c>
      <c r="AF667">
        <f t="shared" si="162"/>
        <v>0</v>
      </c>
      <c r="AG667">
        <f t="shared" si="163"/>
        <v>0</v>
      </c>
    </row>
    <row r="668" spans="1:33" x14ac:dyDescent="0.25">
      <c r="A668" t="s">
        <v>1203</v>
      </c>
      <c r="B668" t="s">
        <v>937</v>
      </c>
      <c r="C668">
        <v>166413</v>
      </c>
      <c r="D668">
        <v>166413</v>
      </c>
      <c r="E668">
        <v>0</v>
      </c>
      <c r="F668">
        <v>30</v>
      </c>
      <c r="G668">
        <v>0</v>
      </c>
      <c r="O668">
        <v>30</v>
      </c>
      <c r="S668">
        <f t="shared" si="152"/>
        <v>1.875</v>
      </c>
      <c r="T668">
        <f t="shared" si="153"/>
        <v>0</v>
      </c>
      <c r="U668">
        <f t="shared" si="151"/>
        <v>1</v>
      </c>
      <c r="V668">
        <f t="shared" si="154"/>
        <v>1</v>
      </c>
      <c r="W668">
        <f t="shared" si="155"/>
        <v>0</v>
      </c>
      <c r="X668">
        <f t="shared" si="164"/>
        <v>0</v>
      </c>
      <c r="Y668">
        <f t="shared" si="165"/>
        <v>0</v>
      </c>
      <c r="Z668">
        <f t="shared" si="156"/>
        <v>0</v>
      </c>
      <c r="AA668">
        <f t="shared" si="157"/>
        <v>7.5</v>
      </c>
      <c r="AB668">
        <f t="shared" si="158"/>
        <v>0</v>
      </c>
      <c r="AC668">
        <f t="shared" si="159"/>
        <v>0</v>
      </c>
      <c r="AD668" s="1">
        <f t="shared" si="160"/>
        <v>0</v>
      </c>
      <c r="AE668">
        <f t="shared" si="161"/>
        <v>0</v>
      </c>
      <c r="AF668">
        <f t="shared" si="162"/>
        <v>0</v>
      </c>
      <c r="AG668">
        <f t="shared" si="163"/>
        <v>0</v>
      </c>
    </row>
    <row r="669" spans="1:33" x14ac:dyDescent="0.25">
      <c r="A669" t="s">
        <v>1203</v>
      </c>
      <c r="B669" t="s">
        <v>1204</v>
      </c>
      <c r="C669">
        <v>165694</v>
      </c>
      <c r="D669">
        <v>165694</v>
      </c>
      <c r="H669">
        <v>20</v>
      </c>
      <c r="I669">
        <v>40</v>
      </c>
      <c r="J669">
        <v>20</v>
      </c>
      <c r="K669">
        <v>10</v>
      </c>
      <c r="L669">
        <v>10</v>
      </c>
      <c r="M669">
        <v>100</v>
      </c>
      <c r="S669">
        <f t="shared" si="152"/>
        <v>0</v>
      </c>
      <c r="T669">
        <f t="shared" si="153"/>
        <v>8.3333333333333339</v>
      </c>
      <c r="U669">
        <f t="shared" si="151"/>
        <v>1</v>
      </c>
      <c r="V669">
        <f t="shared" si="154"/>
        <v>0</v>
      </c>
      <c r="W669">
        <f t="shared" si="155"/>
        <v>1</v>
      </c>
      <c r="X669">
        <f t="shared" si="164"/>
        <v>0</v>
      </c>
      <c r="Y669">
        <f t="shared" si="165"/>
        <v>1</v>
      </c>
      <c r="Z669">
        <f t="shared" si="156"/>
        <v>0</v>
      </c>
      <c r="AA669">
        <f t="shared" si="157"/>
        <v>0</v>
      </c>
      <c r="AB669">
        <f t="shared" si="158"/>
        <v>0</v>
      </c>
      <c r="AC669">
        <f t="shared" si="159"/>
        <v>10</v>
      </c>
      <c r="AD669" s="1">
        <f t="shared" si="160"/>
        <v>6.666666666666667</v>
      </c>
      <c r="AE669">
        <f t="shared" si="161"/>
        <v>10</v>
      </c>
      <c r="AF669">
        <f t="shared" si="162"/>
        <v>10</v>
      </c>
      <c r="AG669">
        <f t="shared" si="163"/>
        <v>10</v>
      </c>
    </row>
    <row r="670" spans="1:33" x14ac:dyDescent="0.25">
      <c r="A670" t="s">
        <v>1205</v>
      </c>
      <c r="B670" t="s">
        <v>980</v>
      </c>
      <c r="C670">
        <v>164459</v>
      </c>
      <c r="D670">
        <v>164459</v>
      </c>
      <c r="E670">
        <v>10</v>
      </c>
      <c r="F670">
        <v>10</v>
      </c>
      <c r="G670">
        <v>40</v>
      </c>
      <c r="O670">
        <v>60</v>
      </c>
      <c r="S670">
        <f t="shared" si="152"/>
        <v>3.75</v>
      </c>
      <c r="T670">
        <f t="shared" si="153"/>
        <v>0</v>
      </c>
      <c r="U670">
        <f t="shared" si="151"/>
        <v>1</v>
      </c>
      <c r="V670">
        <f t="shared" si="154"/>
        <v>1</v>
      </c>
      <c r="W670">
        <f t="shared" si="155"/>
        <v>0</v>
      </c>
      <c r="X670">
        <f t="shared" si="164"/>
        <v>0</v>
      </c>
      <c r="Y670">
        <f t="shared" si="165"/>
        <v>0</v>
      </c>
      <c r="Z670">
        <f t="shared" si="156"/>
        <v>2</v>
      </c>
      <c r="AA670">
        <f t="shared" si="157"/>
        <v>2.5</v>
      </c>
      <c r="AB670">
        <f t="shared" si="158"/>
        <v>5.7142857142857144</v>
      </c>
      <c r="AC670">
        <f t="shared" si="159"/>
        <v>0</v>
      </c>
      <c r="AD670" s="1">
        <f t="shared" si="160"/>
        <v>0</v>
      </c>
      <c r="AE670">
        <f t="shared" si="161"/>
        <v>0</v>
      </c>
      <c r="AF670">
        <f t="shared" si="162"/>
        <v>0</v>
      </c>
      <c r="AG670">
        <f t="shared" si="163"/>
        <v>0</v>
      </c>
    </row>
    <row r="671" spans="1:33" x14ac:dyDescent="0.25">
      <c r="A671" t="s">
        <v>1206</v>
      </c>
      <c r="B671" t="s">
        <v>1207</v>
      </c>
      <c r="C671">
        <v>166396</v>
      </c>
      <c r="D671">
        <v>166396</v>
      </c>
      <c r="H671">
        <v>20</v>
      </c>
      <c r="I671">
        <v>40</v>
      </c>
      <c r="J671">
        <v>10</v>
      </c>
      <c r="K671">
        <v>10</v>
      </c>
      <c r="L671">
        <v>10</v>
      </c>
      <c r="M671">
        <v>90</v>
      </c>
      <c r="S671">
        <f t="shared" si="152"/>
        <v>0</v>
      </c>
      <c r="T671">
        <f t="shared" si="153"/>
        <v>7.5</v>
      </c>
      <c r="U671">
        <f t="shared" si="151"/>
        <v>1</v>
      </c>
      <c r="V671">
        <f t="shared" si="154"/>
        <v>0</v>
      </c>
      <c r="W671">
        <f t="shared" si="155"/>
        <v>1</v>
      </c>
      <c r="X671">
        <f t="shared" si="164"/>
        <v>0</v>
      </c>
      <c r="Y671">
        <f t="shared" si="165"/>
        <v>1</v>
      </c>
      <c r="Z671">
        <f t="shared" si="156"/>
        <v>0</v>
      </c>
      <c r="AA671">
        <f t="shared" si="157"/>
        <v>0</v>
      </c>
      <c r="AB671">
        <f t="shared" si="158"/>
        <v>0</v>
      </c>
      <c r="AC671">
        <f t="shared" si="159"/>
        <v>10</v>
      </c>
      <c r="AD671" s="1">
        <f t="shared" si="160"/>
        <v>6.666666666666667</v>
      </c>
      <c r="AE671">
        <f t="shared" si="161"/>
        <v>5</v>
      </c>
      <c r="AF671">
        <f t="shared" si="162"/>
        <v>10</v>
      </c>
      <c r="AG671">
        <f t="shared" si="163"/>
        <v>10</v>
      </c>
    </row>
    <row r="672" spans="1:33" x14ac:dyDescent="0.25">
      <c r="A672" t="s">
        <v>1206</v>
      </c>
      <c r="B672" t="s">
        <v>1208</v>
      </c>
      <c r="C672">
        <v>167604</v>
      </c>
      <c r="D672">
        <v>167604</v>
      </c>
      <c r="E672">
        <v>40</v>
      </c>
      <c r="F672">
        <v>0</v>
      </c>
      <c r="G672">
        <v>10</v>
      </c>
      <c r="O672">
        <v>50</v>
      </c>
      <c r="S672">
        <f t="shared" si="152"/>
        <v>3.125</v>
      </c>
      <c r="T672">
        <f t="shared" si="153"/>
        <v>0</v>
      </c>
      <c r="U672">
        <f t="shared" si="151"/>
        <v>1</v>
      </c>
      <c r="V672">
        <f t="shared" si="154"/>
        <v>1</v>
      </c>
      <c r="W672">
        <f t="shared" si="155"/>
        <v>0</v>
      </c>
      <c r="X672">
        <f t="shared" si="164"/>
        <v>0</v>
      </c>
      <c r="Y672">
        <f t="shared" si="165"/>
        <v>0</v>
      </c>
      <c r="Z672">
        <f t="shared" si="156"/>
        <v>8</v>
      </c>
      <c r="AA672">
        <f t="shared" si="157"/>
        <v>0</v>
      </c>
      <c r="AB672">
        <f t="shared" si="158"/>
        <v>1.4285714285714286</v>
      </c>
      <c r="AC672">
        <f t="shared" si="159"/>
        <v>0</v>
      </c>
      <c r="AD672" s="1">
        <f t="shared" si="160"/>
        <v>0</v>
      </c>
      <c r="AE672">
        <f t="shared" si="161"/>
        <v>0</v>
      </c>
      <c r="AF672">
        <f t="shared" si="162"/>
        <v>0</v>
      </c>
      <c r="AG672">
        <f t="shared" si="163"/>
        <v>0</v>
      </c>
    </row>
    <row r="673" spans="1:33" x14ac:dyDescent="0.25">
      <c r="A673" t="s">
        <v>1209</v>
      </c>
      <c r="B673" t="s">
        <v>1210</v>
      </c>
      <c r="C673">
        <v>166420</v>
      </c>
      <c r="D673">
        <v>166420</v>
      </c>
      <c r="H673">
        <v>20</v>
      </c>
      <c r="I673">
        <v>40</v>
      </c>
      <c r="J673">
        <v>20</v>
      </c>
      <c r="K673">
        <v>10</v>
      </c>
      <c r="L673">
        <v>0</v>
      </c>
      <c r="M673">
        <v>90</v>
      </c>
      <c r="S673">
        <f t="shared" si="152"/>
        <v>0</v>
      </c>
      <c r="T673">
        <f t="shared" si="153"/>
        <v>7.5</v>
      </c>
      <c r="U673">
        <f t="shared" si="151"/>
        <v>1</v>
      </c>
      <c r="V673">
        <f t="shared" si="154"/>
        <v>0</v>
      </c>
      <c r="W673">
        <f t="shared" si="155"/>
        <v>1</v>
      </c>
      <c r="X673">
        <f t="shared" si="164"/>
        <v>0</v>
      </c>
      <c r="Y673">
        <f t="shared" si="165"/>
        <v>1</v>
      </c>
      <c r="Z673">
        <f t="shared" si="156"/>
        <v>0</v>
      </c>
      <c r="AA673">
        <f t="shared" si="157"/>
        <v>0</v>
      </c>
      <c r="AB673">
        <f t="shared" si="158"/>
        <v>0</v>
      </c>
      <c r="AC673">
        <f t="shared" si="159"/>
        <v>10</v>
      </c>
      <c r="AD673" s="1">
        <f t="shared" si="160"/>
        <v>6.666666666666667</v>
      </c>
      <c r="AE673">
        <f t="shared" si="161"/>
        <v>10</v>
      </c>
      <c r="AF673">
        <f t="shared" si="162"/>
        <v>10</v>
      </c>
      <c r="AG673">
        <f t="shared" si="163"/>
        <v>0</v>
      </c>
    </row>
    <row r="674" spans="1:33" x14ac:dyDescent="0.25">
      <c r="A674" t="s">
        <v>1211</v>
      </c>
      <c r="B674" t="s">
        <v>1212</v>
      </c>
      <c r="C674">
        <v>166203</v>
      </c>
      <c r="D674">
        <v>166203</v>
      </c>
      <c r="H674">
        <v>10</v>
      </c>
      <c r="I674">
        <v>30</v>
      </c>
      <c r="J674">
        <v>10</v>
      </c>
      <c r="K674">
        <v>10</v>
      </c>
      <c r="L674">
        <v>10</v>
      </c>
      <c r="M674">
        <v>70</v>
      </c>
      <c r="S674">
        <f t="shared" si="152"/>
        <v>0</v>
      </c>
      <c r="T674">
        <f t="shared" si="153"/>
        <v>5.833333333333333</v>
      </c>
      <c r="U674">
        <f t="shared" si="151"/>
        <v>1</v>
      </c>
      <c r="V674">
        <f t="shared" si="154"/>
        <v>0</v>
      </c>
      <c r="W674">
        <f t="shared" si="155"/>
        <v>1</v>
      </c>
      <c r="X674">
        <f t="shared" si="164"/>
        <v>0</v>
      </c>
      <c r="Y674">
        <f t="shared" si="165"/>
        <v>0</v>
      </c>
      <c r="Z674">
        <f t="shared" si="156"/>
        <v>0</v>
      </c>
      <c r="AA674">
        <f t="shared" si="157"/>
        <v>0</v>
      </c>
      <c r="AB674">
        <f t="shared" si="158"/>
        <v>0</v>
      </c>
      <c r="AC674">
        <f t="shared" si="159"/>
        <v>5</v>
      </c>
      <c r="AD674" s="1">
        <f t="shared" si="160"/>
        <v>5</v>
      </c>
      <c r="AE674">
        <f t="shared" si="161"/>
        <v>5</v>
      </c>
      <c r="AF674">
        <f t="shared" si="162"/>
        <v>10</v>
      </c>
      <c r="AG674">
        <f t="shared" si="163"/>
        <v>10</v>
      </c>
    </row>
    <row r="675" spans="1:33" x14ac:dyDescent="0.25">
      <c r="A675" t="s">
        <v>1211</v>
      </c>
      <c r="B675" t="s">
        <v>266</v>
      </c>
      <c r="C675">
        <v>165830</v>
      </c>
      <c r="D675">
        <v>165830</v>
      </c>
      <c r="E675">
        <v>30</v>
      </c>
      <c r="F675">
        <v>20</v>
      </c>
      <c r="G675">
        <v>20</v>
      </c>
      <c r="O675">
        <v>70</v>
      </c>
      <c r="S675">
        <f t="shared" si="152"/>
        <v>4.375</v>
      </c>
      <c r="T675">
        <f t="shared" si="153"/>
        <v>0</v>
      </c>
      <c r="U675">
        <f t="shared" si="151"/>
        <v>1</v>
      </c>
      <c r="V675">
        <f t="shared" si="154"/>
        <v>1</v>
      </c>
      <c r="W675">
        <f t="shared" si="155"/>
        <v>0</v>
      </c>
      <c r="X675">
        <f t="shared" si="164"/>
        <v>0</v>
      </c>
      <c r="Y675">
        <f t="shared" si="165"/>
        <v>0</v>
      </c>
      <c r="Z675">
        <f t="shared" si="156"/>
        <v>6</v>
      </c>
      <c r="AA675">
        <f t="shared" si="157"/>
        <v>5</v>
      </c>
      <c r="AB675">
        <f t="shared" si="158"/>
        <v>2.8571428571428572</v>
      </c>
      <c r="AC675">
        <f t="shared" si="159"/>
        <v>0</v>
      </c>
      <c r="AD675" s="1">
        <f t="shared" si="160"/>
        <v>0</v>
      </c>
      <c r="AE675">
        <f t="shared" si="161"/>
        <v>0</v>
      </c>
      <c r="AF675">
        <f t="shared" si="162"/>
        <v>0</v>
      </c>
      <c r="AG675">
        <f t="shared" si="163"/>
        <v>0</v>
      </c>
    </row>
    <row r="676" spans="1:33" x14ac:dyDescent="0.25">
      <c r="A676" t="s">
        <v>1213</v>
      </c>
      <c r="B676" t="s">
        <v>1214</v>
      </c>
      <c r="C676">
        <v>168001</v>
      </c>
      <c r="D676">
        <v>168001</v>
      </c>
      <c r="S676">
        <f t="shared" si="152"/>
        <v>0</v>
      </c>
      <c r="T676">
        <f t="shared" si="153"/>
        <v>0</v>
      </c>
      <c r="U676">
        <f t="shared" si="151"/>
        <v>0</v>
      </c>
      <c r="V676">
        <f t="shared" si="154"/>
        <v>0</v>
      </c>
      <c r="W676">
        <f t="shared" si="155"/>
        <v>0</v>
      </c>
      <c r="X676">
        <f t="shared" si="164"/>
        <v>0</v>
      </c>
      <c r="Y676">
        <f t="shared" si="165"/>
        <v>0</v>
      </c>
      <c r="Z676">
        <f t="shared" si="156"/>
        <v>0</v>
      </c>
      <c r="AA676">
        <f t="shared" si="157"/>
        <v>0</v>
      </c>
      <c r="AB676">
        <f t="shared" si="158"/>
        <v>0</v>
      </c>
      <c r="AC676">
        <f t="shared" si="159"/>
        <v>0</v>
      </c>
      <c r="AD676" s="1">
        <f t="shared" si="160"/>
        <v>0</v>
      </c>
      <c r="AE676">
        <f t="shared" si="161"/>
        <v>0</v>
      </c>
      <c r="AF676">
        <f t="shared" si="162"/>
        <v>0</v>
      </c>
      <c r="AG676">
        <f t="shared" si="163"/>
        <v>0</v>
      </c>
    </row>
    <row r="677" spans="1:33" x14ac:dyDescent="0.25">
      <c r="A677" t="s">
        <v>1215</v>
      </c>
      <c r="B677" t="s">
        <v>1216</v>
      </c>
      <c r="C677">
        <v>161194</v>
      </c>
      <c r="D677">
        <v>161194</v>
      </c>
      <c r="H677">
        <v>0</v>
      </c>
      <c r="I677">
        <v>40</v>
      </c>
      <c r="J677">
        <v>10</v>
      </c>
      <c r="K677">
        <v>10</v>
      </c>
      <c r="L677">
        <v>0</v>
      </c>
      <c r="M677">
        <v>60</v>
      </c>
      <c r="S677">
        <f t="shared" si="152"/>
        <v>0</v>
      </c>
      <c r="T677">
        <f t="shared" si="153"/>
        <v>5</v>
      </c>
      <c r="U677">
        <f t="shared" si="151"/>
        <v>1</v>
      </c>
      <c r="V677">
        <f t="shared" si="154"/>
        <v>0</v>
      </c>
      <c r="W677">
        <f t="shared" si="155"/>
        <v>1</v>
      </c>
      <c r="X677">
        <f t="shared" si="164"/>
        <v>0</v>
      </c>
      <c r="Y677">
        <f t="shared" si="165"/>
        <v>0</v>
      </c>
      <c r="Z677">
        <f t="shared" si="156"/>
        <v>0</v>
      </c>
      <c r="AA677">
        <f t="shared" si="157"/>
        <v>0</v>
      </c>
      <c r="AB677">
        <f t="shared" si="158"/>
        <v>0</v>
      </c>
      <c r="AC677">
        <f t="shared" si="159"/>
        <v>0</v>
      </c>
      <c r="AD677" s="1">
        <f t="shared" si="160"/>
        <v>6.666666666666667</v>
      </c>
      <c r="AE677">
        <f t="shared" si="161"/>
        <v>5</v>
      </c>
      <c r="AF677">
        <f t="shared" si="162"/>
        <v>10</v>
      </c>
      <c r="AG677">
        <f t="shared" si="163"/>
        <v>0</v>
      </c>
    </row>
    <row r="678" spans="1:33" x14ac:dyDescent="0.25">
      <c r="A678" t="s">
        <v>1217</v>
      </c>
      <c r="B678" t="s">
        <v>544</v>
      </c>
      <c r="C678">
        <v>167766</v>
      </c>
      <c r="D678">
        <v>167766</v>
      </c>
      <c r="E678">
        <v>10</v>
      </c>
      <c r="F678">
        <v>30</v>
      </c>
      <c r="G678">
        <v>20</v>
      </c>
      <c r="O678">
        <v>60</v>
      </c>
      <c r="S678">
        <f t="shared" si="152"/>
        <v>3.75</v>
      </c>
      <c r="T678">
        <f t="shared" si="153"/>
        <v>0</v>
      </c>
      <c r="U678">
        <f t="shared" si="151"/>
        <v>1</v>
      </c>
      <c r="V678">
        <f t="shared" si="154"/>
        <v>1</v>
      </c>
      <c r="W678">
        <f t="shared" si="155"/>
        <v>0</v>
      </c>
      <c r="X678">
        <f t="shared" si="164"/>
        <v>0</v>
      </c>
      <c r="Y678">
        <f t="shared" si="165"/>
        <v>0</v>
      </c>
      <c r="Z678">
        <f t="shared" si="156"/>
        <v>2</v>
      </c>
      <c r="AA678">
        <f t="shared" si="157"/>
        <v>7.5</v>
      </c>
      <c r="AB678">
        <f t="shared" si="158"/>
        <v>2.8571428571428572</v>
      </c>
      <c r="AC678">
        <f t="shared" si="159"/>
        <v>0</v>
      </c>
      <c r="AD678" s="1">
        <f t="shared" si="160"/>
        <v>0</v>
      </c>
      <c r="AE678">
        <f t="shared" si="161"/>
        <v>0</v>
      </c>
      <c r="AF678">
        <f t="shared" si="162"/>
        <v>0</v>
      </c>
      <c r="AG678">
        <f t="shared" si="163"/>
        <v>0</v>
      </c>
    </row>
    <row r="679" spans="1:33" x14ac:dyDescent="0.25">
      <c r="A679" t="s">
        <v>1218</v>
      </c>
      <c r="B679" t="s">
        <v>1219</v>
      </c>
      <c r="C679">
        <v>161979</v>
      </c>
      <c r="D679">
        <v>161979</v>
      </c>
      <c r="H679">
        <v>10</v>
      </c>
      <c r="I679">
        <v>20</v>
      </c>
      <c r="J679">
        <v>0</v>
      </c>
      <c r="K679">
        <v>10</v>
      </c>
      <c r="L679">
        <v>0</v>
      </c>
      <c r="M679">
        <v>40</v>
      </c>
      <c r="S679">
        <f t="shared" si="152"/>
        <v>0</v>
      </c>
      <c r="T679">
        <f t="shared" si="153"/>
        <v>3.3333333333333335</v>
      </c>
      <c r="U679">
        <f t="shared" si="151"/>
        <v>1</v>
      </c>
      <c r="V679">
        <f t="shared" si="154"/>
        <v>0</v>
      </c>
      <c r="W679">
        <f t="shared" si="155"/>
        <v>1</v>
      </c>
      <c r="X679">
        <f t="shared" si="164"/>
        <v>0</v>
      </c>
      <c r="Y679">
        <f t="shared" si="165"/>
        <v>0</v>
      </c>
      <c r="Z679">
        <f t="shared" si="156"/>
        <v>0</v>
      </c>
      <c r="AA679">
        <f t="shared" si="157"/>
        <v>0</v>
      </c>
      <c r="AB679">
        <f t="shared" si="158"/>
        <v>0</v>
      </c>
      <c r="AC679">
        <f t="shared" si="159"/>
        <v>5</v>
      </c>
      <c r="AD679" s="1">
        <f t="shared" si="160"/>
        <v>3.3333333333333335</v>
      </c>
      <c r="AE679">
        <f t="shared" si="161"/>
        <v>0</v>
      </c>
      <c r="AF679">
        <f t="shared" si="162"/>
        <v>10</v>
      </c>
      <c r="AG679">
        <f t="shared" si="163"/>
        <v>0</v>
      </c>
    </row>
    <row r="680" spans="1:33" x14ac:dyDescent="0.25">
      <c r="A680" t="s">
        <v>1220</v>
      </c>
      <c r="B680" t="s">
        <v>1221</v>
      </c>
      <c r="C680">
        <v>166381</v>
      </c>
      <c r="D680">
        <v>166381</v>
      </c>
      <c r="E680">
        <v>40</v>
      </c>
      <c r="F680">
        <v>30</v>
      </c>
      <c r="G680">
        <v>50</v>
      </c>
      <c r="O680">
        <v>120</v>
      </c>
      <c r="S680">
        <f t="shared" si="152"/>
        <v>7.5</v>
      </c>
      <c r="T680">
        <f t="shared" si="153"/>
        <v>0</v>
      </c>
      <c r="U680">
        <f t="shared" si="151"/>
        <v>1</v>
      </c>
      <c r="V680">
        <f t="shared" si="154"/>
        <v>1</v>
      </c>
      <c r="W680">
        <f t="shared" si="155"/>
        <v>0</v>
      </c>
      <c r="X680">
        <f t="shared" si="164"/>
        <v>1</v>
      </c>
      <c r="Y680">
        <f t="shared" si="165"/>
        <v>0</v>
      </c>
      <c r="Z680">
        <f t="shared" si="156"/>
        <v>8</v>
      </c>
      <c r="AA680">
        <f t="shared" si="157"/>
        <v>7.5</v>
      </c>
      <c r="AB680">
        <f t="shared" si="158"/>
        <v>7.1428571428571432</v>
      </c>
      <c r="AC680">
        <f t="shared" si="159"/>
        <v>0</v>
      </c>
      <c r="AD680" s="1">
        <f t="shared" si="160"/>
        <v>0</v>
      </c>
      <c r="AE680">
        <f t="shared" si="161"/>
        <v>0</v>
      </c>
      <c r="AF680">
        <f t="shared" si="162"/>
        <v>0</v>
      </c>
      <c r="AG680">
        <f t="shared" si="163"/>
        <v>0</v>
      </c>
    </row>
    <row r="681" spans="1:33" x14ac:dyDescent="0.25">
      <c r="A681" t="s">
        <v>1220</v>
      </c>
      <c r="B681" t="s">
        <v>197</v>
      </c>
      <c r="C681">
        <v>163485</v>
      </c>
      <c r="D681">
        <v>163485</v>
      </c>
      <c r="E681">
        <v>40</v>
      </c>
      <c r="F681">
        <v>20</v>
      </c>
      <c r="G681">
        <v>30</v>
      </c>
      <c r="O681">
        <v>90</v>
      </c>
      <c r="S681">
        <f t="shared" si="152"/>
        <v>5.625</v>
      </c>
      <c r="T681">
        <f t="shared" si="153"/>
        <v>0</v>
      </c>
      <c r="U681">
        <f t="shared" si="151"/>
        <v>1</v>
      </c>
      <c r="V681">
        <f t="shared" si="154"/>
        <v>1</v>
      </c>
      <c r="W681">
        <f t="shared" si="155"/>
        <v>0</v>
      </c>
      <c r="X681">
        <f t="shared" si="164"/>
        <v>0</v>
      </c>
      <c r="Y681">
        <f t="shared" si="165"/>
        <v>0</v>
      </c>
      <c r="Z681">
        <f t="shared" si="156"/>
        <v>8</v>
      </c>
      <c r="AA681">
        <f t="shared" si="157"/>
        <v>5</v>
      </c>
      <c r="AB681">
        <f t="shared" si="158"/>
        <v>4.2857142857142856</v>
      </c>
      <c r="AC681">
        <f t="shared" si="159"/>
        <v>0</v>
      </c>
      <c r="AD681" s="1">
        <f t="shared" si="160"/>
        <v>0</v>
      </c>
      <c r="AE681">
        <f t="shared" si="161"/>
        <v>0</v>
      </c>
      <c r="AF681">
        <f t="shared" si="162"/>
        <v>0</v>
      </c>
      <c r="AG681">
        <f t="shared" si="163"/>
        <v>0</v>
      </c>
    </row>
    <row r="682" spans="1:33" x14ac:dyDescent="0.25">
      <c r="A682" t="s">
        <v>1222</v>
      </c>
      <c r="B682" t="s">
        <v>1223</v>
      </c>
      <c r="C682">
        <v>167548</v>
      </c>
      <c r="D682">
        <v>167548</v>
      </c>
      <c r="E682">
        <v>40</v>
      </c>
      <c r="F682">
        <v>20</v>
      </c>
      <c r="G682">
        <v>30</v>
      </c>
      <c r="O682">
        <v>90</v>
      </c>
      <c r="S682">
        <f t="shared" si="152"/>
        <v>5.625</v>
      </c>
      <c r="T682">
        <f t="shared" si="153"/>
        <v>0</v>
      </c>
      <c r="U682">
        <f t="shared" si="151"/>
        <v>1</v>
      </c>
      <c r="V682">
        <f t="shared" si="154"/>
        <v>1</v>
      </c>
      <c r="W682">
        <f t="shared" si="155"/>
        <v>0</v>
      </c>
      <c r="X682">
        <f t="shared" si="164"/>
        <v>0</v>
      </c>
      <c r="Y682">
        <f t="shared" si="165"/>
        <v>0</v>
      </c>
      <c r="Z682">
        <f t="shared" si="156"/>
        <v>8</v>
      </c>
      <c r="AA682">
        <f t="shared" si="157"/>
        <v>5</v>
      </c>
      <c r="AB682">
        <f t="shared" si="158"/>
        <v>4.2857142857142856</v>
      </c>
      <c r="AC682">
        <f t="shared" si="159"/>
        <v>0</v>
      </c>
      <c r="AD682" s="1">
        <f t="shared" si="160"/>
        <v>0</v>
      </c>
      <c r="AE682">
        <f t="shared" si="161"/>
        <v>0</v>
      </c>
      <c r="AF682">
        <f t="shared" si="162"/>
        <v>0</v>
      </c>
      <c r="AG682">
        <f t="shared" si="163"/>
        <v>0</v>
      </c>
    </row>
    <row r="683" spans="1:33" x14ac:dyDescent="0.25">
      <c r="A683" t="s">
        <v>1222</v>
      </c>
      <c r="B683" t="s">
        <v>1224</v>
      </c>
      <c r="C683">
        <v>165659</v>
      </c>
      <c r="D683">
        <v>165659</v>
      </c>
      <c r="E683">
        <v>40</v>
      </c>
      <c r="F683">
        <v>40</v>
      </c>
      <c r="G683">
        <v>40</v>
      </c>
      <c r="O683">
        <v>120</v>
      </c>
      <c r="S683">
        <f t="shared" si="152"/>
        <v>7.5</v>
      </c>
      <c r="T683">
        <f t="shared" si="153"/>
        <v>0</v>
      </c>
      <c r="U683">
        <f t="shared" si="151"/>
        <v>1</v>
      </c>
      <c r="V683">
        <f t="shared" si="154"/>
        <v>1</v>
      </c>
      <c r="W683">
        <f t="shared" si="155"/>
        <v>0</v>
      </c>
      <c r="X683">
        <f t="shared" si="164"/>
        <v>1</v>
      </c>
      <c r="Y683">
        <f t="shared" si="165"/>
        <v>0</v>
      </c>
      <c r="Z683">
        <f t="shared" si="156"/>
        <v>8</v>
      </c>
      <c r="AA683">
        <f t="shared" si="157"/>
        <v>10</v>
      </c>
      <c r="AB683">
        <f t="shared" si="158"/>
        <v>5.7142857142857144</v>
      </c>
      <c r="AC683">
        <f t="shared" si="159"/>
        <v>0</v>
      </c>
      <c r="AD683" s="1">
        <f t="shared" si="160"/>
        <v>0</v>
      </c>
      <c r="AE683">
        <f t="shared" si="161"/>
        <v>0</v>
      </c>
      <c r="AF683">
        <f t="shared" si="162"/>
        <v>0</v>
      </c>
      <c r="AG683">
        <f t="shared" si="163"/>
        <v>0</v>
      </c>
    </row>
    <row r="684" spans="1:33" x14ac:dyDescent="0.25">
      <c r="A684" t="s">
        <v>1222</v>
      </c>
      <c r="B684" t="s">
        <v>1225</v>
      </c>
      <c r="C684">
        <v>166077</v>
      </c>
      <c r="D684">
        <v>166077</v>
      </c>
      <c r="S684">
        <f t="shared" si="152"/>
        <v>0</v>
      </c>
      <c r="T684">
        <f t="shared" si="153"/>
        <v>0</v>
      </c>
      <c r="U684">
        <f t="shared" si="151"/>
        <v>0</v>
      </c>
      <c r="V684">
        <f t="shared" si="154"/>
        <v>0</v>
      </c>
      <c r="W684">
        <f t="shared" si="155"/>
        <v>0</v>
      </c>
      <c r="X684">
        <f t="shared" si="164"/>
        <v>0</v>
      </c>
      <c r="Y684">
        <f t="shared" si="165"/>
        <v>0</v>
      </c>
      <c r="Z684">
        <f t="shared" si="156"/>
        <v>0</v>
      </c>
      <c r="AA684">
        <f t="shared" si="157"/>
        <v>0</v>
      </c>
      <c r="AB684">
        <f t="shared" si="158"/>
        <v>0</v>
      </c>
      <c r="AC684">
        <f t="shared" si="159"/>
        <v>0</v>
      </c>
      <c r="AD684" s="1">
        <f t="shared" si="160"/>
        <v>0</v>
      </c>
      <c r="AE684">
        <f t="shared" si="161"/>
        <v>0</v>
      </c>
      <c r="AF684">
        <f t="shared" si="162"/>
        <v>0</v>
      </c>
      <c r="AG684">
        <f t="shared" si="163"/>
        <v>0</v>
      </c>
    </row>
    <row r="685" spans="1:33" x14ac:dyDescent="0.25">
      <c r="A685" t="s">
        <v>1222</v>
      </c>
      <c r="B685" t="s">
        <v>1226</v>
      </c>
      <c r="C685">
        <v>167511</v>
      </c>
      <c r="D685">
        <v>167511</v>
      </c>
      <c r="H685">
        <v>10</v>
      </c>
      <c r="I685">
        <v>50</v>
      </c>
      <c r="J685">
        <v>20</v>
      </c>
      <c r="K685">
        <v>10</v>
      </c>
      <c r="L685">
        <v>0</v>
      </c>
      <c r="M685">
        <v>90</v>
      </c>
      <c r="S685">
        <f t="shared" si="152"/>
        <v>0</v>
      </c>
      <c r="T685">
        <f t="shared" si="153"/>
        <v>7.5</v>
      </c>
      <c r="U685">
        <f t="shared" si="151"/>
        <v>1</v>
      </c>
      <c r="V685">
        <f t="shared" si="154"/>
        <v>0</v>
      </c>
      <c r="W685">
        <f t="shared" si="155"/>
        <v>1</v>
      </c>
      <c r="X685">
        <f t="shared" si="164"/>
        <v>0</v>
      </c>
      <c r="Y685">
        <f t="shared" si="165"/>
        <v>1</v>
      </c>
      <c r="Z685">
        <f t="shared" si="156"/>
        <v>0</v>
      </c>
      <c r="AA685">
        <f t="shared" si="157"/>
        <v>0</v>
      </c>
      <c r="AB685">
        <f t="shared" si="158"/>
        <v>0</v>
      </c>
      <c r="AC685">
        <f t="shared" si="159"/>
        <v>5</v>
      </c>
      <c r="AD685" s="1">
        <f t="shared" si="160"/>
        <v>8.3333333333333339</v>
      </c>
      <c r="AE685">
        <f t="shared" si="161"/>
        <v>10</v>
      </c>
      <c r="AF685">
        <f t="shared" si="162"/>
        <v>10</v>
      </c>
      <c r="AG685">
        <f t="shared" si="163"/>
        <v>0</v>
      </c>
    </row>
    <row r="686" spans="1:33" x14ac:dyDescent="0.25">
      <c r="A686" t="s">
        <v>1227</v>
      </c>
      <c r="B686" t="s">
        <v>1228</v>
      </c>
      <c r="C686">
        <v>167314</v>
      </c>
      <c r="D686">
        <v>167314</v>
      </c>
      <c r="E686">
        <v>0</v>
      </c>
      <c r="F686">
        <v>10</v>
      </c>
      <c r="G686">
        <v>10</v>
      </c>
      <c r="O686">
        <v>20</v>
      </c>
      <c r="S686">
        <f t="shared" si="152"/>
        <v>1.25</v>
      </c>
      <c r="T686">
        <f t="shared" si="153"/>
        <v>0</v>
      </c>
      <c r="U686">
        <f t="shared" si="151"/>
        <v>1</v>
      </c>
      <c r="V686">
        <f t="shared" si="154"/>
        <v>1</v>
      </c>
      <c r="W686">
        <f t="shared" si="155"/>
        <v>0</v>
      </c>
      <c r="X686">
        <f t="shared" si="164"/>
        <v>0</v>
      </c>
      <c r="Y686">
        <f t="shared" si="165"/>
        <v>0</v>
      </c>
      <c r="Z686">
        <f t="shared" si="156"/>
        <v>0</v>
      </c>
      <c r="AA686">
        <f t="shared" si="157"/>
        <v>2.5</v>
      </c>
      <c r="AB686">
        <f t="shared" si="158"/>
        <v>1.4285714285714286</v>
      </c>
      <c r="AC686">
        <f t="shared" si="159"/>
        <v>0</v>
      </c>
      <c r="AD686" s="1">
        <f t="shared" si="160"/>
        <v>0</v>
      </c>
      <c r="AE686">
        <f t="shared" si="161"/>
        <v>0</v>
      </c>
      <c r="AF686">
        <f t="shared" si="162"/>
        <v>0</v>
      </c>
      <c r="AG686">
        <f t="shared" si="163"/>
        <v>0</v>
      </c>
    </row>
    <row r="687" spans="1:33" x14ac:dyDescent="0.25">
      <c r="A687" t="s">
        <v>1229</v>
      </c>
      <c r="B687" t="s">
        <v>1230</v>
      </c>
      <c r="C687">
        <v>168357</v>
      </c>
      <c r="D687">
        <v>168357</v>
      </c>
      <c r="H687">
        <v>20</v>
      </c>
      <c r="I687">
        <v>40</v>
      </c>
      <c r="J687">
        <v>20</v>
      </c>
      <c r="K687">
        <v>10</v>
      </c>
      <c r="L687">
        <v>10</v>
      </c>
      <c r="M687">
        <v>100</v>
      </c>
      <c r="S687">
        <f t="shared" si="152"/>
        <v>0</v>
      </c>
      <c r="T687">
        <f t="shared" si="153"/>
        <v>8.3333333333333339</v>
      </c>
      <c r="U687">
        <f t="shared" si="151"/>
        <v>1</v>
      </c>
      <c r="V687">
        <f t="shared" si="154"/>
        <v>0</v>
      </c>
      <c r="W687">
        <f t="shared" si="155"/>
        <v>1</v>
      </c>
      <c r="X687">
        <f t="shared" si="164"/>
        <v>0</v>
      </c>
      <c r="Y687">
        <f t="shared" si="165"/>
        <v>1</v>
      </c>
      <c r="Z687">
        <f t="shared" si="156"/>
        <v>0</v>
      </c>
      <c r="AA687">
        <f t="shared" si="157"/>
        <v>0</v>
      </c>
      <c r="AB687">
        <f t="shared" si="158"/>
        <v>0</v>
      </c>
      <c r="AC687">
        <f t="shared" si="159"/>
        <v>10</v>
      </c>
      <c r="AD687" s="1">
        <f t="shared" si="160"/>
        <v>6.666666666666667</v>
      </c>
      <c r="AE687">
        <f t="shared" si="161"/>
        <v>10</v>
      </c>
      <c r="AF687">
        <f t="shared" si="162"/>
        <v>10</v>
      </c>
      <c r="AG687">
        <f t="shared" si="163"/>
        <v>10</v>
      </c>
    </row>
    <row r="688" spans="1:33" x14ac:dyDescent="0.25">
      <c r="A688" t="s">
        <v>1231</v>
      </c>
      <c r="B688" t="s">
        <v>596</v>
      </c>
      <c r="C688">
        <v>167480</v>
      </c>
      <c r="D688">
        <v>167480</v>
      </c>
      <c r="H688">
        <v>10</v>
      </c>
      <c r="I688">
        <v>40</v>
      </c>
      <c r="J688">
        <v>10</v>
      </c>
      <c r="K688">
        <v>10</v>
      </c>
      <c r="L688">
        <v>0</v>
      </c>
      <c r="M688">
        <v>70</v>
      </c>
      <c r="S688">
        <f t="shared" si="152"/>
        <v>0</v>
      </c>
      <c r="T688">
        <f t="shared" si="153"/>
        <v>5.833333333333333</v>
      </c>
      <c r="U688">
        <f t="shared" si="151"/>
        <v>1</v>
      </c>
      <c r="V688">
        <f t="shared" si="154"/>
        <v>0</v>
      </c>
      <c r="W688">
        <f t="shared" si="155"/>
        <v>1</v>
      </c>
      <c r="X688">
        <f t="shared" si="164"/>
        <v>0</v>
      </c>
      <c r="Y688">
        <f t="shared" si="165"/>
        <v>0</v>
      </c>
      <c r="Z688">
        <f t="shared" si="156"/>
        <v>0</v>
      </c>
      <c r="AA688">
        <f t="shared" si="157"/>
        <v>0</v>
      </c>
      <c r="AB688">
        <f t="shared" si="158"/>
        <v>0</v>
      </c>
      <c r="AC688">
        <f t="shared" si="159"/>
        <v>5</v>
      </c>
      <c r="AD688" s="1">
        <f t="shared" si="160"/>
        <v>6.666666666666667</v>
      </c>
      <c r="AE688">
        <f t="shared" si="161"/>
        <v>5</v>
      </c>
      <c r="AF688">
        <f t="shared" si="162"/>
        <v>10</v>
      </c>
      <c r="AG688">
        <f t="shared" si="163"/>
        <v>0</v>
      </c>
    </row>
    <row r="689" spans="1:33" x14ac:dyDescent="0.25">
      <c r="A689" t="s">
        <v>1232</v>
      </c>
      <c r="B689" t="s">
        <v>1233</v>
      </c>
      <c r="C689">
        <v>163992</v>
      </c>
      <c r="D689">
        <v>163992</v>
      </c>
      <c r="E689">
        <v>10</v>
      </c>
      <c r="F689">
        <v>20</v>
      </c>
      <c r="G689">
        <v>50</v>
      </c>
      <c r="O689">
        <v>80</v>
      </c>
      <c r="S689">
        <f t="shared" si="152"/>
        <v>5</v>
      </c>
      <c r="T689">
        <f t="shared" si="153"/>
        <v>0</v>
      </c>
      <c r="U689">
        <f t="shared" si="151"/>
        <v>1</v>
      </c>
      <c r="V689">
        <f t="shared" si="154"/>
        <v>1</v>
      </c>
      <c r="W689">
        <f t="shared" si="155"/>
        <v>0</v>
      </c>
      <c r="X689">
        <f t="shared" si="164"/>
        <v>0</v>
      </c>
      <c r="Y689">
        <f t="shared" si="165"/>
        <v>0</v>
      </c>
      <c r="Z689">
        <f t="shared" si="156"/>
        <v>2</v>
      </c>
      <c r="AA689">
        <f t="shared" si="157"/>
        <v>5</v>
      </c>
      <c r="AB689">
        <f t="shared" si="158"/>
        <v>7.1428571428571432</v>
      </c>
      <c r="AC689">
        <f t="shared" si="159"/>
        <v>0</v>
      </c>
      <c r="AD689" s="1">
        <f t="shared" si="160"/>
        <v>0</v>
      </c>
      <c r="AE689">
        <f t="shared" si="161"/>
        <v>0</v>
      </c>
      <c r="AF689">
        <f t="shared" si="162"/>
        <v>0</v>
      </c>
      <c r="AG689">
        <f t="shared" si="163"/>
        <v>0</v>
      </c>
    </row>
    <row r="690" spans="1:33" x14ac:dyDescent="0.25">
      <c r="A690" t="s">
        <v>1234</v>
      </c>
      <c r="B690" t="s">
        <v>1235</v>
      </c>
      <c r="C690">
        <v>167561</v>
      </c>
      <c r="D690">
        <v>167561</v>
      </c>
      <c r="E690">
        <v>20</v>
      </c>
      <c r="F690">
        <v>10</v>
      </c>
      <c r="G690">
        <v>30</v>
      </c>
      <c r="O690">
        <v>60</v>
      </c>
      <c r="S690">
        <f t="shared" si="152"/>
        <v>3.75</v>
      </c>
      <c r="T690">
        <f t="shared" si="153"/>
        <v>0</v>
      </c>
      <c r="U690">
        <f t="shared" si="151"/>
        <v>1</v>
      </c>
      <c r="V690">
        <f t="shared" si="154"/>
        <v>1</v>
      </c>
      <c r="W690">
        <f t="shared" si="155"/>
        <v>0</v>
      </c>
      <c r="X690">
        <f t="shared" si="164"/>
        <v>0</v>
      </c>
      <c r="Y690">
        <f t="shared" si="165"/>
        <v>0</v>
      </c>
      <c r="Z690">
        <f t="shared" si="156"/>
        <v>4</v>
      </c>
      <c r="AA690">
        <f t="shared" si="157"/>
        <v>2.5</v>
      </c>
      <c r="AB690">
        <f t="shared" si="158"/>
        <v>4.2857142857142856</v>
      </c>
      <c r="AC690">
        <f t="shared" si="159"/>
        <v>0</v>
      </c>
      <c r="AD690" s="1">
        <f t="shared" si="160"/>
        <v>0</v>
      </c>
      <c r="AE690">
        <f t="shared" si="161"/>
        <v>0</v>
      </c>
      <c r="AF690">
        <f t="shared" si="162"/>
        <v>0</v>
      </c>
      <c r="AG690">
        <f t="shared" si="163"/>
        <v>0</v>
      </c>
    </row>
    <row r="691" spans="1:33" x14ac:dyDescent="0.25">
      <c r="A691" t="s">
        <v>1236</v>
      </c>
      <c r="B691" t="s">
        <v>1237</v>
      </c>
      <c r="C691">
        <v>168110</v>
      </c>
      <c r="D691">
        <v>168110</v>
      </c>
      <c r="E691">
        <v>30</v>
      </c>
      <c r="F691">
        <v>10</v>
      </c>
      <c r="G691">
        <v>0</v>
      </c>
      <c r="O691">
        <v>40</v>
      </c>
      <c r="S691">
        <f t="shared" si="152"/>
        <v>2.5</v>
      </c>
      <c r="T691">
        <f t="shared" si="153"/>
        <v>0</v>
      </c>
      <c r="U691">
        <f t="shared" si="151"/>
        <v>1</v>
      </c>
      <c r="V691">
        <f t="shared" si="154"/>
        <v>1</v>
      </c>
      <c r="W691">
        <f t="shared" si="155"/>
        <v>0</v>
      </c>
      <c r="X691">
        <f t="shared" si="164"/>
        <v>0</v>
      </c>
      <c r="Y691">
        <f t="shared" si="165"/>
        <v>0</v>
      </c>
      <c r="Z691">
        <f t="shared" si="156"/>
        <v>6</v>
      </c>
      <c r="AA691">
        <f t="shared" si="157"/>
        <v>2.5</v>
      </c>
      <c r="AB691">
        <f t="shared" si="158"/>
        <v>0</v>
      </c>
      <c r="AC691">
        <f t="shared" si="159"/>
        <v>0</v>
      </c>
      <c r="AD691" s="1">
        <f t="shared" si="160"/>
        <v>0</v>
      </c>
      <c r="AE691">
        <f t="shared" si="161"/>
        <v>0</v>
      </c>
      <c r="AF691">
        <f t="shared" si="162"/>
        <v>0</v>
      </c>
      <c r="AG691">
        <f t="shared" si="163"/>
        <v>0</v>
      </c>
    </row>
    <row r="692" spans="1:33" x14ac:dyDescent="0.25">
      <c r="A692" t="s">
        <v>1238</v>
      </c>
      <c r="B692" t="s">
        <v>286</v>
      </c>
      <c r="C692">
        <v>162675</v>
      </c>
      <c r="D692">
        <v>162675</v>
      </c>
      <c r="H692">
        <v>20</v>
      </c>
      <c r="I692">
        <v>50</v>
      </c>
      <c r="J692">
        <v>10</v>
      </c>
      <c r="K692">
        <v>10</v>
      </c>
      <c r="L692">
        <v>10</v>
      </c>
      <c r="M692">
        <v>100</v>
      </c>
      <c r="S692">
        <f t="shared" si="152"/>
        <v>0</v>
      </c>
      <c r="T692">
        <f t="shared" si="153"/>
        <v>8.3333333333333339</v>
      </c>
      <c r="U692">
        <f t="shared" si="151"/>
        <v>1</v>
      </c>
      <c r="V692">
        <f t="shared" si="154"/>
        <v>0</v>
      </c>
      <c r="W692">
        <f t="shared" si="155"/>
        <v>1</v>
      </c>
      <c r="X692">
        <f t="shared" si="164"/>
        <v>0</v>
      </c>
      <c r="Y692">
        <f t="shared" si="165"/>
        <v>1</v>
      </c>
      <c r="Z692">
        <f t="shared" si="156"/>
        <v>0</v>
      </c>
      <c r="AA692">
        <f t="shared" si="157"/>
        <v>0</v>
      </c>
      <c r="AB692">
        <f t="shared" si="158"/>
        <v>0</v>
      </c>
      <c r="AC692">
        <f t="shared" si="159"/>
        <v>10</v>
      </c>
      <c r="AD692" s="1">
        <f t="shared" si="160"/>
        <v>8.3333333333333339</v>
      </c>
      <c r="AE692">
        <f t="shared" si="161"/>
        <v>5</v>
      </c>
      <c r="AF692">
        <f t="shared" si="162"/>
        <v>10</v>
      </c>
      <c r="AG692">
        <f t="shared" si="163"/>
        <v>10</v>
      </c>
    </row>
    <row r="693" spans="1:33" x14ac:dyDescent="0.25">
      <c r="A693" t="s">
        <v>1239</v>
      </c>
      <c r="B693" t="s">
        <v>1240</v>
      </c>
      <c r="C693">
        <v>166164</v>
      </c>
      <c r="D693">
        <v>166164</v>
      </c>
      <c r="H693">
        <v>10</v>
      </c>
      <c r="I693">
        <v>40</v>
      </c>
      <c r="J693">
        <v>10</v>
      </c>
      <c r="K693">
        <v>10</v>
      </c>
      <c r="L693">
        <v>0</v>
      </c>
      <c r="M693">
        <v>70</v>
      </c>
      <c r="N693" t="s">
        <v>549</v>
      </c>
      <c r="S693">
        <f t="shared" si="152"/>
        <v>0</v>
      </c>
      <c r="T693">
        <f t="shared" si="153"/>
        <v>5.833333333333333</v>
      </c>
      <c r="U693">
        <f t="shared" si="151"/>
        <v>1</v>
      </c>
      <c r="V693">
        <f t="shared" si="154"/>
        <v>0</v>
      </c>
      <c r="W693">
        <f t="shared" si="155"/>
        <v>1</v>
      </c>
      <c r="X693">
        <f t="shared" si="164"/>
        <v>0</v>
      </c>
      <c r="Y693">
        <f t="shared" si="165"/>
        <v>0</v>
      </c>
      <c r="Z693">
        <f t="shared" si="156"/>
        <v>0</v>
      </c>
      <c r="AA693">
        <f t="shared" si="157"/>
        <v>0</v>
      </c>
      <c r="AB693">
        <f t="shared" si="158"/>
        <v>0</v>
      </c>
      <c r="AC693">
        <f t="shared" si="159"/>
        <v>5</v>
      </c>
      <c r="AD693" s="1">
        <f t="shared" si="160"/>
        <v>6.666666666666667</v>
      </c>
      <c r="AE693">
        <f t="shared" si="161"/>
        <v>5</v>
      </c>
      <c r="AF693">
        <f t="shared" si="162"/>
        <v>10</v>
      </c>
      <c r="AG693">
        <f t="shared" si="163"/>
        <v>0</v>
      </c>
    </row>
    <row r="694" spans="1:33" x14ac:dyDescent="0.25">
      <c r="A694" t="s">
        <v>1241</v>
      </c>
      <c r="B694" t="s">
        <v>1242</v>
      </c>
      <c r="C694">
        <v>168433</v>
      </c>
      <c r="D694">
        <v>168433</v>
      </c>
      <c r="H694">
        <v>10</v>
      </c>
      <c r="I694">
        <v>10</v>
      </c>
      <c r="J694">
        <v>20</v>
      </c>
      <c r="K694">
        <v>0</v>
      </c>
      <c r="L694">
        <v>0</v>
      </c>
      <c r="M694">
        <v>40</v>
      </c>
      <c r="S694">
        <f t="shared" si="152"/>
        <v>0</v>
      </c>
      <c r="T694">
        <f t="shared" si="153"/>
        <v>3.3333333333333335</v>
      </c>
      <c r="U694">
        <f t="shared" si="151"/>
        <v>1</v>
      </c>
      <c r="V694">
        <f t="shared" si="154"/>
        <v>0</v>
      </c>
      <c r="W694">
        <f t="shared" si="155"/>
        <v>1</v>
      </c>
      <c r="X694">
        <f t="shared" si="164"/>
        <v>0</v>
      </c>
      <c r="Y694">
        <f t="shared" si="165"/>
        <v>0</v>
      </c>
      <c r="Z694">
        <f t="shared" si="156"/>
        <v>0</v>
      </c>
      <c r="AA694">
        <f t="shared" si="157"/>
        <v>0</v>
      </c>
      <c r="AB694">
        <f t="shared" si="158"/>
        <v>0</v>
      </c>
      <c r="AC694">
        <f t="shared" si="159"/>
        <v>5</v>
      </c>
      <c r="AD694" s="1">
        <f t="shared" si="160"/>
        <v>1.6666666666666667</v>
      </c>
      <c r="AE694">
        <f t="shared" si="161"/>
        <v>10</v>
      </c>
      <c r="AF694">
        <f t="shared" si="162"/>
        <v>0</v>
      </c>
      <c r="AG694">
        <f t="shared" si="163"/>
        <v>0</v>
      </c>
    </row>
    <row r="695" spans="1:33" x14ac:dyDescent="0.25">
      <c r="A695" t="s">
        <v>1243</v>
      </c>
      <c r="B695" t="s">
        <v>1244</v>
      </c>
      <c r="C695">
        <v>168424</v>
      </c>
      <c r="D695">
        <v>168424</v>
      </c>
      <c r="E695">
        <v>50</v>
      </c>
      <c r="F695">
        <v>40</v>
      </c>
      <c r="G695">
        <v>40</v>
      </c>
      <c r="O695">
        <v>130</v>
      </c>
      <c r="S695">
        <f t="shared" si="152"/>
        <v>8.125</v>
      </c>
      <c r="T695">
        <f t="shared" si="153"/>
        <v>0</v>
      </c>
      <c r="U695">
        <f t="shared" si="151"/>
        <v>1</v>
      </c>
      <c r="V695">
        <f t="shared" si="154"/>
        <v>1</v>
      </c>
      <c r="W695">
        <f t="shared" si="155"/>
        <v>0</v>
      </c>
      <c r="X695">
        <f t="shared" si="164"/>
        <v>1</v>
      </c>
      <c r="Y695">
        <f t="shared" si="165"/>
        <v>0</v>
      </c>
      <c r="Z695">
        <f t="shared" si="156"/>
        <v>10</v>
      </c>
      <c r="AA695">
        <f t="shared" si="157"/>
        <v>10</v>
      </c>
      <c r="AB695">
        <f t="shared" si="158"/>
        <v>5.7142857142857144</v>
      </c>
      <c r="AC695">
        <f t="shared" si="159"/>
        <v>0</v>
      </c>
      <c r="AD695" s="1">
        <f t="shared" si="160"/>
        <v>0</v>
      </c>
      <c r="AE695">
        <f t="shared" si="161"/>
        <v>0</v>
      </c>
      <c r="AF695">
        <f t="shared" si="162"/>
        <v>0</v>
      </c>
      <c r="AG695">
        <f t="shared" si="163"/>
        <v>0</v>
      </c>
    </row>
    <row r="696" spans="1:33" x14ac:dyDescent="0.25">
      <c r="A696" t="s">
        <v>1243</v>
      </c>
      <c r="B696" t="s">
        <v>393</v>
      </c>
      <c r="C696">
        <v>163435</v>
      </c>
      <c r="D696">
        <v>163435</v>
      </c>
      <c r="N696" t="s">
        <v>549</v>
      </c>
      <c r="S696">
        <f t="shared" si="152"/>
        <v>0</v>
      </c>
      <c r="T696">
        <f t="shared" si="153"/>
        <v>0</v>
      </c>
      <c r="U696">
        <f t="shared" si="151"/>
        <v>0</v>
      </c>
      <c r="V696">
        <f t="shared" si="154"/>
        <v>0</v>
      </c>
      <c r="W696">
        <f t="shared" si="155"/>
        <v>0</v>
      </c>
      <c r="X696">
        <f t="shared" si="164"/>
        <v>0</v>
      </c>
      <c r="Y696">
        <f t="shared" si="165"/>
        <v>0</v>
      </c>
      <c r="Z696">
        <f t="shared" si="156"/>
        <v>0</v>
      </c>
      <c r="AA696">
        <f t="shared" si="157"/>
        <v>0</v>
      </c>
      <c r="AB696">
        <f t="shared" si="158"/>
        <v>0</v>
      </c>
      <c r="AC696">
        <f t="shared" si="159"/>
        <v>0</v>
      </c>
      <c r="AD696" s="1">
        <f t="shared" si="160"/>
        <v>0</v>
      </c>
      <c r="AE696">
        <f t="shared" si="161"/>
        <v>0</v>
      </c>
      <c r="AF696">
        <f t="shared" si="162"/>
        <v>0</v>
      </c>
      <c r="AG696">
        <f t="shared" si="163"/>
        <v>0</v>
      </c>
    </row>
    <row r="697" spans="1:33" x14ac:dyDescent="0.25">
      <c r="A697" t="s">
        <v>1243</v>
      </c>
      <c r="B697" t="s">
        <v>126</v>
      </c>
      <c r="C697">
        <v>166925</v>
      </c>
      <c r="D697">
        <v>166925</v>
      </c>
      <c r="H697">
        <v>10</v>
      </c>
      <c r="I697">
        <v>40</v>
      </c>
      <c r="J697">
        <v>10</v>
      </c>
      <c r="K697">
        <v>10</v>
      </c>
      <c r="L697">
        <v>10</v>
      </c>
      <c r="M697">
        <v>80</v>
      </c>
      <c r="S697">
        <f t="shared" si="152"/>
        <v>0</v>
      </c>
      <c r="T697">
        <f t="shared" si="153"/>
        <v>6.666666666666667</v>
      </c>
      <c r="U697">
        <f t="shared" si="151"/>
        <v>1</v>
      </c>
      <c r="V697">
        <f t="shared" si="154"/>
        <v>0</v>
      </c>
      <c r="W697">
        <f t="shared" si="155"/>
        <v>1</v>
      </c>
      <c r="X697">
        <f t="shared" si="164"/>
        <v>0</v>
      </c>
      <c r="Y697">
        <f t="shared" si="165"/>
        <v>1</v>
      </c>
      <c r="Z697">
        <f t="shared" si="156"/>
        <v>0</v>
      </c>
      <c r="AA697">
        <f t="shared" si="157"/>
        <v>0</v>
      </c>
      <c r="AB697">
        <f t="shared" si="158"/>
        <v>0</v>
      </c>
      <c r="AC697">
        <f t="shared" si="159"/>
        <v>5</v>
      </c>
      <c r="AD697" s="1">
        <f t="shared" si="160"/>
        <v>6.666666666666667</v>
      </c>
      <c r="AE697">
        <f t="shared" si="161"/>
        <v>5</v>
      </c>
      <c r="AF697">
        <f t="shared" si="162"/>
        <v>10</v>
      </c>
      <c r="AG697">
        <f t="shared" si="163"/>
        <v>10</v>
      </c>
    </row>
    <row r="698" spans="1:33" x14ac:dyDescent="0.25">
      <c r="A698" t="s">
        <v>1243</v>
      </c>
      <c r="B698" t="s">
        <v>1063</v>
      </c>
      <c r="C698">
        <v>168759</v>
      </c>
      <c r="D698">
        <v>168759</v>
      </c>
      <c r="H698">
        <v>10</v>
      </c>
      <c r="I698">
        <v>30</v>
      </c>
      <c r="J698">
        <v>10</v>
      </c>
      <c r="K698">
        <v>10</v>
      </c>
      <c r="L698">
        <v>10</v>
      </c>
      <c r="M698">
        <v>70</v>
      </c>
      <c r="S698">
        <f t="shared" si="152"/>
        <v>0</v>
      </c>
      <c r="T698">
        <f t="shared" si="153"/>
        <v>5.833333333333333</v>
      </c>
      <c r="U698">
        <f t="shared" si="151"/>
        <v>1</v>
      </c>
      <c r="V698">
        <f t="shared" si="154"/>
        <v>0</v>
      </c>
      <c r="W698">
        <f t="shared" si="155"/>
        <v>1</v>
      </c>
      <c r="X698">
        <f t="shared" si="164"/>
        <v>0</v>
      </c>
      <c r="Y698">
        <f t="shared" si="165"/>
        <v>0</v>
      </c>
      <c r="Z698">
        <f t="shared" si="156"/>
        <v>0</v>
      </c>
      <c r="AA698">
        <f t="shared" si="157"/>
        <v>0</v>
      </c>
      <c r="AB698">
        <f t="shared" si="158"/>
        <v>0</v>
      </c>
      <c r="AC698">
        <f t="shared" si="159"/>
        <v>5</v>
      </c>
      <c r="AD698" s="1">
        <f t="shared" si="160"/>
        <v>5</v>
      </c>
      <c r="AE698">
        <f t="shared" si="161"/>
        <v>5</v>
      </c>
      <c r="AF698">
        <f t="shared" si="162"/>
        <v>10</v>
      </c>
      <c r="AG698">
        <f t="shared" si="163"/>
        <v>10</v>
      </c>
    </row>
    <row r="699" spans="1:33" x14ac:dyDescent="0.25">
      <c r="A699" t="s">
        <v>1243</v>
      </c>
      <c r="B699" t="s">
        <v>197</v>
      </c>
      <c r="C699">
        <v>163940</v>
      </c>
      <c r="D699">
        <v>163940</v>
      </c>
      <c r="E699">
        <v>0</v>
      </c>
      <c r="F699">
        <v>10</v>
      </c>
      <c r="G699">
        <v>20</v>
      </c>
      <c r="O699">
        <v>30</v>
      </c>
      <c r="S699">
        <f t="shared" si="152"/>
        <v>1.875</v>
      </c>
      <c r="T699">
        <f t="shared" si="153"/>
        <v>0</v>
      </c>
      <c r="U699">
        <f t="shared" si="151"/>
        <v>1</v>
      </c>
      <c r="V699">
        <f t="shared" si="154"/>
        <v>1</v>
      </c>
      <c r="W699">
        <f t="shared" si="155"/>
        <v>0</v>
      </c>
      <c r="X699">
        <f t="shared" si="164"/>
        <v>0</v>
      </c>
      <c r="Y699">
        <f t="shared" si="165"/>
        <v>0</v>
      </c>
      <c r="Z699">
        <f t="shared" si="156"/>
        <v>0</v>
      </c>
      <c r="AA699">
        <f t="shared" si="157"/>
        <v>2.5</v>
      </c>
      <c r="AB699">
        <f t="shared" si="158"/>
        <v>2.8571428571428572</v>
      </c>
      <c r="AC699">
        <f t="shared" si="159"/>
        <v>0</v>
      </c>
      <c r="AD699" s="1">
        <f t="shared" si="160"/>
        <v>0</v>
      </c>
      <c r="AE699">
        <f t="shared" si="161"/>
        <v>0</v>
      </c>
      <c r="AF699">
        <f t="shared" si="162"/>
        <v>0</v>
      </c>
      <c r="AG699">
        <f t="shared" si="163"/>
        <v>0</v>
      </c>
    </row>
    <row r="700" spans="1:33" x14ac:dyDescent="0.25">
      <c r="A700" t="s">
        <v>1245</v>
      </c>
      <c r="B700" t="s">
        <v>1246</v>
      </c>
      <c r="C700">
        <v>163689</v>
      </c>
      <c r="D700">
        <v>163689</v>
      </c>
      <c r="S700">
        <f t="shared" si="152"/>
        <v>0</v>
      </c>
      <c r="T700">
        <f t="shared" si="153"/>
        <v>0</v>
      </c>
      <c r="U700">
        <f t="shared" si="151"/>
        <v>0</v>
      </c>
      <c r="V700">
        <f t="shared" si="154"/>
        <v>0</v>
      </c>
      <c r="W700">
        <f t="shared" si="155"/>
        <v>0</v>
      </c>
      <c r="X700">
        <f t="shared" si="164"/>
        <v>0</v>
      </c>
      <c r="Y700">
        <f t="shared" si="165"/>
        <v>0</v>
      </c>
      <c r="Z700">
        <f t="shared" si="156"/>
        <v>0</v>
      </c>
      <c r="AA700">
        <f t="shared" si="157"/>
        <v>0</v>
      </c>
      <c r="AB700">
        <f t="shared" si="158"/>
        <v>0</v>
      </c>
      <c r="AC700">
        <f t="shared" si="159"/>
        <v>0</v>
      </c>
      <c r="AD700" s="1">
        <f t="shared" si="160"/>
        <v>0</v>
      </c>
      <c r="AE700">
        <f t="shared" si="161"/>
        <v>0</v>
      </c>
      <c r="AF700">
        <f t="shared" si="162"/>
        <v>0</v>
      </c>
      <c r="AG700">
        <f t="shared" si="163"/>
        <v>0</v>
      </c>
    </row>
    <row r="701" spans="1:33" x14ac:dyDescent="0.25">
      <c r="A701" t="s">
        <v>1245</v>
      </c>
      <c r="B701" t="s">
        <v>1247</v>
      </c>
      <c r="C701">
        <v>168843</v>
      </c>
      <c r="D701">
        <v>168843</v>
      </c>
      <c r="S701">
        <f t="shared" si="152"/>
        <v>0</v>
      </c>
      <c r="T701">
        <f t="shared" si="153"/>
        <v>0</v>
      </c>
      <c r="U701">
        <f t="shared" si="151"/>
        <v>0</v>
      </c>
      <c r="V701">
        <f t="shared" si="154"/>
        <v>0</v>
      </c>
      <c r="W701">
        <f t="shared" si="155"/>
        <v>0</v>
      </c>
      <c r="X701">
        <f t="shared" si="164"/>
        <v>0</v>
      </c>
      <c r="Y701">
        <f t="shared" si="165"/>
        <v>0</v>
      </c>
      <c r="Z701">
        <f t="shared" si="156"/>
        <v>0</v>
      </c>
      <c r="AA701">
        <f t="shared" si="157"/>
        <v>0</v>
      </c>
      <c r="AB701">
        <f t="shared" si="158"/>
        <v>0</v>
      </c>
      <c r="AC701">
        <f t="shared" si="159"/>
        <v>0</v>
      </c>
      <c r="AD701" s="1">
        <f t="shared" si="160"/>
        <v>0</v>
      </c>
      <c r="AE701">
        <f t="shared" si="161"/>
        <v>0</v>
      </c>
      <c r="AF701">
        <f t="shared" si="162"/>
        <v>0</v>
      </c>
      <c r="AG701">
        <f t="shared" si="163"/>
        <v>0</v>
      </c>
    </row>
    <row r="702" spans="1:33" x14ac:dyDescent="0.25">
      <c r="A702" t="s">
        <v>1248</v>
      </c>
      <c r="B702" t="s">
        <v>1249</v>
      </c>
      <c r="C702">
        <v>168260</v>
      </c>
      <c r="D702">
        <v>168260</v>
      </c>
      <c r="H702">
        <v>20</v>
      </c>
      <c r="I702">
        <v>40</v>
      </c>
      <c r="J702">
        <v>20</v>
      </c>
      <c r="K702">
        <v>10</v>
      </c>
      <c r="L702">
        <v>0</v>
      </c>
      <c r="M702">
        <v>90</v>
      </c>
      <c r="S702">
        <f t="shared" si="152"/>
        <v>0</v>
      </c>
      <c r="T702">
        <f t="shared" si="153"/>
        <v>7.5</v>
      </c>
      <c r="U702">
        <f t="shared" si="151"/>
        <v>1</v>
      </c>
      <c r="V702">
        <f t="shared" si="154"/>
        <v>0</v>
      </c>
      <c r="W702">
        <f t="shared" si="155"/>
        <v>1</v>
      </c>
      <c r="X702">
        <f t="shared" si="164"/>
        <v>0</v>
      </c>
      <c r="Y702">
        <f t="shared" si="165"/>
        <v>1</v>
      </c>
      <c r="Z702">
        <f t="shared" si="156"/>
        <v>0</v>
      </c>
      <c r="AA702">
        <f t="shared" si="157"/>
        <v>0</v>
      </c>
      <c r="AB702">
        <f t="shared" si="158"/>
        <v>0</v>
      </c>
      <c r="AC702">
        <f t="shared" si="159"/>
        <v>10</v>
      </c>
      <c r="AD702" s="1">
        <f t="shared" si="160"/>
        <v>6.666666666666667</v>
      </c>
      <c r="AE702">
        <f t="shared" si="161"/>
        <v>10</v>
      </c>
      <c r="AF702">
        <f t="shared" si="162"/>
        <v>10</v>
      </c>
      <c r="AG702">
        <f t="shared" si="163"/>
        <v>0</v>
      </c>
    </row>
    <row r="703" spans="1:33" x14ac:dyDescent="0.25">
      <c r="A703" t="s">
        <v>1248</v>
      </c>
      <c r="B703" t="s">
        <v>396</v>
      </c>
      <c r="C703">
        <v>164266</v>
      </c>
      <c r="D703">
        <v>164266</v>
      </c>
      <c r="S703">
        <f t="shared" si="152"/>
        <v>0</v>
      </c>
      <c r="T703">
        <f t="shared" si="153"/>
        <v>0</v>
      </c>
      <c r="U703">
        <f t="shared" si="151"/>
        <v>0</v>
      </c>
      <c r="V703">
        <f t="shared" si="154"/>
        <v>0</v>
      </c>
      <c r="W703">
        <f t="shared" si="155"/>
        <v>0</v>
      </c>
      <c r="X703">
        <f t="shared" si="164"/>
        <v>0</v>
      </c>
      <c r="Y703">
        <f t="shared" si="165"/>
        <v>0</v>
      </c>
      <c r="Z703">
        <f t="shared" si="156"/>
        <v>0</v>
      </c>
      <c r="AA703">
        <f t="shared" si="157"/>
        <v>0</v>
      </c>
      <c r="AB703">
        <f t="shared" si="158"/>
        <v>0</v>
      </c>
      <c r="AC703">
        <f t="shared" si="159"/>
        <v>0</v>
      </c>
      <c r="AD703" s="1">
        <f t="shared" si="160"/>
        <v>0</v>
      </c>
      <c r="AE703">
        <f t="shared" si="161"/>
        <v>0</v>
      </c>
      <c r="AF703">
        <f t="shared" si="162"/>
        <v>0</v>
      </c>
      <c r="AG703">
        <f t="shared" si="163"/>
        <v>0</v>
      </c>
    </row>
    <row r="704" spans="1:33" x14ac:dyDescent="0.25">
      <c r="A704" t="s">
        <v>1250</v>
      </c>
      <c r="B704" t="s">
        <v>49</v>
      </c>
      <c r="C704">
        <v>168521</v>
      </c>
      <c r="D704">
        <v>168521</v>
      </c>
      <c r="H704">
        <v>10</v>
      </c>
      <c r="I704">
        <v>50</v>
      </c>
      <c r="J704">
        <v>10</v>
      </c>
      <c r="K704">
        <v>10</v>
      </c>
      <c r="L704">
        <v>0</v>
      </c>
      <c r="M704">
        <v>80</v>
      </c>
      <c r="S704">
        <f t="shared" si="152"/>
        <v>0</v>
      </c>
      <c r="T704">
        <f t="shared" si="153"/>
        <v>6.666666666666667</v>
      </c>
      <c r="U704">
        <f t="shared" si="151"/>
        <v>1</v>
      </c>
      <c r="V704">
        <f t="shared" si="154"/>
        <v>0</v>
      </c>
      <c r="W704">
        <f t="shared" si="155"/>
        <v>1</v>
      </c>
      <c r="X704">
        <f t="shared" si="164"/>
        <v>0</v>
      </c>
      <c r="Y704">
        <f t="shared" si="165"/>
        <v>1</v>
      </c>
      <c r="Z704">
        <f t="shared" si="156"/>
        <v>0</v>
      </c>
      <c r="AA704">
        <f t="shared" si="157"/>
        <v>0</v>
      </c>
      <c r="AB704">
        <f t="shared" si="158"/>
        <v>0</v>
      </c>
      <c r="AC704">
        <f t="shared" si="159"/>
        <v>5</v>
      </c>
      <c r="AD704" s="1">
        <f t="shared" si="160"/>
        <v>8.3333333333333339</v>
      </c>
      <c r="AE704">
        <f t="shared" si="161"/>
        <v>5</v>
      </c>
      <c r="AF704">
        <f t="shared" si="162"/>
        <v>10</v>
      </c>
      <c r="AG704">
        <f t="shared" si="163"/>
        <v>0</v>
      </c>
    </row>
    <row r="705" spans="1:33" x14ac:dyDescent="0.25">
      <c r="A705" t="s">
        <v>1250</v>
      </c>
      <c r="B705" t="s">
        <v>197</v>
      </c>
      <c r="C705">
        <v>166176</v>
      </c>
      <c r="D705">
        <v>166176</v>
      </c>
      <c r="E705">
        <v>40</v>
      </c>
      <c r="F705">
        <v>10</v>
      </c>
      <c r="G705">
        <v>20</v>
      </c>
      <c r="O705">
        <v>70</v>
      </c>
      <c r="S705">
        <f t="shared" si="152"/>
        <v>4.375</v>
      </c>
      <c r="T705">
        <f t="shared" si="153"/>
        <v>0</v>
      </c>
      <c r="U705">
        <f t="shared" si="151"/>
        <v>1</v>
      </c>
      <c r="V705">
        <f t="shared" si="154"/>
        <v>1</v>
      </c>
      <c r="W705">
        <f t="shared" si="155"/>
        <v>0</v>
      </c>
      <c r="X705">
        <f t="shared" si="164"/>
        <v>0</v>
      </c>
      <c r="Y705">
        <f t="shared" si="165"/>
        <v>0</v>
      </c>
      <c r="Z705">
        <f t="shared" si="156"/>
        <v>8</v>
      </c>
      <c r="AA705">
        <f t="shared" si="157"/>
        <v>2.5</v>
      </c>
      <c r="AB705">
        <f t="shared" si="158"/>
        <v>2.8571428571428572</v>
      </c>
      <c r="AC705">
        <f t="shared" si="159"/>
        <v>0</v>
      </c>
      <c r="AD705" s="1">
        <f t="shared" si="160"/>
        <v>0</v>
      </c>
      <c r="AE705">
        <f t="shared" si="161"/>
        <v>0</v>
      </c>
      <c r="AF705">
        <f t="shared" si="162"/>
        <v>0</v>
      </c>
      <c r="AG705">
        <f t="shared" si="163"/>
        <v>0</v>
      </c>
    </row>
    <row r="706" spans="1:33" x14ac:dyDescent="0.25">
      <c r="A706" t="s">
        <v>1250</v>
      </c>
      <c r="B706" t="s">
        <v>1251</v>
      </c>
      <c r="C706">
        <v>168317</v>
      </c>
      <c r="D706">
        <v>168317</v>
      </c>
      <c r="E706">
        <v>20</v>
      </c>
      <c r="F706">
        <v>30</v>
      </c>
      <c r="G706">
        <v>30</v>
      </c>
      <c r="O706">
        <v>80</v>
      </c>
      <c r="S706">
        <f t="shared" si="152"/>
        <v>5</v>
      </c>
      <c r="T706">
        <f t="shared" si="153"/>
        <v>0</v>
      </c>
      <c r="U706">
        <f t="shared" ref="U706:U769" si="166">IF(AND(E706="",F706="",G706="",H706="",I706="",J706="",K706="",L706="",M706=""),0,1)</f>
        <v>1</v>
      </c>
      <c r="V706">
        <f t="shared" si="154"/>
        <v>1</v>
      </c>
      <c r="W706">
        <f t="shared" si="155"/>
        <v>0</v>
      </c>
      <c r="X706">
        <f t="shared" si="164"/>
        <v>0</v>
      </c>
      <c r="Y706">
        <f t="shared" si="165"/>
        <v>0</v>
      </c>
      <c r="Z706">
        <f t="shared" si="156"/>
        <v>4</v>
      </c>
      <c r="AA706">
        <f t="shared" si="157"/>
        <v>7.5</v>
      </c>
      <c r="AB706">
        <f t="shared" si="158"/>
        <v>4.2857142857142856</v>
      </c>
      <c r="AC706">
        <f t="shared" si="159"/>
        <v>0</v>
      </c>
      <c r="AD706" s="1">
        <f t="shared" si="160"/>
        <v>0</v>
      </c>
      <c r="AE706">
        <f t="shared" si="161"/>
        <v>0</v>
      </c>
      <c r="AF706">
        <f t="shared" si="162"/>
        <v>0</v>
      </c>
      <c r="AG706">
        <f t="shared" si="163"/>
        <v>0</v>
      </c>
    </row>
    <row r="707" spans="1:33" x14ac:dyDescent="0.25">
      <c r="A707" t="s">
        <v>1252</v>
      </c>
      <c r="B707" t="s">
        <v>1253</v>
      </c>
      <c r="C707">
        <v>166048</v>
      </c>
      <c r="D707">
        <v>166048</v>
      </c>
      <c r="H707">
        <v>10</v>
      </c>
      <c r="I707">
        <v>40</v>
      </c>
      <c r="J707">
        <v>10</v>
      </c>
      <c r="K707">
        <v>10</v>
      </c>
      <c r="L707">
        <v>0</v>
      </c>
      <c r="M707">
        <v>70</v>
      </c>
      <c r="S707">
        <f t="shared" ref="S707:S770" si="167">O707/16</f>
        <v>0</v>
      </c>
      <c r="T707">
        <f t="shared" ref="T707:T770" si="168">M707/12</f>
        <v>5.833333333333333</v>
      </c>
      <c r="U707">
        <f t="shared" si="166"/>
        <v>1</v>
      </c>
      <c r="V707">
        <f t="shared" ref="V707:V770" si="169">IF(O707="",0,1)</f>
        <v>0</v>
      </c>
      <c r="W707">
        <f t="shared" ref="W707:W770" si="170">IF(M707="",0,1)</f>
        <v>1</v>
      </c>
      <c r="X707">
        <f t="shared" si="164"/>
        <v>0</v>
      </c>
      <c r="Y707">
        <f t="shared" si="165"/>
        <v>0</v>
      </c>
      <c r="Z707">
        <f t="shared" ref="Z707:Z770" si="171">E707/5</f>
        <v>0</v>
      </c>
      <c r="AA707">
        <f t="shared" ref="AA707:AA770" si="172">F707/4</f>
        <v>0</v>
      </c>
      <c r="AB707">
        <f t="shared" ref="AB707:AB770" si="173">G707/7</f>
        <v>0</v>
      </c>
      <c r="AC707">
        <f t="shared" ref="AC707:AC770" si="174">H707/2</f>
        <v>5</v>
      </c>
      <c r="AD707" s="1">
        <f t="shared" ref="AD707:AD770" si="175">I707/6</f>
        <v>6.666666666666667</v>
      </c>
      <c r="AE707">
        <f t="shared" ref="AE707:AE770" si="176">J707/2</f>
        <v>5</v>
      </c>
      <c r="AF707">
        <f t="shared" ref="AF707:AF770" si="177">K707</f>
        <v>10</v>
      </c>
      <c r="AG707">
        <f t="shared" ref="AG707:AG770" si="178">L707</f>
        <v>0</v>
      </c>
    </row>
    <row r="708" spans="1:33" x14ac:dyDescent="0.25">
      <c r="A708" t="s">
        <v>1254</v>
      </c>
      <c r="B708" t="s">
        <v>1255</v>
      </c>
      <c r="C708">
        <v>168407</v>
      </c>
      <c r="D708">
        <v>168407</v>
      </c>
      <c r="H708">
        <v>0</v>
      </c>
      <c r="I708">
        <v>30</v>
      </c>
      <c r="J708">
        <v>20</v>
      </c>
      <c r="K708">
        <v>0</v>
      </c>
      <c r="L708">
        <v>0</v>
      </c>
      <c r="M708">
        <v>50</v>
      </c>
      <c r="S708">
        <f t="shared" si="167"/>
        <v>0</v>
      </c>
      <c r="T708">
        <f t="shared" si="168"/>
        <v>4.166666666666667</v>
      </c>
      <c r="U708">
        <f t="shared" si="166"/>
        <v>1</v>
      </c>
      <c r="V708">
        <f t="shared" si="169"/>
        <v>0</v>
      </c>
      <c r="W708">
        <f t="shared" si="170"/>
        <v>1</v>
      </c>
      <c r="X708">
        <f t="shared" si="164"/>
        <v>0</v>
      </c>
      <c r="Y708">
        <f t="shared" si="165"/>
        <v>0</v>
      </c>
      <c r="Z708">
        <f t="shared" si="171"/>
        <v>0</v>
      </c>
      <c r="AA708">
        <f t="shared" si="172"/>
        <v>0</v>
      </c>
      <c r="AB708">
        <f t="shared" si="173"/>
        <v>0</v>
      </c>
      <c r="AC708">
        <f t="shared" si="174"/>
        <v>0</v>
      </c>
      <c r="AD708" s="1">
        <f t="shared" si="175"/>
        <v>5</v>
      </c>
      <c r="AE708">
        <f t="shared" si="176"/>
        <v>10</v>
      </c>
      <c r="AF708">
        <f t="shared" si="177"/>
        <v>0</v>
      </c>
      <c r="AG708">
        <f t="shared" si="178"/>
        <v>0</v>
      </c>
    </row>
    <row r="709" spans="1:33" x14ac:dyDescent="0.25">
      <c r="A709" t="s">
        <v>1256</v>
      </c>
      <c r="B709" t="s">
        <v>1257</v>
      </c>
      <c r="C709">
        <v>166517</v>
      </c>
      <c r="D709">
        <v>166517</v>
      </c>
      <c r="E709">
        <v>20</v>
      </c>
      <c r="F709">
        <v>20</v>
      </c>
      <c r="G709">
        <v>30</v>
      </c>
      <c r="O709">
        <v>70</v>
      </c>
      <c r="S709">
        <f t="shared" si="167"/>
        <v>4.375</v>
      </c>
      <c r="T709">
        <f t="shared" si="168"/>
        <v>0</v>
      </c>
      <c r="U709">
        <f t="shared" si="166"/>
        <v>1</v>
      </c>
      <c r="V709">
        <f t="shared" si="169"/>
        <v>1</v>
      </c>
      <c r="W709">
        <f t="shared" si="170"/>
        <v>0</v>
      </c>
      <c r="X709">
        <f t="shared" ref="X709:X772" si="179">IF(AND(V709=1,S709&gt;6),1,0)</f>
        <v>0</v>
      </c>
      <c r="Y709">
        <f t="shared" ref="Y709:Y772" si="180">IF(AND(W709=1,T709&gt;6),1,0)</f>
        <v>0</v>
      </c>
      <c r="Z709">
        <f t="shared" si="171"/>
        <v>4</v>
      </c>
      <c r="AA709">
        <f t="shared" si="172"/>
        <v>5</v>
      </c>
      <c r="AB709">
        <f t="shared" si="173"/>
        <v>4.2857142857142856</v>
      </c>
      <c r="AC709">
        <f t="shared" si="174"/>
        <v>0</v>
      </c>
      <c r="AD709" s="1">
        <f t="shared" si="175"/>
        <v>0</v>
      </c>
      <c r="AE709">
        <f t="shared" si="176"/>
        <v>0</v>
      </c>
      <c r="AF709">
        <f t="shared" si="177"/>
        <v>0</v>
      </c>
      <c r="AG709">
        <f t="shared" si="178"/>
        <v>0</v>
      </c>
    </row>
    <row r="710" spans="1:33" x14ac:dyDescent="0.25">
      <c r="A710" t="s">
        <v>1256</v>
      </c>
      <c r="B710" t="s">
        <v>1258</v>
      </c>
      <c r="C710">
        <v>166986</v>
      </c>
      <c r="D710">
        <v>166986</v>
      </c>
      <c r="H710">
        <v>20</v>
      </c>
      <c r="I710">
        <v>60</v>
      </c>
      <c r="J710">
        <v>20</v>
      </c>
      <c r="K710">
        <v>10</v>
      </c>
      <c r="L710">
        <v>10</v>
      </c>
      <c r="M710">
        <v>120</v>
      </c>
      <c r="S710">
        <f t="shared" si="167"/>
        <v>0</v>
      </c>
      <c r="T710">
        <f t="shared" si="168"/>
        <v>10</v>
      </c>
      <c r="U710">
        <f t="shared" si="166"/>
        <v>1</v>
      </c>
      <c r="V710">
        <f t="shared" si="169"/>
        <v>0</v>
      </c>
      <c r="W710">
        <f t="shared" si="170"/>
        <v>1</v>
      </c>
      <c r="X710">
        <f t="shared" si="179"/>
        <v>0</v>
      </c>
      <c r="Y710">
        <f t="shared" si="180"/>
        <v>1</v>
      </c>
      <c r="Z710">
        <f t="shared" si="171"/>
        <v>0</v>
      </c>
      <c r="AA710">
        <f t="shared" si="172"/>
        <v>0</v>
      </c>
      <c r="AB710">
        <f t="shared" si="173"/>
        <v>0</v>
      </c>
      <c r="AC710">
        <f t="shared" si="174"/>
        <v>10</v>
      </c>
      <c r="AD710" s="1">
        <f t="shared" si="175"/>
        <v>10</v>
      </c>
      <c r="AE710">
        <f t="shared" si="176"/>
        <v>10</v>
      </c>
      <c r="AF710">
        <f t="shared" si="177"/>
        <v>10</v>
      </c>
      <c r="AG710">
        <f t="shared" si="178"/>
        <v>10</v>
      </c>
    </row>
    <row r="711" spans="1:33" x14ac:dyDescent="0.25">
      <c r="A711" t="s">
        <v>1259</v>
      </c>
      <c r="B711" t="s">
        <v>1260</v>
      </c>
      <c r="C711">
        <v>168669</v>
      </c>
      <c r="D711">
        <v>168669</v>
      </c>
      <c r="S711">
        <f t="shared" si="167"/>
        <v>0</v>
      </c>
      <c r="T711">
        <f t="shared" si="168"/>
        <v>0</v>
      </c>
      <c r="U711">
        <f t="shared" si="166"/>
        <v>0</v>
      </c>
      <c r="V711">
        <f t="shared" si="169"/>
        <v>0</v>
      </c>
      <c r="W711">
        <f t="shared" si="170"/>
        <v>0</v>
      </c>
      <c r="X711">
        <f t="shared" si="179"/>
        <v>0</v>
      </c>
      <c r="Y711">
        <f t="shared" si="180"/>
        <v>0</v>
      </c>
      <c r="Z711">
        <f t="shared" si="171"/>
        <v>0</v>
      </c>
      <c r="AA711">
        <f t="shared" si="172"/>
        <v>0</v>
      </c>
      <c r="AB711">
        <f t="shared" si="173"/>
        <v>0</v>
      </c>
      <c r="AC711">
        <f t="shared" si="174"/>
        <v>0</v>
      </c>
      <c r="AD711" s="1">
        <f t="shared" si="175"/>
        <v>0</v>
      </c>
      <c r="AE711">
        <f t="shared" si="176"/>
        <v>0</v>
      </c>
      <c r="AF711">
        <f t="shared" si="177"/>
        <v>0</v>
      </c>
      <c r="AG711">
        <f t="shared" si="178"/>
        <v>0</v>
      </c>
    </row>
    <row r="712" spans="1:33" x14ac:dyDescent="0.25">
      <c r="A712" t="s">
        <v>1261</v>
      </c>
      <c r="B712" t="s">
        <v>1262</v>
      </c>
      <c r="C712">
        <v>167008</v>
      </c>
      <c r="D712">
        <v>167008</v>
      </c>
      <c r="E712">
        <v>40</v>
      </c>
      <c r="F712">
        <v>10</v>
      </c>
      <c r="G712">
        <v>50</v>
      </c>
      <c r="O712">
        <v>100</v>
      </c>
      <c r="S712">
        <f t="shared" si="167"/>
        <v>6.25</v>
      </c>
      <c r="T712">
        <f t="shared" si="168"/>
        <v>0</v>
      </c>
      <c r="U712">
        <f t="shared" si="166"/>
        <v>1</v>
      </c>
      <c r="V712">
        <f t="shared" si="169"/>
        <v>1</v>
      </c>
      <c r="W712">
        <f t="shared" si="170"/>
        <v>0</v>
      </c>
      <c r="X712">
        <f t="shared" si="179"/>
        <v>1</v>
      </c>
      <c r="Y712">
        <f t="shared" si="180"/>
        <v>0</v>
      </c>
      <c r="Z712">
        <f t="shared" si="171"/>
        <v>8</v>
      </c>
      <c r="AA712">
        <f t="shared" si="172"/>
        <v>2.5</v>
      </c>
      <c r="AB712">
        <f t="shared" si="173"/>
        <v>7.1428571428571432</v>
      </c>
      <c r="AC712">
        <f t="shared" si="174"/>
        <v>0</v>
      </c>
      <c r="AD712" s="1">
        <f t="shared" si="175"/>
        <v>0</v>
      </c>
      <c r="AE712">
        <f t="shared" si="176"/>
        <v>0</v>
      </c>
      <c r="AF712">
        <f t="shared" si="177"/>
        <v>0</v>
      </c>
      <c r="AG712">
        <f t="shared" si="178"/>
        <v>0</v>
      </c>
    </row>
    <row r="713" spans="1:33" x14ac:dyDescent="0.25">
      <c r="A713" t="s">
        <v>1263</v>
      </c>
      <c r="B713" t="s">
        <v>1264</v>
      </c>
      <c r="C713">
        <v>161913</v>
      </c>
      <c r="D713">
        <v>161913</v>
      </c>
      <c r="H713">
        <v>10</v>
      </c>
      <c r="I713">
        <v>10</v>
      </c>
      <c r="J713">
        <v>20</v>
      </c>
      <c r="K713">
        <v>10</v>
      </c>
      <c r="L713">
        <v>0</v>
      </c>
      <c r="M713">
        <v>50</v>
      </c>
      <c r="S713">
        <f t="shared" si="167"/>
        <v>0</v>
      </c>
      <c r="T713">
        <f t="shared" si="168"/>
        <v>4.166666666666667</v>
      </c>
      <c r="U713">
        <f t="shared" si="166"/>
        <v>1</v>
      </c>
      <c r="V713">
        <f t="shared" si="169"/>
        <v>0</v>
      </c>
      <c r="W713">
        <f t="shared" si="170"/>
        <v>1</v>
      </c>
      <c r="X713">
        <f t="shared" si="179"/>
        <v>0</v>
      </c>
      <c r="Y713">
        <f t="shared" si="180"/>
        <v>0</v>
      </c>
      <c r="Z713">
        <f t="shared" si="171"/>
        <v>0</v>
      </c>
      <c r="AA713">
        <f t="shared" si="172"/>
        <v>0</v>
      </c>
      <c r="AB713">
        <f t="shared" si="173"/>
        <v>0</v>
      </c>
      <c r="AC713">
        <f t="shared" si="174"/>
        <v>5</v>
      </c>
      <c r="AD713" s="1">
        <f t="shared" si="175"/>
        <v>1.6666666666666667</v>
      </c>
      <c r="AE713">
        <f t="shared" si="176"/>
        <v>10</v>
      </c>
      <c r="AF713">
        <f t="shared" si="177"/>
        <v>10</v>
      </c>
      <c r="AG713">
        <f t="shared" si="178"/>
        <v>0</v>
      </c>
    </row>
    <row r="714" spans="1:33" x14ac:dyDescent="0.25">
      <c r="A714" t="s">
        <v>1265</v>
      </c>
      <c r="B714" t="s">
        <v>1266</v>
      </c>
      <c r="C714">
        <v>168869</v>
      </c>
      <c r="D714">
        <v>168869</v>
      </c>
      <c r="H714">
        <v>20</v>
      </c>
      <c r="I714">
        <v>40</v>
      </c>
      <c r="J714">
        <v>10</v>
      </c>
      <c r="K714">
        <v>10</v>
      </c>
      <c r="L714">
        <v>10</v>
      </c>
      <c r="M714">
        <v>90</v>
      </c>
      <c r="S714">
        <f t="shared" si="167"/>
        <v>0</v>
      </c>
      <c r="T714">
        <f t="shared" si="168"/>
        <v>7.5</v>
      </c>
      <c r="U714">
        <f t="shared" si="166"/>
        <v>1</v>
      </c>
      <c r="V714">
        <f t="shared" si="169"/>
        <v>0</v>
      </c>
      <c r="W714">
        <f t="shared" si="170"/>
        <v>1</v>
      </c>
      <c r="X714">
        <f t="shared" si="179"/>
        <v>0</v>
      </c>
      <c r="Y714">
        <f t="shared" si="180"/>
        <v>1</v>
      </c>
      <c r="Z714">
        <f t="shared" si="171"/>
        <v>0</v>
      </c>
      <c r="AA714">
        <f t="shared" si="172"/>
        <v>0</v>
      </c>
      <c r="AB714">
        <f t="shared" si="173"/>
        <v>0</v>
      </c>
      <c r="AC714">
        <f t="shared" si="174"/>
        <v>10</v>
      </c>
      <c r="AD714" s="1">
        <f t="shared" si="175"/>
        <v>6.666666666666667</v>
      </c>
      <c r="AE714">
        <f t="shared" si="176"/>
        <v>5</v>
      </c>
      <c r="AF714">
        <f t="shared" si="177"/>
        <v>10</v>
      </c>
      <c r="AG714">
        <f t="shared" si="178"/>
        <v>10</v>
      </c>
    </row>
    <row r="715" spans="1:33" x14ac:dyDescent="0.25">
      <c r="A715" t="s">
        <v>1267</v>
      </c>
      <c r="B715" t="s">
        <v>1268</v>
      </c>
      <c r="C715">
        <v>163404</v>
      </c>
      <c r="D715">
        <v>163404</v>
      </c>
      <c r="E715">
        <v>40</v>
      </c>
      <c r="F715">
        <v>30</v>
      </c>
      <c r="G715">
        <v>30</v>
      </c>
      <c r="O715">
        <v>100</v>
      </c>
      <c r="S715">
        <f t="shared" si="167"/>
        <v>6.25</v>
      </c>
      <c r="T715">
        <f t="shared" si="168"/>
        <v>0</v>
      </c>
      <c r="U715">
        <f t="shared" si="166"/>
        <v>1</v>
      </c>
      <c r="V715">
        <f t="shared" si="169"/>
        <v>1</v>
      </c>
      <c r="W715">
        <f t="shared" si="170"/>
        <v>0</v>
      </c>
      <c r="X715">
        <f t="shared" si="179"/>
        <v>1</v>
      </c>
      <c r="Y715">
        <f t="shared" si="180"/>
        <v>0</v>
      </c>
      <c r="Z715">
        <f t="shared" si="171"/>
        <v>8</v>
      </c>
      <c r="AA715">
        <f t="shared" si="172"/>
        <v>7.5</v>
      </c>
      <c r="AB715">
        <f t="shared" si="173"/>
        <v>4.2857142857142856</v>
      </c>
      <c r="AC715">
        <f t="shared" si="174"/>
        <v>0</v>
      </c>
      <c r="AD715" s="1">
        <f t="shared" si="175"/>
        <v>0</v>
      </c>
      <c r="AE715">
        <f t="shared" si="176"/>
        <v>0</v>
      </c>
      <c r="AF715">
        <f t="shared" si="177"/>
        <v>0</v>
      </c>
      <c r="AG715">
        <f t="shared" si="178"/>
        <v>0</v>
      </c>
    </row>
    <row r="716" spans="1:33" x14ac:dyDescent="0.25">
      <c r="A716" t="s">
        <v>1269</v>
      </c>
      <c r="B716" t="s">
        <v>1270</v>
      </c>
      <c r="C716">
        <v>165376</v>
      </c>
      <c r="D716">
        <v>165376</v>
      </c>
      <c r="E716">
        <v>0</v>
      </c>
      <c r="F716">
        <v>20</v>
      </c>
      <c r="G716">
        <v>20</v>
      </c>
      <c r="O716">
        <v>40</v>
      </c>
      <c r="S716">
        <f t="shared" si="167"/>
        <v>2.5</v>
      </c>
      <c r="T716">
        <f t="shared" si="168"/>
        <v>0</v>
      </c>
      <c r="U716">
        <f t="shared" si="166"/>
        <v>1</v>
      </c>
      <c r="V716">
        <f t="shared" si="169"/>
        <v>1</v>
      </c>
      <c r="W716">
        <f t="shared" si="170"/>
        <v>0</v>
      </c>
      <c r="X716">
        <f t="shared" si="179"/>
        <v>0</v>
      </c>
      <c r="Y716">
        <f t="shared" si="180"/>
        <v>0</v>
      </c>
      <c r="Z716">
        <f t="shared" si="171"/>
        <v>0</v>
      </c>
      <c r="AA716">
        <f t="shared" si="172"/>
        <v>5</v>
      </c>
      <c r="AB716">
        <f t="shared" si="173"/>
        <v>2.8571428571428572</v>
      </c>
      <c r="AC716">
        <f t="shared" si="174"/>
        <v>0</v>
      </c>
      <c r="AD716" s="1">
        <f t="shared" si="175"/>
        <v>0</v>
      </c>
      <c r="AE716">
        <f t="shared" si="176"/>
        <v>0</v>
      </c>
      <c r="AF716">
        <f t="shared" si="177"/>
        <v>0</v>
      </c>
      <c r="AG716">
        <f t="shared" si="178"/>
        <v>0</v>
      </c>
    </row>
    <row r="717" spans="1:33" x14ac:dyDescent="0.25">
      <c r="A717" t="s">
        <v>1271</v>
      </c>
      <c r="B717" t="s">
        <v>1272</v>
      </c>
      <c r="C717">
        <v>166953</v>
      </c>
      <c r="D717">
        <v>166953</v>
      </c>
      <c r="E717">
        <v>0</v>
      </c>
      <c r="F717">
        <v>20</v>
      </c>
      <c r="G717">
        <v>30</v>
      </c>
      <c r="O717">
        <v>50</v>
      </c>
      <c r="S717">
        <f t="shared" si="167"/>
        <v>3.125</v>
      </c>
      <c r="T717">
        <f t="shared" si="168"/>
        <v>0</v>
      </c>
      <c r="U717">
        <f t="shared" si="166"/>
        <v>1</v>
      </c>
      <c r="V717">
        <f t="shared" si="169"/>
        <v>1</v>
      </c>
      <c r="W717">
        <f t="shared" si="170"/>
        <v>0</v>
      </c>
      <c r="X717">
        <f t="shared" si="179"/>
        <v>0</v>
      </c>
      <c r="Y717">
        <f t="shared" si="180"/>
        <v>0</v>
      </c>
      <c r="Z717">
        <f t="shared" si="171"/>
        <v>0</v>
      </c>
      <c r="AA717">
        <f t="shared" si="172"/>
        <v>5</v>
      </c>
      <c r="AB717">
        <f t="shared" si="173"/>
        <v>4.2857142857142856</v>
      </c>
      <c r="AC717">
        <f t="shared" si="174"/>
        <v>0</v>
      </c>
      <c r="AD717" s="1">
        <f t="shared" si="175"/>
        <v>0</v>
      </c>
      <c r="AE717">
        <f t="shared" si="176"/>
        <v>0</v>
      </c>
      <c r="AF717">
        <f t="shared" si="177"/>
        <v>0</v>
      </c>
      <c r="AG717">
        <f t="shared" si="178"/>
        <v>0</v>
      </c>
    </row>
    <row r="718" spans="1:33" x14ac:dyDescent="0.25">
      <c r="A718" t="s">
        <v>1273</v>
      </c>
      <c r="B718" t="s">
        <v>1274</v>
      </c>
      <c r="C718">
        <v>166373</v>
      </c>
      <c r="D718">
        <v>166373</v>
      </c>
      <c r="E718">
        <v>50</v>
      </c>
      <c r="F718">
        <v>30</v>
      </c>
      <c r="G718">
        <v>30</v>
      </c>
      <c r="O718">
        <v>110</v>
      </c>
      <c r="S718">
        <f t="shared" si="167"/>
        <v>6.875</v>
      </c>
      <c r="T718">
        <f t="shared" si="168"/>
        <v>0</v>
      </c>
      <c r="U718">
        <f t="shared" si="166"/>
        <v>1</v>
      </c>
      <c r="V718">
        <f t="shared" si="169"/>
        <v>1</v>
      </c>
      <c r="W718">
        <f t="shared" si="170"/>
        <v>0</v>
      </c>
      <c r="X718">
        <f t="shared" si="179"/>
        <v>1</v>
      </c>
      <c r="Y718">
        <f t="shared" si="180"/>
        <v>0</v>
      </c>
      <c r="Z718">
        <f t="shared" si="171"/>
        <v>10</v>
      </c>
      <c r="AA718">
        <f t="shared" si="172"/>
        <v>7.5</v>
      </c>
      <c r="AB718">
        <f t="shared" si="173"/>
        <v>4.2857142857142856</v>
      </c>
      <c r="AC718">
        <f t="shared" si="174"/>
        <v>0</v>
      </c>
      <c r="AD718" s="1">
        <f t="shared" si="175"/>
        <v>0</v>
      </c>
      <c r="AE718">
        <f t="shared" si="176"/>
        <v>0</v>
      </c>
      <c r="AF718">
        <f t="shared" si="177"/>
        <v>0</v>
      </c>
      <c r="AG718">
        <f t="shared" si="178"/>
        <v>0</v>
      </c>
    </row>
    <row r="719" spans="1:33" x14ac:dyDescent="0.25">
      <c r="A719" t="s">
        <v>1275</v>
      </c>
      <c r="B719" t="s">
        <v>489</v>
      </c>
      <c r="C719">
        <v>167231</v>
      </c>
      <c r="D719">
        <v>167231</v>
      </c>
      <c r="H719">
        <v>20</v>
      </c>
      <c r="I719">
        <v>40</v>
      </c>
      <c r="J719">
        <v>20</v>
      </c>
      <c r="K719">
        <v>10</v>
      </c>
      <c r="L719">
        <v>0</v>
      </c>
      <c r="M719">
        <v>90</v>
      </c>
      <c r="S719">
        <f t="shared" si="167"/>
        <v>0</v>
      </c>
      <c r="T719">
        <f t="shared" si="168"/>
        <v>7.5</v>
      </c>
      <c r="U719">
        <f t="shared" si="166"/>
        <v>1</v>
      </c>
      <c r="V719">
        <f t="shared" si="169"/>
        <v>0</v>
      </c>
      <c r="W719">
        <f t="shared" si="170"/>
        <v>1</v>
      </c>
      <c r="X719">
        <f t="shared" si="179"/>
        <v>0</v>
      </c>
      <c r="Y719">
        <f t="shared" si="180"/>
        <v>1</v>
      </c>
      <c r="Z719">
        <f t="shared" si="171"/>
        <v>0</v>
      </c>
      <c r="AA719">
        <f t="shared" si="172"/>
        <v>0</v>
      </c>
      <c r="AB719">
        <f t="shared" si="173"/>
        <v>0</v>
      </c>
      <c r="AC719">
        <f t="shared" si="174"/>
        <v>10</v>
      </c>
      <c r="AD719" s="1">
        <f t="shared" si="175"/>
        <v>6.666666666666667</v>
      </c>
      <c r="AE719">
        <f t="shared" si="176"/>
        <v>10</v>
      </c>
      <c r="AF719">
        <f t="shared" si="177"/>
        <v>10</v>
      </c>
      <c r="AG719">
        <f t="shared" si="178"/>
        <v>0</v>
      </c>
    </row>
    <row r="720" spans="1:33" x14ac:dyDescent="0.25">
      <c r="A720" t="s">
        <v>1276</v>
      </c>
      <c r="B720" t="s">
        <v>870</v>
      </c>
      <c r="C720">
        <v>165998</v>
      </c>
      <c r="D720">
        <v>165998</v>
      </c>
      <c r="H720">
        <v>0</v>
      </c>
      <c r="I720">
        <v>30</v>
      </c>
      <c r="J720">
        <v>10</v>
      </c>
      <c r="K720">
        <v>10</v>
      </c>
      <c r="L720">
        <v>10</v>
      </c>
      <c r="M720">
        <v>60</v>
      </c>
      <c r="S720">
        <f t="shared" si="167"/>
        <v>0</v>
      </c>
      <c r="T720">
        <f t="shared" si="168"/>
        <v>5</v>
      </c>
      <c r="U720">
        <f t="shared" si="166"/>
        <v>1</v>
      </c>
      <c r="V720">
        <f t="shared" si="169"/>
        <v>0</v>
      </c>
      <c r="W720">
        <f t="shared" si="170"/>
        <v>1</v>
      </c>
      <c r="X720">
        <f t="shared" si="179"/>
        <v>0</v>
      </c>
      <c r="Y720">
        <f t="shared" si="180"/>
        <v>0</v>
      </c>
      <c r="Z720">
        <f t="shared" si="171"/>
        <v>0</v>
      </c>
      <c r="AA720">
        <f t="shared" si="172"/>
        <v>0</v>
      </c>
      <c r="AB720">
        <f t="shared" si="173"/>
        <v>0</v>
      </c>
      <c r="AC720">
        <f t="shared" si="174"/>
        <v>0</v>
      </c>
      <c r="AD720" s="1">
        <f t="shared" si="175"/>
        <v>5</v>
      </c>
      <c r="AE720">
        <f t="shared" si="176"/>
        <v>5</v>
      </c>
      <c r="AF720">
        <f t="shared" si="177"/>
        <v>10</v>
      </c>
      <c r="AG720">
        <f t="shared" si="178"/>
        <v>10</v>
      </c>
    </row>
    <row r="721" spans="1:33" x14ac:dyDescent="0.25">
      <c r="A721" t="s">
        <v>1277</v>
      </c>
      <c r="B721" t="s">
        <v>1278</v>
      </c>
      <c r="C721">
        <v>167157</v>
      </c>
      <c r="D721">
        <v>167157</v>
      </c>
      <c r="H721">
        <v>0</v>
      </c>
      <c r="I721">
        <v>40</v>
      </c>
      <c r="J721">
        <v>0</v>
      </c>
      <c r="K721">
        <v>10</v>
      </c>
      <c r="L721">
        <v>10</v>
      </c>
      <c r="M721">
        <v>60</v>
      </c>
      <c r="S721">
        <f t="shared" si="167"/>
        <v>0</v>
      </c>
      <c r="T721">
        <f t="shared" si="168"/>
        <v>5</v>
      </c>
      <c r="U721">
        <f t="shared" si="166"/>
        <v>1</v>
      </c>
      <c r="V721">
        <f t="shared" si="169"/>
        <v>0</v>
      </c>
      <c r="W721">
        <f t="shared" si="170"/>
        <v>1</v>
      </c>
      <c r="X721">
        <f t="shared" si="179"/>
        <v>0</v>
      </c>
      <c r="Y721">
        <f t="shared" si="180"/>
        <v>0</v>
      </c>
      <c r="Z721">
        <f t="shared" si="171"/>
        <v>0</v>
      </c>
      <c r="AA721">
        <f t="shared" si="172"/>
        <v>0</v>
      </c>
      <c r="AB721">
        <f t="shared" si="173"/>
        <v>0</v>
      </c>
      <c r="AC721">
        <f t="shared" si="174"/>
        <v>0</v>
      </c>
      <c r="AD721" s="1">
        <f t="shared" si="175"/>
        <v>6.666666666666667</v>
      </c>
      <c r="AE721">
        <f t="shared" si="176"/>
        <v>0</v>
      </c>
      <c r="AF721">
        <f t="shared" si="177"/>
        <v>10</v>
      </c>
      <c r="AG721">
        <f t="shared" si="178"/>
        <v>10</v>
      </c>
    </row>
    <row r="722" spans="1:33" x14ac:dyDescent="0.25">
      <c r="A722" t="s">
        <v>1279</v>
      </c>
      <c r="B722" t="s">
        <v>1280</v>
      </c>
      <c r="C722">
        <v>166350</v>
      </c>
      <c r="D722">
        <v>166350</v>
      </c>
      <c r="E722">
        <v>20</v>
      </c>
      <c r="F722">
        <v>20</v>
      </c>
      <c r="G722">
        <v>30</v>
      </c>
      <c r="O722">
        <v>70</v>
      </c>
      <c r="S722">
        <f t="shared" si="167"/>
        <v>4.375</v>
      </c>
      <c r="T722">
        <f t="shared" si="168"/>
        <v>0</v>
      </c>
      <c r="U722">
        <f t="shared" si="166"/>
        <v>1</v>
      </c>
      <c r="V722">
        <f t="shared" si="169"/>
        <v>1</v>
      </c>
      <c r="W722">
        <f t="shared" si="170"/>
        <v>0</v>
      </c>
      <c r="X722">
        <f t="shared" si="179"/>
        <v>0</v>
      </c>
      <c r="Y722">
        <f t="shared" si="180"/>
        <v>0</v>
      </c>
      <c r="Z722">
        <f t="shared" si="171"/>
        <v>4</v>
      </c>
      <c r="AA722">
        <f t="shared" si="172"/>
        <v>5</v>
      </c>
      <c r="AB722">
        <f t="shared" si="173"/>
        <v>4.2857142857142856</v>
      </c>
      <c r="AC722">
        <f t="shared" si="174"/>
        <v>0</v>
      </c>
      <c r="AD722" s="1">
        <f t="shared" si="175"/>
        <v>0</v>
      </c>
      <c r="AE722">
        <f t="shared" si="176"/>
        <v>0</v>
      </c>
      <c r="AF722">
        <f t="shared" si="177"/>
        <v>0</v>
      </c>
      <c r="AG722">
        <f t="shared" si="178"/>
        <v>0</v>
      </c>
    </row>
    <row r="723" spans="1:33" x14ac:dyDescent="0.25">
      <c r="A723" t="s">
        <v>1281</v>
      </c>
      <c r="B723" t="s">
        <v>1059</v>
      </c>
      <c r="C723">
        <v>167623</v>
      </c>
      <c r="D723">
        <v>167623</v>
      </c>
      <c r="S723">
        <f t="shared" si="167"/>
        <v>0</v>
      </c>
      <c r="T723">
        <f t="shared" si="168"/>
        <v>0</v>
      </c>
      <c r="U723">
        <f t="shared" si="166"/>
        <v>0</v>
      </c>
      <c r="V723">
        <f t="shared" si="169"/>
        <v>0</v>
      </c>
      <c r="W723">
        <f t="shared" si="170"/>
        <v>0</v>
      </c>
      <c r="X723">
        <f t="shared" si="179"/>
        <v>0</v>
      </c>
      <c r="Y723">
        <f t="shared" si="180"/>
        <v>0</v>
      </c>
      <c r="Z723">
        <f t="shared" si="171"/>
        <v>0</v>
      </c>
      <c r="AA723">
        <f t="shared" si="172"/>
        <v>0</v>
      </c>
      <c r="AB723">
        <f t="shared" si="173"/>
        <v>0</v>
      </c>
      <c r="AC723">
        <f t="shared" si="174"/>
        <v>0</v>
      </c>
      <c r="AD723" s="1">
        <f t="shared" si="175"/>
        <v>0</v>
      </c>
      <c r="AE723">
        <f t="shared" si="176"/>
        <v>0</v>
      </c>
      <c r="AF723">
        <f t="shared" si="177"/>
        <v>0</v>
      </c>
      <c r="AG723">
        <f t="shared" si="178"/>
        <v>0</v>
      </c>
    </row>
    <row r="724" spans="1:33" x14ac:dyDescent="0.25">
      <c r="A724" t="s">
        <v>1282</v>
      </c>
      <c r="B724" t="s">
        <v>1283</v>
      </c>
      <c r="C724">
        <v>166371</v>
      </c>
      <c r="D724">
        <v>166371</v>
      </c>
      <c r="H724">
        <v>10</v>
      </c>
      <c r="I724">
        <v>20</v>
      </c>
      <c r="J724">
        <v>10</v>
      </c>
      <c r="K724">
        <v>10</v>
      </c>
      <c r="L724">
        <v>0</v>
      </c>
      <c r="M724">
        <v>50</v>
      </c>
      <c r="S724">
        <f t="shared" si="167"/>
        <v>0</v>
      </c>
      <c r="T724">
        <f t="shared" si="168"/>
        <v>4.166666666666667</v>
      </c>
      <c r="U724">
        <f t="shared" si="166"/>
        <v>1</v>
      </c>
      <c r="V724">
        <f t="shared" si="169"/>
        <v>0</v>
      </c>
      <c r="W724">
        <f t="shared" si="170"/>
        <v>1</v>
      </c>
      <c r="X724">
        <f t="shared" si="179"/>
        <v>0</v>
      </c>
      <c r="Y724">
        <f t="shared" si="180"/>
        <v>0</v>
      </c>
      <c r="Z724">
        <f t="shared" si="171"/>
        <v>0</v>
      </c>
      <c r="AA724">
        <f t="shared" si="172"/>
        <v>0</v>
      </c>
      <c r="AB724">
        <f t="shared" si="173"/>
        <v>0</v>
      </c>
      <c r="AC724">
        <f t="shared" si="174"/>
        <v>5</v>
      </c>
      <c r="AD724" s="1">
        <f t="shared" si="175"/>
        <v>3.3333333333333335</v>
      </c>
      <c r="AE724">
        <f t="shared" si="176"/>
        <v>5</v>
      </c>
      <c r="AF724">
        <f t="shared" si="177"/>
        <v>10</v>
      </c>
      <c r="AG724">
        <f t="shared" si="178"/>
        <v>0</v>
      </c>
    </row>
    <row r="725" spans="1:33" x14ac:dyDescent="0.25">
      <c r="A725" t="s">
        <v>1284</v>
      </c>
      <c r="B725" t="s">
        <v>1285</v>
      </c>
      <c r="C725">
        <v>166079</v>
      </c>
      <c r="D725">
        <v>166079</v>
      </c>
      <c r="E725">
        <v>10</v>
      </c>
      <c r="F725">
        <v>20</v>
      </c>
      <c r="G725">
        <v>50</v>
      </c>
      <c r="O725">
        <v>80</v>
      </c>
      <c r="S725">
        <f t="shared" si="167"/>
        <v>5</v>
      </c>
      <c r="T725">
        <f t="shared" si="168"/>
        <v>0</v>
      </c>
      <c r="U725">
        <f t="shared" si="166"/>
        <v>1</v>
      </c>
      <c r="V725">
        <f t="shared" si="169"/>
        <v>1</v>
      </c>
      <c r="W725">
        <f t="shared" si="170"/>
        <v>0</v>
      </c>
      <c r="X725">
        <f t="shared" si="179"/>
        <v>0</v>
      </c>
      <c r="Y725">
        <f t="shared" si="180"/>
        <v>0</v>
      </c>
      <c r="Z725">
        <f t="shared" si="171"/>
        <v>2</v>
      </c>
      <c r="AA725">
        <f t="shared" si="172"/>
        <v>5</v>
      </c>
      <c r="AB725">
        <f t="shared" si="173"/>
        <v>7.1428571428571432</v>
      </c>
      <c r="AC725">
        <f t="shared" si="174"/>
        <v>0</v>
      </c>
      <c r="AD725" s="1">
        <f t="shared" si="175"/>
        <v>0</v>
      </c>
      <c r="AE725">
        <f t="shared" si="176"/>
        <v>0</v>
      </c>
      <c r="AF725">
        <f t="shared" si="177"/>
        <v>0</v>
      </c>
      <c r="AG725">
        <f t="shared" si="178"/>
        <v>0</v>
      </c>
    </row>
    <row r="726" spans="1:33" x14ac:dyDescent="0.25">
      <c r="A726" t="s">
        <v>1286</v>
      </c>
      <c r="B726" t="s">
        <v>1287</v>
      </c>
      <c r="C726">
        <v>167101</v>
      </c>
      <c r="D726">
        <v>167101</v>
      </c>
      <c r="E726">
        <v>20</v>
      </c>
      <c r="F726">
        <v>10</v>
      </c>
      <c r="G726">
        <v>20</v>
      </c>
      <c r="O726">
        <v>50</v>
      </c>
      <c r="S726">
        <f t="shared" si="167"/>
        <v>3.125</v>
      </c>
      <c r="T726">
        <f t="shared" si="168"/>
        <v>0</v>
      </c>
      <c r="U726">
        <f t="shared" si="166"/>
        <v>1</v>
      </c>
      <c r="V726">
        <f t="shared" si="169"/>
        <v>1</v>
      </c>
      <c r="W726">
        <f t="shared" si="170"/>
        <v>0</v>
      </c>
      <c r="X726">
        <f t="shared" si="179"/>
        <v>0</v>
      </c>
      <c r="Y726">
        <f t="shared" si="180"/>
        <v>0</v>
      </c>
      <c r="Z726">
        <f t="shared" si="171"/>
        <v>4</v>
      </c>
      <c r="AA726">
        <f t="shared" si="172"/>
        <v>2.5</v>
      </c>
      <c r="AB726">
        <f t="shared" si="173"/>
        <v>2.8571428571428572</v>
      </c>
      <c r="AC726">
        <f t="shared" si="174"/>
        <v>0</v>
      </c>
      <c r="AD726" s="1">
        <f t="shared" si="175"/>
        <v>0</v>
      </c>
      <c r="AE726">
        <f t="shared" si="176"/>
        <v>0</v>
      </c>
      <c r="AF726">
        <f t="shared" si="177"/>
        <v>0</v>
      </c>
      <c r="AG726">
        <f t="shared" si="178"/>
        <v>0</v>
      </c>
    </row>
    <row r="727" spans="1:33" x14ac:dyDescent="0.25">
      <c r="A727" t="s">
        <v>1288</v>
      </c>
      <c r="B727" t="s">
        <v>1289</v>
      </c>
      <c r="C727">
        <v>162680</v>
      </c>
      <c r="D727">
        <v>162680</v>
      </c>
      <c r="E727">
        <v>20</v>
      </c>
      <c r="F727">
        <v>20</v>
      </c>
      <c r="O727">
        <v>40</v>
      </c>
      <c r="S727">
        <f t="shared" si="167"/>
        <v>2.5</v>
      </c>
      <c r="T727">
        <f t="shared" si="168"/>
        <v>0</v>
      </c>
      <c r="U727">
        <f t="shared" si="166"/>
        <v>1</v>
      </c>
      <c r="V727">
        <f t="shared" si="169"/>
        <v>1</v>
      </c>
      <c r="W727">
        <f t="shared" si="170"/>
        <v>0</v>
      </c>
      <c r="X727">
        <f t="shared" si="179"/>
        <v>0</v>
      </c>
      <c r="Y727">
        <f t="shared" si="180"/>
        <v>0</v>
      </c>
      <c r="Z727">
        <f t="shared" si="171"/>
        <v>4</v>
      </c>
      <c r="AA727">
        <f t="shared" si="172"/>
        <v>5</v>
      </c>
      <c r="AB727">
        <f t="shared" si="173"/>
        <v>0</v>
      </c>
      <c r="AC727">
        <f t="shared" si="174"/>
        <v>0</v>
      </c>
      <c r="AD727" s="1">
        <f t="shared" si="175"/>
        <v>0</v>
      </c>
      <c r="AE727">
        <f t="shared" si="176"/>
        <v>0</v>
      </c>
      <c r="AF727">
        <f t="shared" si="177"/>
        <v>0</v>
      </c>
      <c r="AG727">
        <f t="shared" si="178"/>
        <v>0</v>
      </c>
    </row>
    <row r="728" spans="1:33" x14ac:dyDescent="0.25">
      <c r="A728" t="s">
        <v>1290</v>
      </c>
      <c r="B728" t="s">
        <v>1291</v>
      </c>
      <c r="C728">
        <v>165951</v>
      </c>
      <c r="D728">
        <v>165951</v>
      </c>
      <c r="H728">
        <v>10</v>
      </c>
      <c r="I728">
        <v>0</v>
      </c>
      <c r="J728">
        <v>20</v>
      </c>
      <c r="K728">
        <v>10</v>
      </c>
      <c r="L728">
        <v>10</v>
      </c>
      <c r="M728">
        <v>50</v>
      </c>
      <c r="S728">
        <f t="shared" si="167"/>
        <v>0</v>
      </c>
      <c r="T728">
        <f t="shared" si="168"/>
        <v>4.166666666666667</v>
      </c>
      <c r="U728">
        <f t="shared" si="166"/>
        <v>1</v>
      </c>
      <c r="V728">
        <f t="shared" si="169"/>
        <v>0</v>
      </c>
      <c r="W728">
        <f t="shared" si="170"/>
        <v>1</v>
      </c>
      <c r="X728">
        <f t="shared" si="179"/>
        <v>0</v>
      </c>
      <c r="Y728">
        <f t="shared" si="180"/>
        <v>0</v>
      </c>
      <c r="Z728">
        <f t="shared" si="171"/>
        <v>0</v>
      </c>
      <c r="AA728">
        <f t="shared" si="172"/>
        <v>0</v>
      </c>
      <c r="AB728">
        <f t="shared" si="173"/>
        <v>0</v>
      </c>
      <c r="AC728">
        <f t="shared" si="174"/>
        <v>5</v>
      </c>
      <c r="AD728" s="1">
        <f t="shared" si="175"/>
        <v>0</v>
      </c>
      <c r="AE728">
        <f t="shared" si="176"/>
        <v>10</v>
      </c>
      <c r="AF728">
        <f t="shared" si="177"/>
        <v>10</v>
      </c>
      <c r="AG728">
        <f t="shared" si="178"/>
        <v>10</v>
      </c>
    </row>
    <row r="729" spans="1:33" x14ac:dyDescent="0.25">
      <c r="A729" t="s">
        <v>1292</v>
      </c>
      <c r="B729" t="s">
        <v>302</v>
      </c>
      <c r="C729">
        <v>167238</v>
      </c>
      <c r="D729">
        <v>167238</v>
      </c>
      <c r="E729">
        <v>50</v>
      </c>
      <c r="F729">
        <v>30</v>
      </c>
      <c r="G729">
        <v>50</v>
      </c>
      <c r="O729">
        <v>130</v>
      </c>
      <c r="S729">
        <f t="shared" si="167"/>
        <v>8.125</v>
      </c>
      <c r="T729">
        <f t="shared" si="168"/>
        <v>0</v>
      </c>
      <c r="U729">
        <f t="shared" si="166"/>
        <v>1</v>
      </c>
      <c r="V729">
        <f t="shared" si="169"/>
        <v>1</v>
      </c>
      <c r="W729">
        <f t="shared" si="170"/>
        <v>0</v>
      </c>
      <c r="X729">
        <f t="shared" si="179"/>
        <v>1</v>
      </c>
      <c r="Y729">
        <f t="shared" si="180"/>
        <v>0</v>
      </c>
      <c r="Z729">
        <f t="shared" si="171"/>
        <v>10</v>
      </c>
      <c r="AA729">
        <f t="shared" si="172"/>
        <v>7.5</v>
      </c>
      <c r="AB729">
        <f t="shared" si="173"/>
        <v>7.1428571428571432</v>
      </c>
      <c r="AC729">
        <f t="shared" si="174"/>
        <v>0</v>
      </c>
      <c r="AD729" s="1">
        <f t="shared" si="175"/>
        <v>0</v>
      </c>
      <c r="AE729">
        <f t="shared" si="176"/>
        <v>0</v>
      </c>
      <c r="AF729">
        <f t="shared" si="177"/>
        <v>0</v>
      </c>
      <c r="AG729">
        <f t="shared" si="178"/>
        <v>0</v>
      </c>
    </row>
    <row r="730" spans="1:33" x14ac:dyDescent="0.25">
      <c r="A730" t="s">
        <v>1293</v>
      </c>
      <c r="B730" t="s">
        <v>1294</v>
      </c>
      <c r="C730">
        <v>168518</v>
      </c>
      <c r="D730">
        <v>168518</v>
      </c>
      <c r="H730">
        <v>10</v>
      </c>
      <c r="I730">
        <v>30</v>
      </c>
      <c r="J730">
        <v>20</v>
      </c>
      <c r="K730">
        <v>0</v>
      </c>
      <c r="L730">
        <v>0</v>
      </c>
      <c r="M730">
        <v>60</v>
      </c>
      <c r="S730">
        <f t="shared" si="167"/>
        <v>0</v>
      </c>
      <c r="T730">
        <f t="shared" si="168"/>
        <v>5</v>
      </c>
      <c r="U730">
        <f t="shared" si="166"/>
        <v>1</v>
      </c>
      <c r="V730">
        <f t="shared" si="169"/>
        <v>0</v>
      </c>
      <c r="W730">
        <f t="shared" si="170"/>
        <v>1</v>
      </c>
      <c r="X730">
        <f t="shared" si="179"/>
        <v>0</v>
      </c>
      <c r="Y730">
        <f t="shared" si="180"/>
        <v>0</v>
      </c>
      <c r="Z730">
        <f t="shared" si="171"/>
        <v>0</v>
      </c>
      <c r="AA730">
        <f t="shared" si="172"/>
        <v>0</v>
      </c>
      <c r="AB730">
        <f t="shared" si="173"/>
        <v>0</v>
      </c>
      <c r="AC730">
        <f t="shared" si="174"/>
        <v>5</v>
      </c>
      <c r="AD730" s="1">
        <f t="shared" si="175"/>
        <v>5</v>
      </c>
      <c r="AE730">
        <f t="shared" si="176"/>
        <v>10</v>
      </c>
      <c r="AF730">
        <f t="shared" si="177"/>
        <v>0</v>
      </c>
      <c r="AG730">
        <f t="shared" si="178"/>
        <v>0</v>
      </c>
    </row>
    <row r="731" spans="1:33" x14ac:dyDescent="0.25">
      <c r="A731" t="s">
        <v>1295</v>
      </c>
      <c r="B731" t="s">
        <v>1296</v>
      </c>
      <c r="C731">
        <v>165854</v>
      </c>
      <c r="D731">
        <v>165854</v>
      </c>
      <c r="H731">
        <v>10</v>
      </c>
      <c r="I731">
        <v>40</v>
      </c>
      <c r="J731">
        <v>20</v>
      </c>
      <c r="K731">
        <v>10</v>
      </c>
      <c r="L731">
        <v>10</v>
      </c>
      <c r="M731">
        <v>90</v>
      </c>
      <c r="S731">
        <f t="shared" si="167"/>
        <v>0</v>
      </c>
      <c r="T731">
        <f t="shared" si="168"/>
        <v>7.5</v>
      </c>
      <c r="U731">
        <f t="shared" si="166"/>
        <v>1</v>
      </c>
      <c r="V731">
        <f t="shared" si="169"/>
        <v>0</v>
      </c>
      <c r="W731">
        <f t="shared" si="170"/>
        <v>1</v>
      </c>
      <c r="X731">
        <f t="shared" si="179"/>
        <v>0</v>
      </c>
      <c r="Y731">
        <f t="shared" si="180"/>
        <v>1</v>
      </c>
      <c r="Z731">
        <f t="shared" si="171"/>
        <v>0</v>
      </c>
      <c r="AA731">
        <f t="shared" si="172"/>
        <v>0</v>
      </c>
      <c r="AB731">
        <f t="shared" si="173"/>
        <v>0</v>
      </c>
      <c r="AC731">
        <f t="shared" si="174"/>
        <v>5</v>
      </c>
      <c r="AD731" s="1">
        <f t="shared" si="175"/>
        <v>6.666666666666667</v>
      </c>
      <c r="AE731">
        <f t="shared" si="176"/>
        <v>10</v>
      </c>
      <c r="AF731">
        <f t="shared" si="177"/>
        <v>10</v>
      </c>
      <c r="AG731">
        <f t="shared" si="178"/>
        <v>10</v>
      </c>
    </row>
    <row r="732" spans="1:33" x14ac:dyDescent="0.25">
      <c r="A732" t="s">
        <v>1297</v>
      </c>
      <c r="B732" t="s">
        <v>1298</v>
      </c>
      <c r="C732">
        <v>168252</v>
      </c>
      <c r="D732">
        <v>168252</v>
      </c>
      <c r="H732">
        <v>10</v>
      </c>
      <c r="I732">
        <v>50</v>
      </c>
      <c r="J732">
        <v>10</v>
      </c>
      <c r="K732">
        <v>0</v>
      </c>
      <c r="L732">
        <v>10</v>
      </c>
      <c r="M732">
        <v>80</v>
      </c>
      <c r="S732">
        <f t="shared" si="167"/>
        <v>0</v>
      </c>
      <c r="T732">
        <f t="shared" si="168"/>
        <v>6.666666666666667</v>
      </c>
      <c r="U732">
        <f t="shared" si="166"/>
        <v>1</v>
      </c>
      <c r="V732">
        <f t="shared" si="169"/>
        <v>0</v>
      </c>
      <c r="W732">
        <f t="shared" si="170"/>
        <v>1</v>
      </c>
      <c r="X732">
        <f t="shared" si="179"/>
        <v>0</v>
      </c>
      <c r="Y732">
        <f t="shared" si="180"/>
        <v>1</v>
      </c>
      <c r="Z732">
        <f t="shared" si="171"/>
        <v>0</v>
      </c>
      <c r="AA732">
        <f t="shared" si="172"/>
        <v>0</v>
      </c>
      <c r="AB732">
        <f t="shared" si="173"/>
        <v>0</v>
      </c>
      <c r="AC732">
        <f t="shared" si="174"/>
        <v>5</v>
      </c>
      <c r="AD732" s="1">
        <f t="shared" si="175"/>
        <v>8.3333333333333339</v>
      </c>
      <c r="AE732">
        <f t="shared" si="176"/>
        <v>5</v>
      </c>
      <c r="AF732">
        <f t="shared" si="177"/>
        <v>0</v>
      </c>
      <c r="AG732">
        <f t="shared" si="178"/>
        <v>10</v>
      </c>
    </row>
    <row r="733" spans="1:33" x14ac:dyDescent="0.25">
      <c r="A733" t="s">
        <v>1299</v>
      </c>
      <c r="B733" t="s">
        <v>1300</v>
      </c>
      <c r="C733">
        <v>163692</v>
      </c>
      <c r="D733">
        <v>163692</v>
      </c>
      <c r="E733">
        <v>10</v>
      </c>
      <c r="F733">
        <v>10</v>
      </c>
      <c r="G733">
        <v>30</v>
      </c>
      <c r="O733">
        <v>50</v>
      </c>
      <c r="S733">
        <f t="shared" si="167"/>
        <v>3.125</v>
      </c>
      <c r="T733">
        <f t="shared" si="168"/>
        <v>0</v>
      </c>
      <c r="U733">
        <f t="shared" si="166"/>
        <v>1</v>
      </c>
      <c r="V733">
        <f t="shared" si="169"/>
        <v>1</v>
      </c>
      <c r="W733">
        <f t="shared" si="170"/>
        <v>0</v>
      </c>
      <c r="X733">
        <f t="shared" si="179"/>
        <v>0</v>
      </c>
      <c r="Y733">
        <f t="shared" si="180"/>
        <v>0</v>
      </c>
      <c r="Z733">
        <f t="shared" si="171"/>
        <v>2</v>
      </c>
      <c r="AA733">
        <f t="shared" si="172"/>
        <v>2.5</v>
      </c>
      <c r="AB733">
        <f t="shared" si="173"/>
        <v>4.2857142857142856</v>
      </c>
      <c r="AC733">
        <f t="shared" si="174"/>
        <v>0</v>
      </c>
      <c r="AD733" s="1">
        <f t="shared" si="175"/>
        <v>0</v>
      </c>
      <c r="AE733">
        <f t="shared" si="176"/>
        <v>0</v>
      </c>
      <c r="AF733">
        <f t="shared" si="177"/>
        <v>0</v>
      </c>
      <c r="AG733">
        <f t="shared" si="178"/>
        <v>0</v>
      </c>
    </row>
    <row r="734" spans="1:33" x14ac:dyDescent="0.25">
      <c r="A734" t="s">
        <v>1301</v>
      </c>
      <c r="B734" t="s">
        <v>197</v>
      </c>
      <c r="C734">
        <v>164665</v>
      </c>
      <c r="D734">
        <v>164665</v>
      </c>
      <c r="S734">
        <f t="shared" si="167"/>
        <v>0</v>
      </c>
      <c r="T734">
        <f t="shared" si="168"/>
        <v>0</v>
      </c>
      <c r="U734">
        <f t="shared" si="166"/>
        <v>0</v>
      </c>
      <c r="V734">
        <f t="shared" si="169"/>
        <v>0</v>
      </c>
      <c r="W734">
        <f t="shared" si="170"/>
        <v>0</v>
      </c>
      <c r="X734">
        <f t="shared" si="179"/>
        <v>0</v>
      </c>
      <c r="Y734">
        <f t="shared" si="180"/>
        <v>0</v>
      </c>
      <c r="Z734">
        <f t="shared" si="171"/>
        <v>0</v>
      </c>
      <c r="AA734">
        <f t="shared" si="172"/>
        <v>0</v>
      </c>
      <c r="AB734">
        <f t="shared" si="173"/>
        <v>0</v>
      </c>
      <c r="AC734">
        <f t="shared" si="174"/>
        <v>0</v>
      </c>
      <c r="AD734" s="1">
        <f t="shared" si="175"/>
        <v>0</v>
      </c>
      <c r="AE734">
        <f t="shared" si="176"/>
        <v>0</v>
      </c>
      <c r="AF734">
        <f t="shared" si="177"/>
        <v>0</v>
      </c>
      <c r="AG734">
        <f t="shared" si="178"/>
        <v>0</v>
      </c>
    </row>
    <row r="735" spans="1:33" x14ac:dyDescent="0.25">
      <c r="A735" t="s">
        <v>1302</v>
      </c>
      <c r="B735" t="s">
        <v>467</v>
      </c>
      <c r="C735">
        <v>166799</v>
      </c>
      <c r="D735">
        <v>166799</v>
      </c>
      <c r="H735">
        <v>20</v>
      </c>
      <c r="I735">
        <v>50</v>
      </c>
      <c r="J735">
        <v>10</v>
      </c>
      <c r="K735">
        <v>0</v>
      </c>
      <c r="L735">
        <v>10</v>
      </c>
      <c r="M735">
        <v>90</v>
      </c>
      <c r="S735">
        <f t="shared" si="167"/>
        <v>0</v>
      </c>
      <c r="T735">
        <f t="shared" si="168"/>
        <v>7.5</v>
      </c>
      <c r="U735">
        <f t="shared" si="166"/>
        <v>1</v>
      </c>
      <c r="V735">
        <f t="shared" si="169"/>
        <v>0</v>
      </c>
      <c r="W735">
        <f t="shared" si="170"/>
        <v>1</v>
      </c>
      <c r="X735">
        <f t="shared" si="179"/>
        <v>0</v>
      </c>
      <c r="Y735">
        <f t="shared" si="180"/>
        <v>1</v>
      </c>
      <c r="Z735">
        <f t="shared" si="171"/>
        <v>0</v>
      </c>
      <c r="AA735">
        <f t="shared" si="172"/>
        <v>0</v>
      </c>
      <c r="AB735">
        <f t="shared" si="173"/>
        <v>0</v>
      </c>
      <c r="AC735">
        <f t="shared" si="174"/>
        <v>10</v>
      </c>
      <c r="AD735" s="1">
        <f t="shared" si="175"/>
        <v>8.3333333333333339</v>
      </c>
      <c r="AE735">
        <f t="shared" si="176"/>
        <v>5</v>
      </c>
      <c r="AF735">
        <f t="shared" si="177"/>
        <v>0</v>
      </c>
      <c r="AG735">
        <f t="shared" si="178"/>
        <v>10</v>
      </c>
    </row>
    <row r="736" spans="1:33" x14ac:dyDescent="0.25">
      <c r="A736" t="s">
        <v>1303</v>
      </c>
      <c r="B736" t="s">
        <v>1047</v>
      </c>
      <c r="C736">
        <v>165999</v>
      </c>
      <c r="D736">
        <v>165999</v>
      </c>
      <c r="H736">
        <v>20</v>
      </c>
      <c r="I736">
        <v>50</v>
      </c>
      <c r="J736">
        <v>20</v>
      </c>
      <c r="K736">
        <v>10</v>
      </c>
      <c r="L736">
        <v>10</v>
      </c>
      <c r="M736">
        <v>110</v>
      </c>
      <c r="S736">
        <f t="shared" si="167"/>
        <v>0</v>
      </c>
      <c r="T736">
        <f t="shared" si="168"/>
        <v>9.1666666666666661</v>
      </c>
      <c r="U736">
        <f t="shared" si="166"/>
        <v>1</v>
      </c>
      <c r="V736">
        <f t="shared" si="169"/>
        <v>0</v>
      </c>
      <c r="W736">
        <f t="shared" si="170"/>
        <v>1</v>
      </c>
      <c r="X736">
        <f t="shared" si="179"/>
        <v>0</v>
      </c>
      <c r="Y736">
        <f t="shared" si="180"/>
        <v>1</v>
      </c>
      <c r="Z736">
        <f t="shared" si="171"/>
        <v>0</v>
      </c>
      <c r="AA736">
        <f t="shared" si="172"/>
        <v>0</v>
      </c>
      <c r="AB736">
        <f t="shared" si="173"/>
        <v>0</v>
      </c>
      <c r="AC736">
        <f t="shared" si="174"/>
        <v>10</v>
      </c>
      <c r="AD736" s="1">
        <f t="shared" si="175"/>
        <v>8.3333333333333339</v>
      </c>
      <c r="AE736">
        <f t="shared" si="176"/>
        <v>10</v>
      </c>
      <c r="AF736">
        <f t="shared" si="177"/>
        <v>10</v>
      </c>
      <c r="AG736">
        <f t="shared" si="178"/>
        <v>10</v>
      </c>
    </row>
    <row r="737" spans="1:33" x14ac:dyDescent="0.25">
      <c r="A737" t="s">
        <v>1304</v>
      </c>
      <c r="B737" t="s">
        <v>396</v>
      </c>
      <c r="C737">
        <v>167631</v>
      </c>
      <c r="D737">
        <v>167631</v>
      </c>
      <c r="H737">
        <v>0</v>
      </c>
      <c r="I737">
        <v>0</v>
      </c>
      <c r="J737">
        <v>20</v>
      </c>
      <c r="K737">
        <v>0</v>
      </c>
      <c r="L737">
        <v>10</v>
      </c>
      <c r="M737">
        <v>30</v>
      </c>
      <c r="S737">
        <f t="shared" si="167"/>
        <v>0</v>
      </c>
      <c r="T737">
        <f t="shared" si="168"/>
        <v>2.5</v>
      </c>
      <c r="U737">
        <f t="shared" si="166"/>
        <v>1</v>
      </c>
      <c r="V737">
        <f t="shared" si="169"/>
        <v>0</v>
      </c>
      <c r="W737">
        <f t="shared" si="170"/>
        <v>1</v>
      </c>
      <c r="X737">
        <f t="shared" si="179"/>
        <v>0</v>
      </c>
      <c r="Y737">
        <f t="shared" si="180"/>
        <v>0</v>
      </c>
      <c r="Z737">
        <f t="shared" si="171"/>
        <v>0</v>
      </c>
      <c r="AA737">
        <f t="shared" si="172"/>
        <v>0</v>
      </c>
      <c r="AB737">
        <f t="shared" si="173"/>
        <v>0</v>
      </c>
      <c r="AC737">
        <f t="shared" si="174"/>
        <v>0</v>
      </c>
      <c r="AD737" s="1">
        <f t="shared" si="175"/>
        <v>0</v>
      </c>
      <c r="AE737">
        <f t="shared" si="176"/>
        <v>10</v>
      </c>
      <c r="AF737">
        <f t="shared" si="177"/>
        <v>0</v>
      </c>
      <c r="AG737">
        <f t="shared" si="178"/>
        <v>10</v>
      </c>
    </row>
    <row r="738" spans="1:33" x14ac:dyDescent="0.25">
      <c r="A738" t="s">
        <v>1305</v>
      </c>
      <c r="B738" t="s">
        <v>1306</v>
      </c>
      <c r="C738">
        <v>166108</v>
      </c>
      <c r="D738">
        <v>166108</v>
      </c>
      <c r="H738">
        <v>0</v>
      </c>
      <c r="I738">
        <v>40</v>
      </c>
      <c r="J738">
        <v>20</v>
      </c>
      <c r="K738">
        <v>10</v>
      </c>
      <c r="L738">
        <v>10</v>
      </c>
      <c r="M738">
        <v>80</v>
      </c>
      <c r="S738">
        <f t="shared" si="167"/>
        <v>0</v>
      </c>
      <c r="T738">
        <f t="shared" si="168"/>
        <v>6.666666666666667</v>
      </c>
      <c r="U738">
        <f t="shared" si="166"/>
        <v>1</v>
      </c>
      <c r="V738">
        <f t="shared" si="169"/>
        <v>0</v>
      </c>
      <c r="W738">
        <f t="shared" si="170"/>
        <v>1</v>
      </c>
      <c r="X738">
        <f t="shared" si="179"/>
        <v>0</v>
      </c>
      <c r="Y738">
        <f t="shared" si="180"/>
        <v>1</v>
      </c>
      <c r="Z738">
        <f t="shared" si="171"/>
        <v>0</v>
      </c>
      <c r="AA738">
        <f t="shared" si="172"/>
        <v>0</v>
      </c>
      <c r="AB738">
        <f t="shared" si="173"/>
        <v>0</v>
      </c>
      <c r="AC738">
        <f t="shared" si="174"/>
        <v>0</v>
      </c>
      <c r="AD738" s="1">
        <f t="shared" si="175"/>
        <v>6.666666666666667</v>
      </c>
      <c r="AE738">
        <f t="shared" si="176"/>
        <v>10</v>
      </c>
      <c r="AF738">
        <f t="shared" si="177"/>
        <v>10</v>
      </c>
      <c r="AG738">
        <f t="shared" si="178"/>
        <v>10</v>
      </c>
    </row>
    <row r="739" spans="1:33" x14ac:dyDescent="0.25">
      <c r="A739" t="s">
        <v>1307</v>
      </c>
      <c r="B739" t="s">
        <v>1308</v>
      </c>
      <c r="C739">
        <v>167107</v>
      </c>
      <c r="D739">
        <v>167107</v>
      </c>
      <c r="E739">
        <v>30</v>
      </c>
      <c r="F739">
        <v>20</v>
      </c>
      <c r="G739">
        <v>40</v>
      </c>
      <c r="O739">
        <v>90</v>
      </c>
      <c r="S739">
        <f t="shared" si="167"/>
        <v>5.625</v>
      </c>
      <c r="T739">
        <f t="shared" si="168"/>
        <v>0</v>
      </c>
      <c r="U739">
        <f t="shared" si="166"/>
        <v>1</v>
      </c>
      <c r="V739">
        <f t="shared" si="169"/>
        <v>1</v>
      </c>
      <c r="W739">
        <f t="shared" si="170"/>
        <v>0</v>
      </c>
      <c r="X739">
        <f t="shared" si="179"/>
        <v>0</v>
      </c>
      <c r="Y739">
        <f t="shared" si="180"/>
        <v>0</v>
      </c>
      <c r="Z739">
        <f t="shared" si="171"/>
        <v>6</v>
      </c>
      <c r="AA739">
        <f t="shared" si="172"/>
        <v>5</v>
      </c>
      <c r="AB739">
        <f t="shared" si="173"/>
        <v>5.7142857142857144</v>
      </c>
      <c r="AC739">
        <f t="shared" si="174"/>
        <v>0</v>
      </c>
      <c r="AD739" s="1">
        <f t="shared" si="175"/>
        <v>0</v>
      </c>
      <c r="AE739">
        <f t="shared" si="176"/>
        <v>0</v>
      </c>
      <c r="AF739">
        <f t="shared" si="177"/>
        <v>0</v>
      </c>
      <c r="AG739">
        <f t="shared" si="178"/>
        <v>0</v>
      </c>
    </row>
    <row r="740" spans="1:33" x14ac:dyDescent="0.25">
      <c r="A740" t="s">
        <v>1309</v>
      </c>
      <c r="B740" t="s">
        <v>1310</v>
      </c>
      <c r="C740">
        <v>167181</v>
      </c>
      <c r="D740">
        <v>167181</v>
      </c>
      <c r="H740">
        <v>0</v>
      </c>
      <c r="I740">
        <v>40</v>
      </c>
      <c r="J740">
        <v>10</v>
      </c>
      <c r="K740">
        <v>0</v>
      </c>
      <c r="L740">
        <v>0</v>
      </c>
      <c r="M740">
        <v>50</v>
      </c>
      <c r="S740">
        <f t="shared" si="167"/>
        <v>0</v>
      </c>
      <c r="T740">
        <f t="shared" si="168"/>
        <v>4.166666666666667</v>
      </c>
      <c r="U740">
        <f t="shared" si="166"/>
        <v>1</v>
      </c>
      <c r="V740">
        <f t="shared" si="169"/>
        <v>0</v>
      </c>
      <c r="W740">
        <f t="shared" si="170"/>
        <v>1</v>
      </c>
      <c r="X740">
        <f t="shared" si="179"/>
        <v>0</v>
      </c>
      <c r="Y740">
        <f t="shared" si="180"/>
        <v>0</v>
      </c>
      <c r="Z740">
        <f t="shared" si="171"/>
        <v>0</v>
      </c>
      <c r="AA740">
        <f t="shared" si="172"/>
        <v>0</v>
      </c>
      <c r="AB740">
        <f t="shared" si="173"/>
        <v>0</v>
      </c>
      <c r="AC740">
        <f t="shared" si="174"/>
        <v>0</v>
      </c>
      <c r="AD740" s="1">
        <f t="shared" si="175"/>
        <v>6.666666666666667</v>
      </c>
      <c r="AE740">
        <f t="shared" si="176"/>
        <v>5</v>
      </c>
      <c r="AF740">
        <f t="shared" si="177"/>
        <v>0</v>
      </c>
      <c r="AG740">
        <f t="shared" si="178"/>
        <v>0</v>
      </c>
    </row>
    <row r="741" spans="1:33" x14ac:dyDescent="0.25">
      <c r="A741" t="s">
        <v>1311</v>
      </c>
      <c r="B741" t="s">
        <v>1312</v>
      </c>
      <c r="C741">
        <v>163890</v>
      </c>
      <c r="D741">
        <v>163890</v>
      </c>
      <c r="E741">
        <v>30</v>
      </c>
      <c r="F741">
        <v>30</v>
      </c>
      <c r="G741">
        <v>20</v>
      </c>
      <c r="O741">
        <v>80</v>
      </c>
      <c r="S741">
        <f t="shared" si="167"/>
        <v>5</v>
      </c>
      <c r="T741">
        <f t="shared" si="168"/>
        <v>0</v>
      </c>
      <c r="U741">
        <f t="shared" si="166"/>
        <v>1</v>
      </c>
      <c r="V741">
        <f t="shared" si="169"/>
        <v>1</v>
      </c>
      <c r="W741">
        <f t="shared" si="170"/>
        <v>0</v>
      </c>
      <c r="X741">
        <f t="shared" si="179"/>
        <v>0</v>
      </c>
      <c r="Y741">
        <f t="shared" si="180"/>
        <v>0</v>
      </c>
      <c r="Z741">
        <f t="shared" si="171"/>
        <v>6</v>
      </c>
      <c r="AA741">
        <f t="shared" si="172"/>
        <v>7.5</v>
      </c>
      <c r="AB741">
        <f t="shared" si="173"/>
        <v>2.8571428571428572</v>
      </c>
      <c r="AC741">
        <f t="shared" si="174"/>
        <v>0</v>
      </c>
      <c r="AD741" s="1">
        <f t="shared" si="175"/>
        <v>0</v>
      </c>
      <c r="AE741">
        <f t="shared" si="176"/>
        <v>0</v>
      </c>
      <c r="AF741">
        <f t="shared" si="177"/>
        <v>0</v>
      </c>
      <c r="AG741">
        <f t="shared" si="178"/>
        <v>0</v>
      </c>
    </row>
    <row r="742" spans="1:33" x14ac:dyDescent="0.25">
      <c r="A742" t="s">
        <v>1313</v>
      </c>
      <c r="B742" t="s">
        <v>1314</v>
      </c>
      <c r="C742">
        <v>165639</v>
      </c>
      <c r="D742">
        <v>165639</v>
      </c>
      <c r="H742">
        <v>10</v>
      </c>
      <c r="I742">
        <v>40</v>
      </c>
      <c r="J742">
        <v>20</v>
      </c>
      <c r="K742">
        <v>0</v>
      </c>
      <c r="L742">
        <v>0</v>
      </c>
      <c r="M742">
        <v>70</v>
      </c>
      <c r="S742">
        <f t="shared" si="167"/>
        <v>0</v>
      </c>
      <c r="T742">
        <f t="shared" si="168"/>
        <v>5.833333333333333</v>
      </c>
      <c r="U742">
        <f t="shared" si="166"/>
        <v>1</v>
      </c>
      <c r="V742">
        <f t="shared" si="169"/>
        <v>0</v>
      </c>
      <c r="W742">
        <f t="shared" si="170"/>
        <v>1</v>
      </c>
      <c r="X742">
        <f t="shared" si="179"/>
        <v>0</v>
      </c>
      <c r="Y742">
        <f t="shared" si="180"/>
        <v>0</v>
      </c>
      <c r="Z742">
        <f t="shared" si="171"/>
        <v>0</v>
      </c>
      <c r="AA742">
        <f t="shared" si="172"/>
        <v>0</v>
      </c>
      <c r="AB742">
        <f t="shared" si="173"/>
        <v>0</v>
      </c>
      <c r="AC742">
        <f t="shared" si="174"/>
        <v>5</v>
      </c>
      <c r="AD742" s="1">
        <f t="shared" si="175"/>
        <v>6.666666666666667</v>
      </c>
      <c r="AE742">
        <f t="shared" si="176"/>
        <v>10</v>
      </c>
      <c r="AF742">
        <f t="shared" si="177"/>
        <v>0</v>
      </c>
      <c r="AG742">
        <f t="shared" si="178"/>
        <v>0</v>
      </c>
    </row>
    <row r="743" spans="1:33" x14ac:dyDescent="0.25">
      <c r="A743" t="s">
        <v>1315</v>
      </c>
      <c r="B743" t="s">
        <v>1021</v>
      </c>
      <c r="C743">
        <v>168441</v>
      </c>
      <c r="D743">
        <v>168441</v>
      </c>
      <c r="H743">
        <v>20</v>
      </c>
      <c r="I743">
        <v>40</v>
      </c>
      <c r="J743">
        <v>20</v>
      </c>
      <c r="K743">
        <v>10</v>
      </c>
      <c r="L743">
        <v>10</v>
      </c>
      <c r="M743">
        <v>100</v>
      </c>
      <c r="S743">
        <f t="shared" si="167"/>
        <v>0</v>
      </c>
      <c r="T743">
        <f t="shared" si="168"/>
        <v>8.3333333333333339</v>
      </c>
      <c r="U743">
        <f t="shared" si="166"/>
        <v>1</v>
      </c>
      <c r="V743">
        <f t="shared" si="169"/>
        <v>0</v>
      </c>
      <c r="W743">
        <f t="shared" si="170"/>
        <v>1</v>
      </c>
      <c r="X743">
        <f t="shared" si="179"/>
        <v>0</v>
      </c>
      <c r="Y743">
        <f t="shared" si="180"/>
        <v>1</v>
      </c>
      <c r="Z743">
        <f t="shared" si="171"/>
        <v>0</v>
      </c>
      <c r="AA743">
        <f t="shared" si="172"/>
        <v>0</v>
      </c>
      <c r="AB743">
        <f t="shared" si="173"/>
        <v>0</v>
      </c>
      <c r="AC743">
        <f t="shared" si="174"/>
        <v>10</v>
      </c>
      <c r="AD743" s="1">
        <f t="shared" si="175"/>
        <v>6.666666666666667</v>
      </c>
      <c r="AE743">
        <f t="shared" si="176"/>
        <v>10</v>
      </c>
      <c r="AF743">
        <f t="shared" si="177"/>
        <v>10</v>
      </c>
      <c r="AG743">
        <f t="shared" si="178"/>
        <v>10</v>
      </c>
    </row>
    <row r="744" spans="1:33" x14ac:dyDescent="0.25">
      <c r="A744" t="s">
        <v>1316</v>
      </c>
      <c r="B744" t="s">
        <v>1317</v>
      </c>
      <c r="C744">
        <v>166790</v>
      </c>
      <c r="D744">
        <v>166790</v>
      </c>
      <c r="H744">
        <v>0</v>
      </c>
      <c r="I744">
        <v>10</v>
      </c>
      <c r="J744">
        <v>10</v>
      </c>
      <c r="K744">
        <v>10</v>
      </c>
      <c r="L744">
        <v>10</v>
      </c>
      <c r="M744">
        <v>40</v>
      </c>
      <c r="S744">
        <f t="shared" si="167"/>
        <v>0</v>
      </c>
      <c r="T744">
        <f t="shared" si="168"/>
        <v>3.3333333333333335</v>
      </c>
      <c r="U744">
        <f t="shared" si="166"/>
        <v>1</v>
      </c>
      <c r="V744">
        <f t="shared" si="169"/>
        <v>0</v>
      </c>
      <c r="W744">
        <f t="shared" si="170"/>
        <v>1</v>
      </c>
      <c r="X744">
        <f t="shared" si="179"/>
        <v>0</v>
      </c>
      <c r="Y744">
        <f t="shared" si="180"/>
        <v>0</v>
      </c>
      <c r="Z744">
        <f t="shared" si="171"/>
        <v>0</v>
      </c>
      <c r="AA744">
        <f t="shared" si="172"/>
        <v>0</v>
      </c>
      <c r="AB744">
        <f t="shared" si="173"/>
        <v>0</v>
      </c>
      <c r="AC744">
        <f t="shared" si="174"/>
        <v>0</v>
      </c>
      <c r="AD744" s="1">
        <f t="shared" si="175"/>
        <v>1.6666666666666667</v>
      </c>
      <c r="AE744">
        <f t="shared" si="176"/>
        <v>5</v>
      </c>
      <c r="AF744">
        <f t="shared" si="177"/>
        <v>10</v>
      </c>
      <c r="AG744">
        <f t="shared" si="178"/>
        <v>10</v>
      </c>
    </row>
    <row r="745" spans="1:33" x14ac:dyDescent="0.25">
      <c r="A745" t="s">
        <v>1318</v>
      </c>
      <c r="B745" t="s">
        <v>1319</v>
      </c>
      <c r="C745">
        <v>168342</v>
      </c>
      <c r="D745">
        <v>168342</v>
      </c>
      <c r="H745">
        <v>10</v>
      </c>
      <c r="I745">
        <v>60</v>
      </c>
      <c r="J745">
        <v>20</v>
      </c>
      <c r="K745">
        <v>10</v>
      </c>
      <c r="L745">
        <v>10</v>
      </c>
      <c r="M745">
        <v>110</v>
      </c>
      <c r="S745">
        <f t="shared" si="167"/>
        <v>0</v>
      </c>
      <c r="T745">
        <f t="shared" si="168"/>
        <v>9.1666666666666661</v>
      </c>
      <c r="U745">
        <f t="shared" si="166"/>
        <v>1</v>
      </c>
      <c r="V745">
        <f t="shared" si="169"/>
        <v>0</v>
      </c>
      <c r="W745">
        <f t="shared" si="170"/>
        <v>1</v>
      </c>
      <c r="X745">
        <f t="shared" si="179"/>
        <v>0</v>
      </c>
      <c r="Y745">
        <f t="shared" si="180"/>
        <v>1</v>
      </c>
      <c r="Z745">
        <f t="shared" si="171"/>
        <v>0</v>
      </c>
      <c r="AA745">
        <f t="shared" si="172"/>
        <v>0</v>
      </c>
      <c r="AB745">
        <f t="shared" si="173"/>
        <v>0</v>
      </c>
      <c r="AC745">
        <f t="shared" si="174"/>
        <v>5</v>
      </c>
      <c r="AD745" s="1">
        <f t="shared" si="175"/>
        <v>10</v>
      </c>
      <c r="AE745">
        <f t="shared" si="176"/>
        <v>10</v>
      </c>
      <c r="AF745">
        <f t="shared" si="177"/>
        <v>10</v>
      </c>
      <c r="AG745">
        <f t="shared" si="178"/>
        <v>10</v>
      </c>
    </row>
    <row r="746" spans="1:33" x14ac:dyDescent="0.25">
      <c r="A746" t="s">
        <v>1320</v>
      </c>
      <c r="B746" t="s">
        <v>1321</v>
      </c>
      <c r="C746">
        <v>165589</v>
      </c>
      <c r="D746">
        <v>165589</v>
      </c>
      <c r="E746">
        <v>0</v>
      </c>
      <c r="F746">
        <v>0</v>
      </c>
      <c r="G746">
        <v>20</v>
      </c>
      <c r="O746">
        <v>20</v>
      </c>
      <c r="S746">
        <f t="shared" si="167"/>
        <v>1.25</v>
      </c>
      <c r="T746">
        <f t="shared" si="168"/>
        <v>0</v>
      </c>
      <c r="U746">
        <f t="shared" si="166"/>
        <v>1</v>
      </c>
      <c r="V746">
        <f t="shared" si="169"/>
        <v>1</v>
      </c>
      <c r="W746">
        <f t="shared" si="170"/>
        <v>0</v>
      </c>
      <c r="X746">
        <f t="shared" si="179"/>
        <v>0</v>
      </c>
      <c r="Y746">
        <f t="shared" si="180"/>
        <v>0</v>
      </c>
      <c r="Z746">
        <f t="shared" si="171"/>
        <v>0</v>
      </c>
      <c r="AA746">
        <f t="shared" si="172"/>
        <v>0</v>
      </c>
      <c r="AB746">
        <f t="shared" si="173"/>
        <v>2.8571428571428572</v>
      </c>
      <c r="AC746">
        <f t="shared" si="174"/>
        <v>0</v>
      </c>
      <c r="AD746" s="1">
        <f t="shared" si="175"/>
        <v>0</v>
      </c>
      <c r="AE746">
        <f t="shared" si="176"/>
        <v>0</v>
      </c>
      <c r="AF746">
        <f t="shared" si="177"/>
        <v>0</v>
      </c>
      <c r="AG746">
        <f t="shared" si="178"/>
        <v>0</v>
      </c>
    </row>
    <row r="747" spans="1:33" x14ac:dyDescent="0.25">
      <c r="A747" t="s">
        <v>1322</v>
      </c>
      <c r="B747" t="s">
        <v>1308</v>
      </c>
      <c r="C747">
        <v>165566</v>
      </c>
      <c r="D747">
        <v>165566</v>
      </c>
      <c r="E747">
        <v>30</v>
      </c>
      <c r="F747">
        <v>20</v>
      </c>
      <c r="G747">
        <v>50</v>
      </c>
      <c r="O747">
        <v>100</v>
      </c>
      <c r="S747">
        <f t="shared" si="167"/>
        <v>6.25</v>
      </c>
      <c r="T747">
        <f t="shared" si="168"/>
        <v>0</v>
      </c>
      <c r="U747">
        <f t="shared" si="166"/>
        <v>1</v>
      </c>
      <c r="V747">
        <f t="shared" si="169"/>
        <v>1</v>
      </c>
      <c r="W747">
        <f t="shared" si="170"/>
        <v>0</v>
      </c>
      <c r="X747">
        <f t="shared" si="179"/>
        <v>1</v>
      </c>
      <c r="Y747">
        <f t="shared" si="180"/>
        <v>0</v>
      </c>
      <c r="Z747">
        <f t="shared" si="171"/>
        <v>6</v>
      </c>
      <c r="AA747">
        <f t="shared" si="172"/>
        <v>5</v>
      </c>
      <c r="AB747">
        <f t="shared" si="173"/>
        <v>7.1428571428571432</v>
      </c>
      <c r="AC747">
        <f t="shared" si="174"/>
        <v>0</v>
      </c>
      <c r="AD747" s="1">
        <f t="shared" si="175"/>
        <v>0</v>
      </c>
      <c r="AE747">
        <f t="shared" si="176"/>
        <v>0</v>
      </c>
      <c r="AF747">
        <f t="shared" si="177"/>
        <v>0</v>
      </c>
      <c r="AG747">
        <f t="shared" si="178"/>
        <v>0</v>
      </c>
    </row>
    <row r="748" spans="1:33" x14ac:dyDescent="0.25">
      <c r="A748" t="s">
        <v>1323</v>
      </c>
      <c r="B748" t="s">
        <v>1324</v>
      </c>
      <c r="C748">
        <v>166478</v>
      </c>
      <c r="D748">
        <v>166478</v>
      </c>
      <c r="H748">
        <v>0</v>
      </c>
      <c r="I748">
        <v>50</v>
      </c>
      <c r="J748">
        <v>10</v>
      </c>
      <c r="K748">
        <v>10</v>
      </c>
      <c r="L748">
        <v>10</v>
      </c>
      <c r="M748">
        <v>80</v>
      </c>
      <c r="S748">
        <f t="shared" si="167"/>
        <v>0</v>
      </c>
      <c r="T748">
        <f t="shared" si="168"/>
        <v>6.666666666666667</v>
      </c>
      <c r="U748">
        <f t="shared" si="166"/>
        <v>1</v>
      </c>
      <c r="V748">
        <f t="shared" si="169"/>
        <v>0</v>
      </c>
      <c r="W748">
        <f t="shared" si="170"/>
        <v>1</v>
      </c>
      <c r="X748">
        <f t="shared" si="179"/>
        <v>0</v>
      </c>
      <c r="Y748">
        <f t="shared" si="180"/>
        <v>1</v>
      </c>
      <c r="Z748">
        <f t="shared" si="171"/>
        <v>0</v>
      </c>
      <c r="AA748">
        <f t="shared" si="172"/>
        <v>0</v>
      </c>
      <c r="AB748">
        <f t="shared" si="173"/>
        <v>0</v>
      </c>
      <c r="AC748">
        <f t="shared" si="174"/>
        <v>0</v>
      </c>
      <c r="AD748" s="1">
        <f t="shared" si="175"/>
        <v>8.3333333333333339</v>
      </c>
      <c r="AE748">
        <f t="shared" si="176"/>
        <v>5</v>
      </c>
      <c r="AF748">
        <f t="shared" si="177"/>
        <v>10</v>
      </c>
      <c r="AG748">
        <f t="shared" si="178"/>
        <v>10</v>
      </c>
    </row>
    <row r="749" spans="1:33" x14ac:dyDescent="0.25">
      <c r="A749" t="s">
        <v>1325</v>
      </c>
      <c r="B749" t="s">
        <v>1326</v>
      </c>
      <c r="C749">
        <v>168472</v>
      </c>
      <c r="D749">
        <v>168472</v>
      </c>
      <c r="H749">
        <v>20</v>
      </c>
      <c r="I749">
        <v>30</v>
      </c>
      <c r="J749">
        <v>10</v>
      </c>
      <c r="K749">
        <v>10</v>
      </c>
      <c r="L749">
        <v>10</v>
      </c>
      <c r="M749">
        <v>80</v>
      </c>
      <c r="S749">
        <f t="shared" si="167"/>
        <v>0</v>
      </c>
      <c r="T749">
        <f t="shared" si="168"/>
        <v>6.666666666666667</v>
      </c>
      <c r="U749">
        <f t="shared" si="166"/>
        <v>1</v>
      </c>
      <c r="V749">
        <f t="shared" si="169"/>
        <v>0</v>
      </c>
      <c r="W749">
        <f t="shared" si="170"/>
        <v>1</v>
      </c>
      <c r="X749">
        <f t="shared" si="179"/>
        <v>0</v>
      </c>
      <c r="Y749">
        <f t="shared" si="180"/>
        <v>1</v>
      </c>
      <c r="Z749">
        <f t="shared" si="171"/>
        <v>0</v>
      </c>
      <c r="AA749">
        <f t="shared" si="172"/>
        <v>0</v>
      </c>
      <c r="AB749">
        <f t="shared" si="173"/>
        <v>0</v>
      </c>
      <c r="AC749">
        <f t="shared" si="174"/>
        <v>10</v>
      </c>
      <c r="AD749" s="1">
        <f t="shared" si="175"/>
        <v>5</v>
      </c>
      <c r="AE749">
        <f t="shared" si="176"/>
        <v>5</v>
      </c>
      <c r="AF749">
        <f t="shared" si="177"/>
        <v>10</v>
      </c>
      <c r="AG749">
        <f t="shared" si="178"/>
        <v>10</v>
      </c>
    </row>
    <row r="750" spans="1:33" x14ac:dyDescent="0.25">
      <c r="A750" t="s">
        <v>1327</v>
      </c>
      <c r="B750" t="s">
        <v>486</v>
      </c>
      <c r="C750">
        <v>166230</v>
      </c>
      <c r="D750">
        <v>166230</v>
      </c>
      <c r="E750">
        <v>0</v>
      </c>
      <c r="F750">
        <v>30</v>
      </c>
      <c r="G750">
        <v>20</v>
      </c>
      <c r="O750">
        <v>50</v>
      </c>
      <c r="S750">
        <f t="shared" si="167"/>
        <v>3.125</v>
      </c>
      <c r="T750">
        <f t="shared" si="168"/>
        <v>0</v>
      </c>
      <c r="U750">
        <f t="shared" si="166"/>
        <v>1</v>
      </c>
      <c r="V750">
        <f t="shared" si="169"/>
        <v>1</v>
      </c>
      <c r="W750">
        <f t="shared" si="170"/>
        <v>0</v>
      </c>
      <c r="X750">
        <f t="shared" si="179"/>
        <v>0</v>
      </c>
      <c r="Y750">
        <f t="shared" si="180"/>
        <v>0</v>
      </c>
      <c r="Z750">
        <f t="shared" si="171"/>
        <v>0</v>
      </c>
      <c r="AA750">
        <f t="shared" si="172"/>
        <v>7.5</v>
      </c>
      <c r="AB750">
        <f t="shared" si="173"/>
        <v>2.8571428571428572</v>
      </c>
      <c r="AC750">
        <f t="shared" si="174"/>
        <v>0</v>
      </c>
      <c r="AD750" s="1">
        <f t="shared" si="175"/>
        <v>0</v>
      </c>
      <c r="AE750">
        <f t="shared" si="176"/>
        <v>0</v>
      </c>
      <c r="AF750">
        <f t="shared" si="177"/>
        <v>0</v>
      </c>
      <c r="AG750">
        <f t="shared" si="178"/>
        <v>0</v>
      </c>
    </row>
    <row r="751" spans="1:33" x14ac:dyDescent="0.25">
      <c r="A751" t="s">
        <v>1328</v>
      </c>
      <c r="B751" t="s">
        <v>865</v>
      </c>
      <c r="C751">
        <v>166239</v>
      </c>
      <c r="D751">
        <v>166239</v>
      </c>
      <c r="E751">
        <v>10</v>
      </c>
      <c r="F751">
        <v>10</v>
      </c>
      <c r="G751">
        <v>30</v>
      </c>
      <c r="O751">
        <v>50</v>
      </c>
      <c r="S751">
        <f t="shared" si="167"/>
        <v>3.125</v>
      </c>
      <c r="T751">
        <f t="shared" si="168"/>
        <v>0</v>
      </c>
      <c r="U751">
        <f t="shared" si="166"/>
        <v>1</v>
      </c>
      <c r="V751">
        <f t="shared" si="169"/>
        <v>1</v>
      </c>
      <c r="W751">
        <f t="shared" si="170"/>
        <v>0</v>
      </c>
      <c r="X751">
        <f t="shared" si="179"/>
        <v>0</v>
      </c>
      <c r="Y751">
        <f t="shared" si="180"/>
        <v>0</v>
      </c>
      <c r="Z751">
        <f t="shared" si="171"/>
        <v>2</v>
      </c>
      <c r="AA751">
        <f t="shared" si="172"/>
        <v>2.5</v>
      </c>
      <c r="AB751">
        <f t="shared" si="173"/>
        <v>4.2857142857142856</v>
      </c>
      <c r="AC751">
        <f t="shared" si="174"/>
        <v>0</v>
      </c>
      <c r="AD751" s="1">
        <f t="shared" si="175"/>
        <v>0</v>
      </c>
      <c r="AE751">
        <f t="shared" si="176"/>
        <v>0</v>
      </c>
      <c r="AF751">
        <f t="shared" si="177"/>
        <v>0</v>
      </c>
      <c r="AG751">
        <f t="shared" si="178"/>
        <v>0</v>
      </c>
    </row>
    <row r="752" spans="1:33" x14ac:dyDescent="0.25">
      <c r="A752" t="s">
        <v>1329</v>
      </c>
      <c r="B752" t="s">
        <v>995</v>
      </c>
      <c r="C752">
        <v>168346</v>
      </c>
      <c r="D752">
        <v>168346</v>
      </c>
      <c r="R752" t="s">
        <v>20</v>
      </c>
      <c r="S752">
        <f t="shared" si="167"/>
        <v>0</v>
      </c>
      <c r="T752">
        <f t="shared" si="168"/>
        <v>0</v>
      </c>
      <c r="U752">
        <f t="shared" si="166"/>
        <v>0</v>
      </c>
      <c r="V752">
        <f t="shared" si="169"/>
        <v>0</v>
      </c>
      <c r="W752">
        <f t="shared" si="170"/>
        <v>0</v>
      </c>
      <c r="X752">
        <f t="shared" si="179"/>
        <v>0</v>
      </c>
      <c r="Y752">
        <f t="shared" si="180"/>
        <v>0</v>
      </c>
      <c r="Z752">
        <f t="shared" si="171"/>
        <v>0</v>
      </c>
      <c r="AA752">
        <f t="shared" si="172"/>
        <v>0</v>
      </c>
      <c r="AB752">
        <f t="shared" si="173"/>
        <v>0</v>
      </c>
      <c r="AC752">
        <f t="shared" si="174"/>
        <v>0</v>
      </c>
      <c r="AD752" s="1">
        <f t="shared" si="175"/>
        <v>0</v>
      </c>
      <c r="AE752">
        <f t="shared" si="176"/>
        <v>0</v>
      </c>
      <c r="AF752">
        <f t="shared" si="177"/>
        <v>0</v>
      </c>
      <c r="AG752">
        <f t="shared" si="178"/>
        <v>0</v>
      </c>
    </row>
    <row r="753" spans="1:33" x14ac:dyDescent="0.25">
      <c r="A753" t="s">
        <v>1330</v>
      </c>
      <c r="B753" t="s">
        <v>577</v>
      </c>
      <c r="C753">
        <v>166788</v>
      </c>
      <c r="D753">
        <v>166788</v>
      </c>
      <c r="E753">
        <v>0</v>
      </c>
      <c r="F753">
        <v>20</v>
      </c>
      <c r="G753">
        <v>40</v>
      </c>
      <c r="O753">
        <v>60</v>
      </c>
      <c r="S753">
        <f t="shared" si="167"/>
        <v>3.75</v>
      </c>
      <c r="T753">
        <f t="shared" si="168"/>
        <v>0</v>
      </c>
      <c r="U753">
        <f t="shared" si="166"/>
        <v>1</v>
      </c>
      <c r="V753">
        <f t="shared" si="169"/>
        <v>1</v>
      </c>
      <c r="W753">
        <f t="shared" si="170"/>
        <v>0</v>
      </c>
      <c r="X753">
        <f t="shared" si="179"/>
        <v>0</v>
      </c>
      <c r="Y753">
        <f t="shared" si="180"/>
        <v>0</v>
      </c>
      <c r="Z753">
        <f t="shared" si="171"/>
        <v>0</v>
      </c>
      <c r="AA753">
        <f t="shared" si="172"/>
        <v>5</v>
      </c>
      <c r="AB753">
        <f t="shared" si="173"/>
        <v>5.7142857142857144</v>
      </c>
      <c r="AC753">
        <f t="shared" si="174"/>
        <v>0</v>
      </c>
      <c r="AD753" s="1">
        <f t="shared" si="175"/>
        <v>0</v>
      </c>
      <c r="AE753">
        <f t="shared" si="176"/>
        <v>0</v>
      </c>
      <c r="AF753">
        <f t="shared" si="177"/>
        <v>0</v>
      </c>
      <c r="AG753">
        <f t="shared" si="178"/>
        <v>0</v>
      </c>
    </row>
    <row r="754" spans="1:33" x14ac:dyDescent="0.25">
      <c r="A754" t="s">
        <v>1331</v>
      </c>
      <c r="B754" t="s">
        <v>1332</v>
      </c>
      <c r="C754">
        <v>164615</v>
      </c>
      <c r="D754">
        <v>164615</v>
      </c>
      <c r="S754">
        <f t="shared" si="167"/>
        <v>0</v>
      </c>
      <c r="T754">
        <f t="shared" si="168"/>
        <v>0</v>
      </c>
      <c r="U754">
        <f t="shared" si="166"/>
        <v>0</v>
      </c>
      <c r="V754">
        <f t="shared" si="169"/>
        <v>0</v>
      </c>
      <c r="W754">
        <f t="shared" si="170"/>
        <v>0</v>
      </c>
      <c r="X754">
        <f t="shared" si="179"/>
        <v>0</v>
      </c>
      <c r="Y754">
        <f t="shared" si="180"/>
        <v>0</v>
      </c>
      <c r="Z754">
        <f t="shared" si="171"/>
        <v>0</v>
      </c>
      <c r="AA754">
        <f t="shared" si="172"/>
        <v>0</v>
      </c>
      <c r="AB754">
        <f t="shared" si="173"/>
        <v>0</v>
      </c>
      <c r="AC754">
        <f t="shared" si="174"/>
        <v>0</v>
      </c>
      <c r="AD754" s="1">
        <f t="shared" si="175"/>
        <v>0</v>
      </c>
      <c r="AE754">
        <f t="shared" si="176"/>
        <v>0</v>
      </c>
      <c r="AF754">
        <f t="shared" si="177"/>
        <v>0</v>
      </c>
      <c r="AG754">
        <f t="shared" si="178"/>
        <v>0</v>
      </c>
    </row>
    <row r="755" spans="1:33" x14ac:dyDescent="0.25">
      <c r="A755" t="s">
        <v>1333</v>
      </c>
      <c r="B755" t="s">
        <v>150</v>
      </c>
      <c r="C755">
        <v>168855</v>
      </c>
      <c r="D755">
        <v>168855</v>
      </c>
      <c r="H755">
        <v>20</v>
      </c>
      <c r="I755">
        <v>40</v>
      </c>
      <c r="J755">
        <v>0</v>
      </c>
      <c r="K755">
        <v>10</v>
      </c>
      <c r="L755">
        <v>10</v>
      </c>
      <c r="M755">
        <v>80</v>
      </c>
      <c r="S755">
        <f t="shared" si="167"/>
        <v>0</v>
      </c>
      <c r="T755">
        <f t="shared" si="168"/>
        <v>6.666666666666667</v>
      </c>
      <c r="U755">
        <f t="shared" si="166"/>
        <v>1</v>
      </c>
      <c r="V755">
        <f t="shared" si="169"/>
        <v>0</v>
      </c>
      <c r="W755">
        <f t="shared" si="170"/>
        <v>1</v>
      </c>
      <c r="X755">
        <f t="shared" si="179"/>
        <v>0</v>
      </c>
      <c r="Y755">
        <f t="shared" si="180"/>
        <v>1</v>
      </c>
      <c r="Z755">
        <f t="shared" si="171"/>
        <v>0</v>
      </c>
      <c r="AA755">
        <f t="shared" si="172"/>
        <v>0</v>
      </c>
      <c r="AB755">
        <f t="shared" si="173"/>
        <v>0</v>
      </c>
      <c r="AC755">
        <f t="shared" si="174"/>
        <v>10</v>
      </c>
      <c r="AD755" s="1">
        <f t="shared" si="175"/>
        <v>6.666666666666667</v>
      </c>
      <c r="AE755">
        <f t="shared" si="176"/>
        <v>0</v>
      </c>
      <c r="AF755">
        <f t="shared" si="177"/>
        <v>10</v>
      </c>
      <c r="AG755">
        <f t="shared" si="178"/>
        <v>10</v>
      </c>
    </row>
    <row r="756" spans="1:33" x14ac:dyDescent="0.25">
      <c r="A756" t="s">
        <v>1334</v>
      </c>
      <c r="B756" t="s">
        <v>201</v>
      </c>
      <c r="C756">
        <v>162551</v>
      </c>
      <c r="D756">
        <v>162551</v>
      </c>
      <c r="E756">
        <v>10</v>
      </c>
      <c r="F756">
        <v>0</v>
      </c>
      <c r="G756">
        <v>40</v>
      </c>
      <c r="O756">
        <v>50</v>
      </c>
      <c r="S756">
        <f t="shared" si="167"/>
        <v>3.125</v>
      </c>
      <c r="T756">
        <f t="shared" si="168"/>
        <v>0</v>
      </c>
      <c r="U756">
        <f t="shared" si="166"/>
        <v>1</v>
      </c>
      <c r="V756">
        <f t="shared" si="169"/>
        <v>1</v>
      </c>
      <c r="W756">
        <f t="shared" si="170"/>
        <v>0</v>
      </c>
      <c r="X756">
        <f t="shared" si="179"/>
        <v>0</v>
      </c>
      <c r="Y756">
        <f t="shared" si="180"/>
        <v>0</v>
      </c>
      <c r="Z756">
        <f t="shared" si="171"/>
        <v>2</v>
      </c>
      <c r="AA756">
        <f t="shared" si="172"/>
        <v>0</v>
      </c>
      <c r="AB756">
        <f t="shared" si="173"/>
        <v>5.7142857142857144</v>
      </c>
      <c r="AC756">
        <f t="shared" si="174"/>
        <v>0</v>
      </c>
      <c r="AD756" s="1">
        <f t="shared" si="175"/>
        <v>0</v>
      </c>
      <c r="AE756">
        <f t="shared" si="176"/>
        <v>0</v>
      </c>
      <c r="AF756">
        <f t="shared" si="177"/>
        <v>0</v>
      </c>
      <c r="AG756">
        <f t="shared" si="178"/>
        <v>0</v>
      </c>
    </row>
    <row r="757" spans="1:33" x14ac:dyDescent="0.25">
      <c r="A757" t="s">
        <v>1335</v>
      </c>
      <c r="B757" t="s">
        <v>1336</v>
      </c>
      <c r="C757">
        <v>166141</v>
      </c>
      <c r="D757">
        <v>166141</v>
      </c>
      <c r="E757">
        <v>30</v>
      </c>
      <c r="F757">
        <v>30</v>
      </c>
      <c r="G757">
        <v>40</v>
      </c>
      <c r="O757">
        <v>100</v>
      </c>
      <c r="S757">
        <f t="shared" si="167"/>
        <v>6.25</v>
      </c>
      <c r="T757">
        <f t="shared" si="168"/>
        <v>0</v>
      </c>
      <c r="U757">
        <f t="shared" si="166"/>
        <v>1</v>
      </c>
      <c r="V757">
        <f t="shared" si="169"/>
        <v>1</v>
      </c>
      <c r="W757">
        <f t="shared" si="170"/>
        <v>0</v>
      </c>
      <c r="X757">
        <f t="shared" si="179"/>
        <v>1</v>
      </c>
      <c r="Y757">
        <f t="shared" si="180"/>
        <v>0</v>
      </c>
      <c r="Z757">
        <f t="shared" si="171"/>
        <v>6</v>
      </c>
      <c r="AA757">
        <f t="shared" si="172"/>
        <v>7.5</v>
      </c>
      <c r="AB757">
        <f t="shared" si="173"/>
        <v>5.7142857142857144</v>
      </c>
      <c r="AC757">
        <f t="shared" si="174"/>
        <v>0</v>
      </c>
      <c r="AD757" s="1">
        <f t="shared" si="175"/>
        <v>0</v>
      </c>
      <c r="AE757">
        <f t="shared" si="176"/>
        <v>0</v>
      </c>
      <c r="AF757">
        <f t="shared" si="177"/>
        <v>0</v>
      </c>
      <c r="AG757">
        <f t="shared" si="178"/>
        <v>0</v>
      </c>
    </row>
    <row r="758" spans="1:33" x14ac:dyDescent="0.25">
      <c r="A758" t="s">
        <v>1337</v>
      </c>
      <c r="B758" t="s">
        <v>579</v>
      </c>
      <c r="C758">
        <v>167832</v>
      </c>
      <c r="D758">
        <v>167832</v>
      </c>
      <c r="E758">
        <v>20</v>
      </c>
      <c r="F758">
        <v>0</v>
      </c>
      <c r="G758">
        <v>10</v>
      </c>
      <c r="O758">
        <v>30</v>
      </c>
      <c r="S758">
        <f t="shared" si="167"/>
        <v>1.875</v>
      </c>
      <c r="T758">
        <f t="shared" si="168"/>
        <v>0</v>
      </c>
      <c r="U758">
        <f t="shared" si="166"/>
        <v>1</v>
      </c>
      <c r="V758">
        <f t="shared" si="169"/>
        <v>1</v>
      </c>
      <c r="W758">
        <f t="shared" si="170"/>
        <v>0</v>
      </c>
      <c r="X758">
        <f t="shared" si="179"/>
        <v>0</v>
      </c>
      <c r="Y758">
        <f t="shared" si="180"/>
        <v>0</v>
      </c>
      <c r="Z758">
        <f t="shared" si="171"/>
        <v>4</v>
      </c>
      <c r="AA758">
        <f t="shared" si="172"/>
        <v>0</v>
      </c>
      <c r="AB758">
        <f t="shared" si="173"/>
        <v>1.4285714285714286</v>
      </c>
      <c r="AC758">
        <f t="shared" si="174"/>
        <v>0</v>
      </c>
      <c r="AD758" s="1">
        <f t="shared" si="175"/>
        <v>0</v>
      </c>
      <c r="AE758">
        <f t="shared" si="176"/>
        <v>0</v>
      </c>
      <c r="AF758">
        <f t="shared" si="177"/>
        <v>0</v>
      </c>
      <c r="AG758">
        <f t="shared" si="178"/>
        <v>0</v>
      </c>
    </row>
    <row r="759" spans="1:33" x14ac:dyDescent="0.25">
      <c r="A759" t="s">
        <v>1338</v>
      </c>
      <c r="B759" t="s">
        <v>1339</v>
      </c>
      <c r="C759">
        <v>167559</v>
      </c>
      <c r="D759">
        <v>167559</v>
      </c>
      <c r="H759">
        <v>0</v>
      </c>
      <c r="I759">
        <v>40</v>
      </c>
      <c r="J759">
        <v>10</v>
      </c>
      <c r="K759">
        <v>10</v>
      </c>
      <c r="L759">
        <v>10</v>
      </c>
      <c r="M759">
        <v>70</v>
      </c>
      <c r="S759">
        <f t="shared" si="167"/>
        <v>0</v>
      </c>
      <c r="T759">
        <f t="shared" si="168"/>
        <v>5.833333333333333</v>
      </c>
      <c r="U759">
        <f t="shared" si="166"/>
        <v>1</v>
      </c>
      <c r="V759">
        <f t="shared" si="169"/>
        <v>0</v>
      </c>
      <c r="W759">
        <f t="shared" si="170"/>
        <v>1</v>
      </c>
      <c r="X759">
        <f t="shared" si="179"/>
        <v>0</v>
      </c>
      <c r="Y759">
        <f t="shared" si="180"/>
        <v>0</v>
      </c>
      <c r="Z759">
        <f t="shared" si="171"/>
        <v>0</v>
      </c>
      <c r="AA759">
        <f t="shared" si="172"/>
        <v>0</v>
      </c>
      <c r="AB759">
        <f t="shared" si="173"/>
        <v>0</v>
      </c>
      <c r="AC759">
        <f t="shared" si="174"/>
        <v>0</v>
      </c>
      <c r="AD759" s="1">
        <f t="shared" si="175"/>
        <v>6.666666666666667</v>
      </c>
      <c r="AE759">
        <f t="shared" si="176"/>
        <v>5</v>
      </c>
      <c r="AF759">
        <f t="shared" si="177"/>
        <v>10</v>
      </c>
      <c r="AG759">
        <f t="shared" si="178"/>
        <v>10</v>
      </c>
    </row>
    <row r="760" spans="1:33" x14ac:dyDescent="0.25">
      <c r="A760" t="s">
        <v>1340</v>
      </c>
      <c r="B760" t="s">
        <v>467</v>
      </c>
      <c r="C760">
        <v>168534</v>
      </c>
      <c r="D760">
        <v>168534</v>
      </c>
      <c r="E760">
        <v>0</v>
      </c>
      <c r="F760">
        <v>0</v>
      </c>
      <c r="G760">
        <v>40</v>
      </c>
      <c r="O760">
        <v>40</v>
      </c>
      <c r="S760">
        <f t="shared" si="167"/>
        <v>2.5</v>
      </c>
      <c r="T760">
        <f t="shared" si="168"/>
        <v>0</v>
      </c>
      <c r="U760">
        <f t="shared" si="166"/>
        <v>1</v>
      </c>
      <c r="V760">
        <f t="shared" si="169"/>
        <v>1</v>
      </c>
      <c r="W760">
        <f t="shared" si="170"/>
        <v>0</v>
      </c>
      <c r="X760">
        <f t="shared" si="179"/>
        <v>0</v>
      </c>
      <c r="Y760">
        <f t="shared" si="180"/>
        <v>0</v>
      </c>
      <c r="Z760">
        <f t="shared" si="171"/>
        <v>0</v>
      </c>
      <c r="AA760">
        <f t="shared" si="172"/>
        <v>0</v>
      </c>
      <c r="AB760">
        <f t="shared" si="173"/>
        <v>5.7142857142857144</v>
      </c>
      <c r="AC760">
        <f t="shared" si="174"/>
        <v>0</v>
      </c>
      <c r="AD760" s="1">
        <f t="shared" si="175"/>
        <v>0</v>
      </c>
      <c r="AE760">
        <f t="shared" si="176"/>
        <v>0</v>
      </c>
      <c r="AF760">
        <f t="shared" si="177"/>
        <v>0</v>
      </c>
      <c r="AG760">
        <f t="shared" si="178"/>
        <v>0</v>
      </c>
    </row>
    <row r="761" spans="1:33" x14ac:dyDescent="0.25">
      <c r="A761" t="s">
        <v>1341</v>
      </c>
      <c r="B761" t="s">
        <v>197</v>
      </c>
      <c r="C761">
        <v>163179</v>
      </c>
      <c r="D761">
        <v>163179</v>
      </c>
      <c r="E761">
        <v>30</v>
      </c>
      <c r="F761">
        <v>20</v>
      </c>
      <c r="G761">
        <v>30</v>
      </c>
      <c r="O761">
        <v>80</v>
      </c>
      <c r="S761">
        <f t="shared" si="167"/>
        <v>5</v>
      </c>
      <c r="T761">
        <f t="shared" si="168"/>
        <v>0</v>
      </c>
      <c r="U761">
        <f t="shared" si="166"/>
        <v>1</v>
      </c>
      <c r="V761">
        <f t="shared" si="169"/>
        <v>1</v>
      </c>
      <c r="W761">
        <f t="shared" si="170"/>
        <v>0</v>
      </c>
      <c r="X761">
        <f t="shared" si="179"/>
        <v>0</v>
      </c>
      <c r="Y761">
        <f t="shared" si="180"/>
        <v>0</v>
      </c>
      <c r="Z761">
        <f t="shared" si="171"/>
        <v>6</v>
      </c>
      <c r="AA761">
        <f t="shared" si="172"/>
        <v>5</v>
      </c>
      <c r="AB761">
        <f t="shared" si="173"/>
        <v>4.2857142857142856</v>
      </c>
      <c r="AC761">
        <f t="shared" si="174"/>
        <v>0</v>
      </c>
      <c r="AD761" s="1">
        <f t="shared" si="175"/>
        <v>0</v>
      </c>
      <c r="AE761">
        <f t="shared" si="176"/>
        <v>0</v>
      </c>
      <c r="AF761">
        <f t="shared" si="177"/>
        <v>0</v>
      </c>
      <c r="AG761">
        <f t="shared" si="178"/>
        <v>0</v>
      </c>
    </row>
    <row r="762" spans="1:33" x14ac:dyDescent="0.25">
      <c r="A762" t="s">
        <v>1342</v>
      </c>
      <c r="B762" t="s">
        <v>551</v>
      </c>
      <c r="C762">
        <v>166314</v>
      </c>
      <c r="D762">
        <v>166314</v>
      </c>
      <c r="E762">
        <v>50</v>
      </c>
      <c r="F762">
        <v>30</v>
      </c>
      <c r="G762">
        <v>30</v>
      </c>
      <c r="O762">
        <v>110</v>
      </c>
      <c r="S762">
        <f t="shared" si="167"/>
        <v>6.875</v>
      </c>
      <c r="T762">
        <f t="shared" si="168"/>
        <v>0</v>
      </c>
      <c r="U762">
        <f t="shared" si="166"/>
        <v>1</v>
      </c>
      <c r="V762">
        <f t="shared" si="169"/>
        <v>1</v>
      </c>
      <c r="W762">
        <f t="shared" si="170"/>
        <v>0</v>
      </c>
      <c r="X762">
        <f t="shared" si="179"/>
        <v>1</v>
      </c>
      <c r="Y762">
        <f t="shared" si="180"/>
        <v>0</v>
      </c>
      <c r="Z762">
        <f t="shared" si="171"/>
        <v>10</v>
      </c>
      <c r="AA762">
        <f t="shared" si="172"/>
        <v>7.5</v>
      </c>
      <c r="AB762">
        <f t="shared" si="173"/>
        <v>4.2857142857142856</v>
      </c>
      <c r="AC762">
        <f t="shared" si="174"/>
        <v>0</v>
      </c>
      <c r="AD762" s="1">
        <f t="shared" si="175"/>
        <v>0</v>
      </c>
      <c r="AE762">
        <f t="shared" si="176"/>
        <v>0</v>
      </c>
      <c r="AF762">
        <f t="shared" si="177"/>
        <v>0</v>
      </c>
      <c r="AG762">
        <f t="shared" si="178"/>
        <v>0</v>
      </c>
    </row>
    <row r="763" spans="1:33" x14ac:dyDescent="0.25">
      <c r="A763" t="s">
        <v>1343</v>
      </c>
      <c r="B763" t="s">
        <v>49</v>
      </c>
      <c r="C763">
        <v>167163</v>
      </c>
      <c r="D763">
        <v>167163</v>
      </c>
      <c r="E763">
        <v>30</v>
      </c>
      <c r="F763">
        <v>20</v>
      </c>
      <c r="G763">
        <v>30</v>
      </c>
      <c r="O763">
        <v>80</v>
      </c>
      <c r="S763">
        <f t="shared" si="167"/>
        <v>5</v>
      </c>
      <c r="T763">
        <f t="shared" si="168"/>
        <v>0</v>
      </c>
      <c r="U763">
        <f t="shared" si="166"/>
        <v>1</v>
      </c>
      <c r="V763">
        <f t="shared" si="169"/>
        <v>1</v>
      </c>
      <c r="W763">
        <f t="shared" si="170"/>
        <v>0</v>
      </c>
      <c r="X763">
        <f t="shared" si="179"/>
        <v>0</v>
      </c>
      <c r="Y763">
        <f t="shared" si="180"/>
        <v>0</v>
      </c>
      <c r="Z763">
        <f t="shared" si="171"/>
        <v>6</v>
      </c>
      <c r="AA763">
        <f t="shared" si="172"/>
        <v>5</v>
      </c>
      <c r="AB763">
        <f t="shared" si="173"/>
        <v>4.2857142857142856</v>
      </c>
      <c r="AC763">
        <f t="shared" si="174"/>
        <v>0</v>
      </c>
      <c r="AD763" s="1">
        <f t="shared" si="175"/>
        <v>0</v>
      </c>
      <c r="AE763">
        <f t="shared" si="176"/>
        <v>0</v>
      </c>
      <c r="AF763">
        <f t="shared" si="177"/>
        <v>0</v>
      </c>
      <c r="AG763">
        <f t="shared" si="178"/>
        <v>0</v>
      </c>
    </row>
    <row r="764" spans="1:33" x14ac:dyDescent="0.25">
      <c r="A764" t="s">
        <v>1344</v>
      </c>
      <c r="B764" t="s">
        <v>1345</v>
      </c>
      <c r="C764">
        <v>162721</v>
      </c>
      <c r="D764">
        <v>162721</v>
      </c>
      <c r="S764">
        <f t="shared" si="167"/>
        <v>0</v>
      </c>
      <c r="T764">
        <f t="shared" si="168"/>
        <v>0</v>
      </c>
      <c r="U764">
        <f t="shared" si="166"/>
        <v>0</v>
      </c>
      <c r="V764">
        <f t="shared" si="169"/>
        <v>0</v>
      </c>
      <c r="W764">
        <f t="shared" si="170"/>
        <v>0</v>
      </c>
      <c r="X764">
        <f t="shared" si="179"/>
        <v>0</v>
      </c>
      <c r="Y764">
        <f t="shared" si="180"/>
        <v>0</v>
      </c>
      <c r="Z764">
        <f t="shared" si="171"/>
        <v>0</v>
      </c>
      <c r="AA764">
        <f t="shared" si="172"/>
        <v>0</v>
      </c>
      <c r="AB764">
        <f t="shared" si="173"/>
        <v>0</v>
      </c>
      <c r="AC764">
        <f t="shared" si="174"/>
        <v>0</v>
      </c>
      <c r="AD764" s="1">
        <f t="shared" si="175"/>
        <v>0</v>
      </c>
      <c r="AE764">
        <f t="shared" si="176"/>
        <v>0</v>
      </c>
      <c r="AF764">
        <f t="shared" si="177"/>
        <v>0</v>
      </c>
      <c r="AG764">
        <f t="shared" si="178"/>
        <v>0</v>
      </c>
    </row>
    <row r="765" spans="1:33" x14ac:dyDescent="0.25">
      <c r="A765" t="s">
        <v>1346</v>
      </c>
      <c r="B765" t="s">
        <v>1347</v>
      </c>
      <c r="C765">
        <v>165337</v>
      </c>
      <c r="D765">
        <v>165337</v>
      </c>
      <c r="H765">
        <v>10</v>
      </c>
      <c r="I765">
        <v>50</v>
      </c>
      <c r="J765">
        <v>20</v>
      </c>
      <c r="M765">
        <v>80</v>
      </c>
      <c r="S765">
        <f t="shared" si="167"/>
        <v>0</v>
      </c>
      <c r="T765">
        <f t="shared" si="168"/>
        <v>6.666666666666667</v>
      </c>
      <c r="U765">
        <f t="shared" si="166"/>
        <v>1</v>
      </c>
      <c r="V765">
        <f t="shared" si="169"/>
        <v>0</v>
      </c>
      <c r="W765">
        <f t="shared" si="170"/>
        <v>1</v>
      </c>
      <c r="X765">
        <f t="shared" si="179"/>
        <v>0</v>
      </c>
      <c r="Y765">
        <f t="shared" si="180"/>
        <v>1</v>
      </c>
      <c r="Z765">
        <f t="shared" si="171"/>
        <v>0</v>
      </c>
      <c r="AA765">
        <f t="shared" si="172"/>
        <v>0</v>
      </c>
      <c r="AB765">
        <f t="shared" si="173"/>
        <v>0</v>
      </c>
      <c r="AC765">
        <f t="shared" si="174"/>
        <v>5</v>
      </c>
      <c r="AD765" s="1">
        <f t="shared" si="175"/>
        <v>8.3333333333333339</v>
      </c>
      <c r="AE765">
        <f t="shared" si="176"/>
        <v>10</v>
      </c>
      <c r="AF765">
        <f t="shared" si="177"/>
        <v>0</v>
      </c>
      <c r="AG765">
        <f t="shared" si="178"/>
        <v>0</v>
      </c>
    </row>
    <row r="766" spans="1:33" x14ac:dyDescent="0.25">
      <c r="A766" t="s">
        <v>1348</v>
      </c>
      <c r="B766" t="s">
        <v>727</v>
      </c>
      <c r="C766">
        <v>167478</v>
      </c>
      <c r="D766">
        <v>167478</v>
      </c>
      <c r="E766">
        <v>40</v>
      </c>
      <c r="F766">
        <v>40</v>
      </c>
      <c r="G766">
        <v>30</v>
      </c>
      <c r="O766">
        <v>110</v>
      </c>
      <c r="S766">
        <f t="shared" si="167"/>
        <v>6.875</v>
      </c>
      <c r="T766">
        <f t="shared" si="168"/>
        <v>0</v>
      </c>
      <c r="U766">
        <f t="shared" si="166"/>
        <v>1</v>
      </c>
      <c r="V766">
        <f t="shared" si="169"/>
        <v>1</v>
      </c>
      <c r="W766">
        <f t="shared" si="170"/>
        <v>0</v>
      </c>
      <c r="X766">
        <f t="shared" si="179"/>
        <v>1</v>
      </c>
      <c r="Y766">
        <f t="shared" si="180"/>
        <v>0</v>
      </c>
      <c r="Z766">
        <f t="shared" si="171"/>
        <v>8</v>
      </c>
      <c r="AA766">
        <f t="shared" si="172"/>
        <v>10</v>
      </c>
      <c r="AB766">
        <f t="shared" si="173"/>
        <v>4.2857142857142856</v>
      </c>
      <c r="AC766">
        <f t="shared" si="174"/>
        <v>0</v>
      </c>
      <c r="AD766" s="1">
        <f t="shared" si="175"/>
        <v>0</v>
      </c>
      <c r="AE766">
        <f t="shared" si="176"/>
        <v>0</v>
      </c>
      <c r="AF766">
        <f t="shared" si="177"/>
        <v>0</v>
      </c>
      <c r="AG766">
        <f t="shared" si="178"/>
        <v>0</v>
      </c>
    </row>
    <row r="767" spans="1:33" x14ac:dyDescent="0.25">
      <c r="A767" t="s">
        <v>1349</v>
      </c>
      <c r="B767" t="s">
        <v>1350</v>
      </c>
      <c r="C767">
        <v>168773</v>
      </c>
      <c r="D767">
        <v>168773</v>
      </c>
      <c r="H767">
        <v>0</v>
      </c>
      <c r="I767">
        <v>30</v>
      </c>
      <c r="J767">
        <v>10</v>
      </c>
      <c r="K767">
        <v>10</v>
      </c>
      <c r="L767">
        <v>10</v>
      </c>
      <c r="M767">
        <v>60</v>
      </c>
      <c r="S767">
        <f t="shared" si="167"/>
        <v>0</v>
      </c>
      <c r="T767">
        <f t="shared" si="168"/>
        <v>5</v>
      </c>
      <c r="U767">
        <f t="shared" si="166"/>
        <v>1</v>
      </c>
      <c r="V767">
        <f t="shared" si="169"/>
        <v>0</v>
      </c>
      <c r="W767">
        <f t="shared" si="170"/>
        <v>1</v>
      </c>
      <c r="X767">
        <f t="shared" si="179"/>
        <v>0</v>
      </c>
      <c r="Y767">
        <f t="shared" si="180"/>
        <v>0</v>
      </c>
      <c r="Z767">
        <f t="shared" si="171"/>
        <v>0</v>
      </c>
      <c r="AA767">
        <f t="shared" si="172"/>
        <v>0</v>
      </c>
      <c r="AB767">
        <f t="shared" si="173"/>
        <v>0</v>
      </c>
      <c r="AC767">
        <f t="shared" si="174"/>
        <v>0</v>
      </c>
      <c r="AD767" s="1">
        <f t="shared" si="175"/>
        <v>5</v>
      </c>
      <c r="AE767">
        <f t="shared" si="176"/>
        <v>5</v>
      </c>
      <c r="AF767">
        <f t="shared" si="177"/>
        <v>10</v>
      </c>
      <c r="AG767">
        <f t="shared" si="178"/>
        <v>10</v>
      </c>
    </row>
    <row r="768" spans="1:33" x14ac:dyDescent="0.25">
      <c r="A768" t="s">
        <v>1351</v>
      </c>
      <c r="B768" t="s">
        <v>836</v>
      </c>
      <c r="C768">
        <v>168608</v>
      </c>
      <c r="D768">
        <v>168608</v>
      </c>
      <c r="E768">
        <v>30</v>
      </c>
      <c r="F768">
        <v>0</v>
      </c>
      <c r="G768">
        <v>40</v>
      </c>
      <c r="O768">
        <v>70</v>
      </c>
      <c r="S768">
        <f t="shared" si="167"/>
        <v>4.375</v>
      </c>
      <c r="T768">
        <f t="shared" si="168"/>
        <v>0</v>
      </c>
      <c r="U768">
        <f t="shared" si="166"/>
        <v>1</v>
      </c>
      <c r="V768">
        <f t="shared" si="169"/>
        <v>1</v>
      </c>
      <c r="W768">
        <f t="shared" si="170"/>
        <v>0</v>
      </c>
      <c r="X768">
        <f t="shared" si="179"/>
        <v>0</v>
      </c>
      <c r="Y768">
        <f t="shared" si="180"/>
        <v>0</v>
      </c>
      <c r="Z768">
        <f t="shared" si="171"/>
        <v>6</v>
      </c>
      <c r="AA768">
        <f t="shared" si="172"/>
        <v>0</v>
      </c>
      <c r="AB768">
        <f t="shared" si="173"/>
        <v>5.7142857142857144</v>
      </c>
      <c r="AC768">
        <f t="shared" si="174"/>
        <v>0</v>
      </c>
      <c r="AD768" s="1">
        <f t="shared" si="175"/>
        <v>0</v>
      </c>
      <c r="AE768">
        <f t="shared" si="176"/>
        <v>0</v>
      </c>
      <c r="AF768">
        <f t="shared" si="177"/>
        <v>0</v>
      </c>
      <c r="AG768">
        <f t="shared" si="178"/>
        <v>0</v>
      </c>
    </row>
    <row r="769" spans="1:33" x14ac:dyDescent="0.25">
      <c r="A769" t="s">
        <v>1352</v>
      </c>
      <c r="B769" t="s">
        <v>340</v>
      </c>
      <c r="C769">
        <v>168880</v>
      </c>
      <c r="D769">
        <v>168880</v>
      </c>
      <c r="H769">
        <v>20</v>
      </c>
      <c r="I769">
        <v>20</v>
      </c>
      <c r="J769">
        <v>10</v>
      </c>
      <c r="K769">
        <v>10</v>
      </c>
      <c r="L769">
        <v>10</v>
      </c>
      <c r="M769">
        <v>70</v>
      </c>
      <c r="S769">
        <f t="shared" si="167"/>
        <v>0</v>
      </c>
      <c r="T769">
        <f t="shared" si="168"/>
        <v>5.833333333333333</v>
      </c>
      <c r="U769">
        <f t="shared" si="166"/>
        <v>1</v>
      </c>
      <c r="V769">
        <f t="shared" si="169"/>
        <v>0</v>
      </c>
      <c r="W769">
        <f t="shared" si="170"/>
        <v>1</v>
      </c>
      <c r="X769">
        <f t="shared" si="179"/>
        <v>0</v>
      </c>
      <c r="Y769">
        <f t="shared" si="180"/>
        <v>0</v>
      </c>
      <c r="Z769">
        <f t="shared" si="171"/>
        <v>0</v>
      </c>
      <c r="AA769">
        <f t="shared" si="172"/>
        <v>0</v>
      </c>
      <c r="AB769">
        <f t="shared" si="173"/>
        <v>0</v>
      </c>
      <c r="AC769">
        <f t="shared" si="174"/>
        <v>10</v>
      </c>
      <c r="AD769" s="1">
        <f t="shared" si="175"/>
        <v>3.3333333333333335</v>
      </c>
      <c r="AE769">
        <f t="shared" si="176"/>
        <v>5</v>
      </c>
      <c r="AF769">
        <f t="shared" si="177"/>
        <v>10</v>
      </c>
      <c r="AG769">
        <f t="shared" si="178"/>
        <v>10</v>
      </c>
    </row>
    <row r="770" spans="1:33" x14ac:dyDescent="0.25">
      <c r="A770" t="s">
        <v>1353</v>
      </c>
      <c r="B770" t="s">
        <v>124</v>
      </c>
      <c r="C770">
        <v>168800</v>
      </c>
      <c r="D770">
        <v>168800</v>
      </c>
      <c r="E770">
        <v>40</v>
      </c>
      <c r="F770">
        <v>10</v>
      </c>
      <c r="G770">
        <v>20</v>
      </c>
      <c r="O770">
        <v>70</v>
      </c>
      <c r="S770">
        <f t="shared" si="167"/>
        <v>4.375</v>
      </c>
      <c r="T770">
        <f t="shared" si="168"/>
        <v>0</v>
      </c>
      <c r="U770">
        <f t="shared" ref="U770:U833" si="181">IF(AND(E770="",F770="",G770="",H770="",I770="",J770="",K770="",L770="",M770=""),0,1)</f>
        <v>1</v>
      </c>
      <c r="V770">
        <f t="shared" si="169"/>
        <v>1</v>
      </c>
      <c r="W770">
        <f t="shared" si="170"/>
        <v>0</v>
      </c>
      <c r="X770">
        <f t="shared" si="179"/>
        <v>0</v>
      </c>
      <c r="Y770">
        <f t="shared" si="180"/>
        <v>0</v>
      </c>
      <c r="Z770">
        <f t="shared" si="171"/>
        <v>8</v>
      </c>
      <c r="AA770">
        <f t="shared" si="172"/>
        <v>2.5</v>
      </c>
      <c r="AB770">
        <f t="shared" si="173"/>
        <v>2.8571428571428572</v>
      </c>
      <c r="AC770">
        <f t="shared" si="174"/>
        <v>0</v>
      </c>
      <c r="AD770" s="1">
        <f t="shared" si="175"/>
        <v>0</v>
      </c>
      <c r="AE770">
        <f t="shared" si="176"/>
        <v>0</v>
      </c>
      <c r="AF770">
        <f t="shared" si="177"/>
        <v>0</v>
      </c>
      <c r="AG770">
        <f t="shared" si="178"/>
        <v>0</v>
      </c>
    </row>
    <row r="771" spans="1:33" x14ac:dyDescent="0.25">
      <c r="A771" t="s">
        <v>1354</v>
      </c>
      <c r="B771" t="s">
        <v>350</v>
      </c>
      <c r="C771">
        <v>168459</v>
      </c>
      <c r="D771">
        <v>168459</v>
      </c>
      <c r="E771">
        <v>40</v>
      </c>
      <c r="F771">
        <v>30</v>
      </c>
      <c r="G771">
        <v>40</v>
      </c>
      <c r="O771">
        <v>110</v>
      </c>
      <c r="S771">
        <f t="shared" ref="S771:S834" si="182">O771/16</f>
        <v>6.875</v>
      </c>
      <c r="T771">
        <f t="shared" ref="T771:T834" si="183">M771/12</f>
        <v>0</v>
      </c>
      <c r="U771">
        <f t="shared" si="181"/>
        <v>1</v>
      </c>
      <c r="V771">
        <f t="shared" ref="V771:V834" si="184">IF(O771="",0,1)</f>
        <v>1</v>
      </c>
      <c r="W771">
        <f t="shared" ref="W771:W834" si="185">IF(M771="",0,1)</f>
        <v>0</v>
      </c>
      <c r="X771">
        <f t="shared" si="179"/>
        <v>1</v>
      </c>
      <c r="Y771">
        <f t="shared" si="180"/>
        <v>0</v>
      </c>
      <c r="Z771">
        <f t="shared" ref="Z771:Z834" si="186">E771/5</f>
        <v>8</v>
      </c>
      <c r="AA771">
        <f t="shared" ref="AA771:AA834" si="187">F771/4</f>
        <v>7.5</v>
      </c>
      <c r="AB771">
        <f t="shared" ref="AB771:AB834" si="188">G771/7</f>
        <v>5.7142857142857144</v>
      </c>
      <c r="AC771">
        <f t="shared" ref="AC771:AC834" si="189">H771/2</f>
        <v>0</v>
      </c>
      <c r="AD771" s="1">
        <f t="shared" ref="AD771:AD834" si="190">I771/6</f>
        <v>0</v>
      </c>
      <c r="AE771">
        <f t="shared" ref="AE771:AE834" si="191">J771/2</f>
        <v>0</v>
      </c>
      <c r="AF771">
        <f t="shared" ref="AF771:AF834" si="192">K771</f>
        <v>0</v>
      </c>
      <c r="AG771">
        <f t="shared" ref="AF771:AG834" si="193">L771</f>
        <v>0</v>
      </c>
    </row>
    <row r="772" spans="1:33" x14ac:dyDescent="0.25">
      <c r="A772" t="s">
        <v>1355</v>
      </c>
      <c r="B772" t="s">
        <v>486</v>
      </c>
      <c r="C772">
        <v>159745</v>
      </c>
      <c r="D772">
        <v>159745</v>
      </c>
      <c r="E772">
        <v>40</v>
      </c>
      <c r="F772">
        <v>10</v>
      </c>
      <c r="G772">
        <v>10</v>
      </c>
      <c r="O772">
        <v>60</v>
      </c>
      <c r="S772">
        <f t="shared" si="182"/>
        <v>3.75</v>
      </c>
      <c r="T772">
        <f t="shared" si="183"/>
        <v>0</v>
      </c>
      <c r="U772">
        <f t="shared" si="181"/>
        <v>1</v>
      </c>
      <c r="V772">
        <f t="shared" si="184"/>
        <v>1</v>
      </c>
      <c r="W772">
        <f t="shared" si="185"/>
        <v>0</v>
      </c>
      <c r="X772">
        <f t="shared" si="179"/>
        <v>0</v>
      </c>
      <c r="Y772">
        <f t="shared" si="180"/>
        <v>0</v>
      </c>
      <c r="Z772">
        <f t="shared" si="186"/>
        <v>8</v>
      </c>
      <c r="AA772">
        <f t="shared" si="187"/>
        <v>2.5</v>
      </c>
      <c r="AB772">
        <f t="shared" si="188"/>
        <v>1.4285714285714286</v>
      </c>
      <c r="AC772">
        <f t="shared" si="189"/>
        <v>0</v>
      </c>
      <c r="AD772" s="1">
        <f t="shared" si="190"/>
        <v>0</v>
      </c>
      <c r="AE772">
        <f t="shared" si="191"/>
        <v>0</v>
      </c>
      <c r="AF772">
        <f t="shared" si="192"/>
        <v>0</v>
      </c>
      <c r="AG772">
        <f t="shared" si="193"/>
        <v>0</v>
      </c>
    </row>
    <row r="773" spans="1:33" x14ac:dyDescent="0.25">
      <c r="A773" t="s">
        <v>1356</v>
      </c>
      <c r="B773" t="s">
        <v>1357</v>
      </c>
      <c r="C773">
        <v>167250</v>
      </c>
      <c r="D773">
        <v>167250</v>
      </c>
      <c r="E773">
        <v>30</v>
      </c>
      <c r="F773">
        <v>20</v>
      </c>
      <c r="G773">
        <v>50</v>
      </c>
      <c r="O773">
        <v>100</v>
      </c>
      <c r="S773">
        <f t="shared" si="182"/>
        <v>6.25</v>
      </c>
      <c r="T773">
        <f t="shared" si="183"/>
        <v>0</v>
      </c>
      <c r="U773">
        <f t="shared" si="181"/>
        <v>1</v>
      </c>
      <c r="V773">
        <f t="shared" si="184"/>
        <v>1</v>
      </c>
      <c r="W773">
        <f t="shared" si="185"/>
        <v>0</v>
      </c>
      <c r="X773">
        <f t="shared" ref="X773:X836" si="194">IF(AND(V773=1,S773&gt;6),1,0)</f>
        <v>1</v>
      </c>
      <c r="Y773">
        <f t="shared" ref="Y773:Y836" si="195">IF(AND(W773=1,T773&gt;6),1,0)</f>
        <v>0</v>
      </c>
      <c r="Z773">
        <f t="shared" si="186"/>
        <v>6</v>
      </c>
      <c r="AA773">
        <f t="shared" si="187"/>
        <v>5</v>
      </c>
      <c r="AB773">
        <f t="shared" si="188"/>
        <v>7.1428571428571432</v>
      </c>
      <c r="AC773">
        <f t="shared" si="189"/>
        <v>0</v>
      </c>
      <c r="AD773" s="1">
        <f t="shared" si="190"/>
        <v>0</v>
      </c>
      <c r="AE773">
        <f t="shared" si="191"/>
        <v>0</v>
      </c>
      <c r="AF773">
        <f t="shared" si="192"/>
        <v>0</v>
      </c>
      <c r="AG773">
        <f t="shared" si="193"/>
        <v>0</v>
      </c>
    </row>
    <row r="774" spans="1:33" x14ac:dyDescent="0.25">
      <c r="A774" t="s">
        <v>1356</v>
      </c>
      <c r="B774" t="s">
        <v>1358</v>
      </c>
      <c r="C774">
        <v>168696</v>
      </c>
      <c r="D774">
        <v>168696</v>
      </c>
      <c r="E774">
        <v>20</v>
      </c>
      <c r="F774">
        <v>0</v>
      </c>
      <c r="O774">
        <v>20</v>
      </c>
      <c r="R774" t="s">
        <v>20</v>
      </c>
      <c r="S774">
        <f t="shared" si="182"/>
        <v>1.25</v>
      </c>
      <c r="T774">
        <f t="shared" si="183"/>
        <v>0</v>
      </c>
      <c r="U774">
        <f t="shared" si="181"/>
        <v>1</v>
      </c>
      <c r="V774">
        <f t="shared" si="184"/>
        <v>1</v>
      </c>
      <c r="W774">
        <f t="shared" si="185"/>
        <v>0</v>
      </c>
      <c r="X774">
        <f t="shared" si="194"/>
        <v>0</v>
      </c>
      <c r="Y774">
        <f t="shared" si="195"/>
        <v>0</v>
      </c>
      <c r="Z774">
        <f t="shared" si="186"/>
        <v>4</v>
      </c>
      <c r="AA774">
        <f t="shared" si="187"/>
        <v>0</v>
      </c>
      <c r="AB774">
        <f t="shared" si="188"/>
        <v>0</v>
      </c>
      <c r="AC774">
        <f t="shared" si="189"/>
        <v>0</v>
      </c>
      <c r="AD774" s="1">
        <f t="shared" si="190"/>
        <v>0</v>
      </c>
      <c r="AE774">
        <f t="shared" si="191"/>
        <v>0</v>
      </c>
      <c r="AF774">
        <f t="shared" si="192"/>
        <v>0</v>
      </c>
      <c r="AG774">
        <f t="shared" si="193"/>
        <v>0</v>
      </c>
    </row>
    <row r="775" spans="1:33" x14ac:dyDescent="0.25">
      <c r="A775" t="s">
        <v>1359</v>
      </c>
      <c r="B775" t="s">
        <v>1360</v>
      </c>
      <c r="C775">
        <v>168278</v>
      </c>
      <c r="D775">
        <v>168278</v>
      </c>
      <c r="E775">
        <v>30</v>
      </c>
      <c r="F775">
        <v>10</v>
      </c>
      <c r="G775">
        <v>30</v>
      </c>
      <c r="O775">
        <v>70</v>
      </c>
      <c r="S775">
        <f t="shared" si="182"/>
        <v>4.375</v>
      </c>
      <c r="T775">
        <f t="shared" si="183"/>
        <v>0</v>
      </c>
      <c r="U775">
        <f t="shared" si="181"/>
        <v>1</v>
      </c>
      <c r="V775">
        <f t="shared" si="184"/>
        <v>1</v>
      </c>
      <c r="W775">
        <f t="shared" si="185"/>
        <v>0</v>
      </c>
      <c r="X775">
        <f t="shared" si="194"/>
        <v>0</v>
      </c>
      <c r="Y775">
        <f t="shared" si="195"/>
        <v>0</v>
      </c>
      <c r="Z775">
        <f t="shared" si="186"/>
        <v>6</v>
      </c>
      <c r="AA775">
        <f t="shared" si="187"/>
        <v>2.5</v>
      </c>
      <c r="AB775">
        <f t="shared" si="188"/>
        <v>4.2857142857142856</v>
      </c>
      <c r="AC775">
        <f t="shared" si="189"/>
        <v>0</v>
      </c>
      <c r="AD775" s="1">
        <f t="shared" si="190"/>
        <v>0</v>
      </c>
      <c r="AE775">
        <f t="shared" si="191"/>
        <v>0</v>
      </c>
      <c r="AF775">
        <f t="shared" si="192"/>
        <v>0</v>
      </c>
      <c r="AG775">
        <f t="shared" si="193"/>
        <v>0</v>
      </c>
    </row>
    <row r="776" spans="1:33" x14ac:dyDescent="0.25">
      <c r="A776" t="s">
        <v>1361</v>
      </c>
      <c r="B776" t="s">
        <v>418</v>
      </c>
      <c r="C776">
        <v>167292</v>
      </c>
      <c r="D776">
        <v>167292</v>
      </c>
      <c r="E776">
        <v>10</v>
      </c>
      <c r="F776">
        <v>10</v>
      </c>
      <c r="G776">
        <v>10</v>
      </c>
      <c r="O776">
        <v>30</v>
      </c>
      <c r="S776">
        <f t="shared" si="182"/>
        <v>1.875</v>
      </c>
      <c r="T776">
        <f t="shared" si="183"/>
        <v>0</v>
      </c>
      <c r="U776">
        <f t="shared" si="181"/>
        <v>1</v>
      </c>
      <c r="V776">
        <f t="shared" si="184"/>
        <v>1</v>
      </c>
      <c r="W776">
        <f t="shared" si="185"/>
        <v>0</v>
      </c>
      <c r="X776">
        <f t="shared" si="194"/>
        <v>0</v>
      </c>
      <c r="Y776">
        <f t="shared" si="195"/>
        <v>0</v>
      </c>
      <c r="Z776">
        <f t="shared" si="186"/>
        <v>2</v>
      </c>
      <c r="AA776">
        <f t="shared" si="187"/>
        <v>2.5</v>
      </c>
      <c r="AB776">
        <f t="shared" si="188"/>
        <v>1.4285714285714286</v>
      </c>
      <c r="AC776">
        <f t="shared" si="189"/>
        <v>0</v>
      </c>
      <c r="AD776" s="1">
        <f t="shared" si="190"/>
        <v>0</v>
      </c>
      <c r="AE776">
        <f t="shared" si="191"/>
        <v>0</v>
      </c>
      <c r="AF776">
        <f t="shared" si="192"/>
        <v>0</v>
      </c>
      <c r="AG776">
        <f t="shared" si="193"/>
        <v>0</v>
      </c>
    </row>
    <row r="777" spans="1:33" x14ac:dyDescent="0.25">
      <c r="A777" t="s">
        <v>1361</v>
      </c>
      <c r="B777" t="s">
        <v>1362</v>
      </c>
      <c r="C777">
        <v>166437</v>
      </c>
      <c r="D777">
        <v>166437</v>
      </c>
      <c r="H777">
        <v>20</v>
      </c>
      <c r="I777">
        <v>40</v>
      </c>
      <c r="J777">
        <v>10</v>
      </c>
      <c r="K777">
        <v>10</v>
      </c>
      <c r="L777">
        <v>0</v>
      </c>
      <c r="M777">
        <v>80</v>
      </c>
      <c r="S777">
        <f t="shared" si="182"/>
        <v>0</v>
      </c>
      <c r="T777">
        <f t="shared" si="183"/>
        <v>6.666666666666667</v>
      </c>
      <c r="U777">
        <f t="shared" si="181"/>
        <v>1</v>
      </c>
      <c r="V777">
        <f t="shared" si="184"/>
        <v>0</v>
      </c>
      <c r="W777">
        <f t="shared" si="185"/>
        <v>1</v>
      </c>
      <c r="X777">
        <f t="shared" si="194"/>
        <v>0</v>
      </c>
      <c r="Y777">
        <f t="shared" si="195"/>
        <v>1</v>
      </c>
      <c r="Z777">
        <f t="shared" si="186"/>
        <v>0</v>
      </c>
      <c r="AA777">
        <f t="shared" si="187"/>
        <v>0</v>
      </c>
      <c r="AB777">
        <f t="shared" si="188"/>
        <v>0</v>
      </c>
      <c r="AC777">
        <f t="shared" si="189"/>
        <v>10</v>
      </c>
      <c r="AD777" s="1">
        <f t="shared" si="190"/>
        <v>6.666666666666667</v>
      </c>
      <c r="AE777">
        <f t="shared" si="191"/>
        <v>5</v>
      </c>
      <c r="AF777">
        <f t="shared" si="192"/>
        <v>10</v>
      </c>
      <c r="AG777">
        <f t="shared" si="193"/>
        <v>0</v>
      </c>
    </row>
    <row r="778" spans="1:33" x14ac:dyDescent="0.25">
      <c r="A778" t="s">
        <v>1363</v>
      </c>
      <c r="B778" t="s">
        <v>49</v>
      </c>
      <c r="C778">
        <v>167273</v>
      </c>
      <c r="D778">
        <v>167273</v>
      </c>
      <c r="H778">
        <v>0</v>
      </c>
      <c r="J778">
        <v>20</v>
      </c>
      <c r="M778">
        <v>20</v>
      </c>
      <c r="S778">
        <f t="shared" si="182"/>
        <v>0</v>
      </c>
      <c r="T778">
        <f t="shared" si="183"/>
        <v>1.6666666666666667</v>
      </c>
      <c r="U778">
        <f t="shared" si="181"/>
        <v>1</v>
      </c>
      <c r="V778">
        <f t="shared" si="184"/>
        <v>0</v>
      </c>
      <c r="W778">
        <f t="shared" si="185"/>
        <v>1</v>
      </c>
      <c r="X778">
        <f t="shared" si="194"/>
        <v>0</v>
      </c>
      <c r="Y778">
        <f t="shared" si="195"/>
        <v>0</v>
      </c>
      <c r="Z778">
        <f t="shared" si="186"/>
        <v>0</v>
      </c>
      <c r="AA778">
        <f t="shared" si="187"/>
        <v>0</v>
      </c>
      <c r="AB778">
        <f t="shared" si="188"/>
        <v>0</v>
      </c>
      <c r="AC778">
        <f t="shared" si="189"/>
        <v>0</v>
      </c>
      <c r="AD778" s="1">
        <f t="shared" si="190"/>
        <v>0</v>
      </c>
      <c r="AE778">
        <f t="shared" si="191"/>
        <v>10</v>
      </c>
      <c r="AF778">
        <f t="shared" si="192"/>
        <v>0</v>
      </c>
      <c r="AG778">
        <f t="shared" si="193"/>
        <v>0</v>
      </c>
    </row>
    <row r="779" spans="1:33" x14ac:dyDescent="0.25">
      <c r="A779" t="s">
        <v>1364</v>
      </c>
      <c r="B779" t="s">
        <v>404</v>
      </c>
      <c r="C779">
        <v>168536</v>
      </c>
      <c r="D779">
        <v>168536</v>
      </c>
      <c r="H779">
        <v>0</v>
      </c>
      <c r="I779">
        <v>20</v>
      </c>
      <c r="J779">
        <v>10</v>
      </c>
      <c r="K779">
        <v>0</v>
      </c>
      <c r="L779">
        <v>0</v>
      </c>
      <c r="M779">
        <v>30</v>
      </c>
      <c r="S779">
        <f t="shared" si="182"/>
        <v>0</v>
      </c>
      <c r="T779">
        <f t="shared" si="183"/>
        <v>2.5</v>
      </c>
      <c r="U779">
        <f t="shared" si="181"/>
        <v>1</v>
      </c>
      <c r="V779">
        <f t="shared" si="184"/>
        <v>0</v>
      </c>
      <c r="W779">
        <f t="shared" si="185"/>
        <v>1</v>
      </c>
      <c r="X779">
        <f t="shared" si="194"/>
        <v>0</v>
      </c>
      <c r="Y779">
        <f t="shared" si="195"/>
        <v>0</v>
      </c>
      <c r="Z779">
        <f t="shared" si="186"/>
        <v>0</v>
      </c>
      <c r="AA779">
        <f t="shared" si="187"/>
        <v>0</v>
      </c>
      <c r="AB779">
        <f t="shared" si="188"/>
        <v>0</v>
      </c>
      <c r="AC779">
        <f t="shared" si="189"/>
        <v>0</v>
      </c>
      <c r="AD779" s="1">
        <f t="shared" si="190"/>
        <v>3.3333333333333335</v>
      </c>
      <c r="AE779">
        <f t="shared" si="191"/>
        <v>5</v>
      </c>
      <c r="AF779">
        <f t="shared" si="192"/>
        <v>0</v>
      </c>
      <c r="AG779">
        <f t="shared" si="193"/>
        <v>0</v>
      </c>
    </row>
    <row r="780" spans="1:33" x14ac:dyDescent="0.25">
      <c r="A780" t="s">
        <v>1365</v>
      </c>
      <c r="B780" t="s">
        <v>326</v>
      </c>
      <c r="C780">
        <v>166266</v>
      </c>
      <c r="D780">
        <v>166266</v>
      </c>
      <c r="E780">
        <v>30</v>
      </c>
      <c r="F780">
        <v>10</v>
      </c>
      <c r="G780">
        <v>30</v>
      </c>
      <c r="O780">
        <v>70</v>
      </c>
      <c r="S780">
        <f t="shared" si="182"/>
        <v>4.375</v>
      </c>
      <c r="T780">
        <f t="shared" si="183"/>
        <v>0</v>
      </c>
      <c r="U780">
        <f t="shared" si="181"/>
        <v>1</v>
      </c>
      <c r="V780">
        <f t="shared" si="184"/>
        <v>1</v>
      </c>
      <c r="W780">
        <f t="shared" si="185"/>
        <v>0</v>
      </c>
      <c r="X780">
        <f t="shared" si="194"/>
        <v>0</v>
      </c>
      <c r="Y780">
        <f t="shared" si="195"/>
        <v>0</v>
      </c>
      <c r="Z780">
        <f t="shared" si="186"/>
        <v>6</v>
      </c>
      <c r="AA780">
        <f t="shared" si="187"/>
        <v>2.5</v>
      </c>
      <c r="AB780">
        <f t="shared" si="188"/>
        <v>4.2857142857142856</v>
      </c>
      <c r="AC780">
        <f t="shared" si="189"/>
        <v>0</v>
      </c>
      <c r="AD780" s="1">
        <f t="shared" si="190"/>
        <v>0</v>
      </c>
      <c r="AE780">
        <f t="shared" si="191"/>
        <v>0</v>
      </c>
      <c r="AF780">
        <f t="shared" si="192"/>
        <v>0</v>
      </c>
      <c r="AG780">
        <f t="shared" si="193"/>
        <v>0</v>
      </c>
    </row>
    <row r="781" spans="1:33" x14ac:dyDescent="0.25">
      <c r="A781" t="s">
        <v>1366</v>
      </c>
      <c r="B781" t="s">
        <v>83</v>
      </c>
      <c r="C781">
        <v>165503</v>
      </c>
      <c r="D781">
        <v>165503</v>
      </c>
      <c r="S781">
        <f t="shared" si="182"/>
        <v>0</v>
      </c>
      <c r="T781">
        <f t="shared" si="183"/>
        <v>0</v>
      </c>
      <c r="U781">
        <f t="shared" si="181"/>
        <v>0</v>
      </c>
      <c r="V781">
        <f t="shared" si="184"/>
        <v>0</v>
      </c>
      <c r="W781">
        <f t="shared" si="185"/>
        <v>0</v>
      </c>
      <c r="X781">
        <f t="shared" si="194"/>
        <v>0</v>
      </c>
      <c r="Y781">
        <f t="shared" si="195"/>
        <v>0</v>
      </c>
      <c r="Z781">
        <f t="shared" si="186"/>
        <v>0</v>
      </c>
      <c r="AA781">
        <f t="shared" si="187"/>
        <v>0</v>
      </c>
      <c r="AB781">
        <f t="shared" si="188"/>
        <v>0</v>
      </c>
      <c r="AC781">
        <f t="shared" si="189"/>
        <v>0</v>
      </c>
      <c r="AD781" s="1">
        <f t="shared" si="190"/>
        <v>0</v>
      </c>
      <c r="AE781">
        <f t="shared" si="191"/>
        <v>0</v>
      </c>
      <c r="AF781">
        <f t="shared" si="192"/>
        <v>0</v>
      </c>
      <c r="AG781">
        <f t="shared" si="193"/>
        <v>0</v>
      </c>
    </row>
    <row r="782" spans="1:33" x14ac:dyDescent="0.25">
      <c r="A782" t="s">
        <v>1367</v>
      </c>
      <c r="B782" t="s">
        <v>1368</v>
      </c>
      <c r="C782">
        <v>168131</v>
      </c>
      <c r="D782">
        <v>168131</v>
      </c>
      <c r="E782">
        <v>20</v>
      </c>
      <c r="F782">
        <v>30</v>
      </c>
      <c r="G782">
        <v>60</v>
      </c>
      <c r="O782">
        <v>110</v>
      </c>
      <c r="S782">
        <f t="shared" si="182"/>
        <v>6.875</v>
      </c>
      <c r="T782">
        <f t="shared" si="183"/>
        <v>0</v>
      </c>
      <c r="U782">
        <f t="shared" si="181"/>
        <v>1</v>
      </c>
      <c r="V782">
        <f t="shared" si="184"/>
        <v>1</v>
      </c>
      <c r="W782">
        <f t="shared" si="185"/>
        <v>0</v>
      </c>
      <c r="X782">
        <f t="shared" si="194"/>
        <v>1</v>
      </c>
      <c r="Y782">
        <f t="shared" si="195"/>
        <v>0</v>
      </c>
      <c r="Z782">
        <f t="shared" si="186"/>
        <v>4</v>
      </c>
      <c r="AA782">
        <f t="shared" si="187"/>
        <v>7.5</v>
      </c>
      <c r="AB782">
        <f t="shared" si="188"/>
        <v>8.5714285714285712</v>
      </c>
      <c r="AC782">
        <f t="shared" si="189"/>
        <v>0</v>
      </c>
      <c r="AD782" s="1">
        <f t="shared" si="190"/>
        <v>0</v>
      </c>
      <c r="AE782">
        <f t="shared" si="191"/>
        <v>0</v>
      </c>
      <c r="AF782">
        <f t="shared" si="192"/>
        <v>0</v>
      </c>
      <c r="AG782">
        <f t="shared" si="193"/>
        <v>0</v>
      </c>
    </row>
    <row r="783" spans="1:33" x14ac:dyDescent="0.25">
      <c r="A783" t="s">
        <v>1369</v>
      </c>
      <c r="B783" t="s">
        <v>49</v>
      </c>
      <c r="C783">
        <v>166964</v>
      </c>
      <c r="D783">
        <v>166964</v>
      </c>
      <c r="H783">
        <v>0</v>
      </c>
      <c r="I783">
        <v>20</v>
      </c>
      <c r="J783">
        <v>10</v>
      </c>
      <c r="K783">
        <v>0</v>
      </c>
      <c r="L783">
        <v>10</v>
      </c>
      <c r="M783">
        <v>40</v>
      </c>
      <c r="S783">
        <f t="shared" si="182"/>
        <v>0</v>
      </c>
      <c r="T783">
        <f t="shared" si="183"/>
        <v>3.3333333333333335</v>
      </c>
      <c r="U783">
        <f t="shared" si="181"/>
        <v>1</v>
      </c>
      <c r="V783">
        <f t="shared" si="184"/>
        <v>0</v>
      </c>
      <c r="W783">
        <f t="shared" si="185"/>
        <v>1</v>
      </c>
      <c r="X783">
        <f t="shared" si="194"/>
        <v>0</v>
      </c>
      <c r="Y783">
        <f t="shared" si="195"/>
        <v>0</v>
      </c>
      <c r="Z783">
        <f t="shared" si="186"/>
        <v>0</v>
      </c>
      <c r="AA783">
        <f t="shared" si="187"/>
        <v>0</v>
      </c>
      <c r="AB783">
        <f t="shared" si="188"/>
        <v>0</v>
      </c>
      <c r="AC783">
        <f t="shared" si="189"/>
        <v>0</v>
      </c>
      <c r="AD783" s="1">
        <f t="shared" si="190"/>
        <v>3.3333333333333335</v>
      </c>
      <c r="AE783">
        <f t="shared" si="191"/>
        <v>5</v>
      </c>
      <c r="AF783">
        <f t="shared" si="192"/>
        <v>0</v>
      </c>
      <c r="AG783">
        <f t="shared" si="193"/>
        <v>10</v>
      </c>
    </row>
    <row r="784" spans="1:33" x14ac:dyDescent="0.25">
      <c r="A784" t="s">
        <v>1370</v>
      </c>
      <c r="B784" t="s">
        <v>590</v>
      </c>
      <c r="C784">
        <v>166139</v>
      </c>
      <c r="D784">
        <v>166139</v>
      </c>
      <c r="H784">
        <v>0</v>
      </c>
      <c r="I784">
        <v>50</v>
      </c>
      <c r="J784">
        <v>20</v>
      </c>
      <c r="K784">
        <v>0</v>
      </c>
      <c r="L784">
        <v>0</v>
      </c>
      <c r="M784">
        <v>70</v>
      </c>
      <c r="S784">
        <f t="shared" si="182"/>
        <v>0</v>
      </c>
      <c r="T784">
        <f t="shared" si="183"/>
        <v>5.833333333333333</v>
      </c>
      <c r="U784">
        <f t="shared" si="181"/>
        <v>1</v>
      </c>
      <c r="V784">
        <f t="shared" si="184"/>
        <v>0</v>
      </c>
      <c r="W784">
        <f t="shared" si="185"/>
        <v>1</v>
      </c>
      <c r="X784">
        <f t="shared" si="194"/>
        <v>0</v>
      </c>
      <c r="Y784">
        <f t="shared" si="195"/>
        <v>0</v>
      </c>
      <c r="Z784">
        <f t="shared" si="186"/>
        <v>0</v>
      </c>
      <c r="AA784">
        <f t="shared" si="187"/>
        <v>0</v>
      </c>
      <c r="AB784">
        <f t="shared" si="188"/>
        <v>0</v>
      </c>
      <c r="AC784">
        <f t="shared" si="189"/>
        <v>0</v>
      </c>
      <c r="AD784" s="1">
        <f t="shared" si="190"/>
        <v>8.3333333333333339</v>
      </c>
      <c r="AE784">
        <f t="shared" si="191"/>
        <v>10</v>
      </c>
      <c r="AF784">
        <f t="shared" si="192"/>
        <v>0</v>
      </c>
      <c r="AG784">
        <f t="shared" si="193"/>
        <v>0</v>
      </c>
    </row>
    <row r="785" spans="1:33" x14ac:dyDescent="0.25">
      <c r="A785" t="s">
        <v>1371</v>
      </c>
      <c r="B785" t="s">
        <v>166</v>
      </c>
      <c r="C785">
        <v>168468</v>
      </c>
      <c r="D785">
        <v>168468</v>
      </c>
      <c r="H785">
        <v>20</v>
      </c>
      <c r="I785">
        <v>30</v>
      </c>
      <c r="J785">
        <v>0</v>
      </c>
      <c r="K785">
        <v>10</v>
      </c>
      <c r="L785">
        <v>0</v>
      </c>
      <c r="M785">
        <v>60</v>
      </c>
      <c r="S785">
        <f t="shared" si="182"/>
        <v>0</v>
      </c>
      <c r="T785">
        <f t="shared" si="183"/>
        <v>5</v>
      </c>
      <c r="U785">
        <f t="shared" si="181"/>
        <v>1</v>
      </c>
      <c r="V785">
        <f t="shared" si="184"/>
        <v>0</v>
      </c>
      <c r="W785">
        <f t="shared" si="185"/>
        <v>1</v>
      </c>
      <c r="X785">
        <f t="shared" si="194"/>
        <v>0</v>
      </c>
      <c r="Y785">
        <f t="shared" si="195"/>
        <v>0</v>
      </c>
      <c r="Z785">
        <f t="shared" si="186"/>
        <v>0</v>
      </c>
      <c r="AA785">
        <f t="shared" si="187"/>
        <v>0</v>
      </c>
      <c r="AB785">
        <f t="shared" si="188"/>
        <v>0</v>
      </c>
      <c r="AC785">
        <f t="shared" si="189"/>
        <v>10</v>
      </c>
      <c r="AD785" s="1">
        <f t="shared" si="190"/>
        <v>5</v>
      </c>
      <c r="AE785">
        <f t="shared" si="191"/>
        <v>0</v>
      </c>
      <c r="AF785">
        <f t="shared" si="192"/>
        <v>10</v>
      </c>
      <c r="AG785">
        <f t="shared" si="193"/>
        <v>0</v>
      </c>
    </row>
    <row r="786" spans="1:33" x14ac:dyDescent="0.25">
      <c r="A786" t="s">
        <v>1372</v>
      </c>
      <c r="B786" t="s">
        <v>1373</v>
      </c>
      <c r="C786">
        <v>167871</v>
      </c>
      <c r="D786">
        <v>167871</v>
      </c>
      <c r="H786">
        <v>0</v>
      </c>
      <c r="I786">
        <v>20</v>
      </c>
      <c r="J786">
        <v>20</v>
      </c>
      <c r="K786">
        <v>0</v>
      </c>
      <c r="L786">
        <v>0</v>
      </c>
      <c r="M786">
        <v>40</v>
      </c>
      <c r="S786">
        <f t="shared" si="182"/>
        <v>0</v>
      </c>
      <c r="T786">
        <f t="shared" si="183"/>
        <v>3.3333333333333335</v>
      </c>
      <c r="U786">
        <f t="shared" si="181"/>
        <v>1</v>
      </c>
      <c r="V786">
        <f t="shared" si="184"/>
        <v>0</v>
      </c>
      <c r="W786">
        <f t="shared" si="185"/>
        <v>1</v>
      </c>
      <c r="X786">
        <f t="shared" si="194"/>
        <v>0</v>
      </c>
      <c r="Y786">
        <f t="shared" si="195"/>
        <v>0</v>
      </c>
      <c r="Z786">
        <f t="shared" si="186"/>
        <v>0</v>
      </c>
      <c r="AA786">
        <f t="shared" si="187"/>
        <v>0</v>
      </c>
      <c r="AB786">
        <f t="shared" si="188"/>
        <v>0</v>
      </c>
      <c r="AC786">
        <f t="shared" si="189"/>
        <v>0</v>
      </c>
      <c r="AD786" s="1">
        <f t="shared" si="190"/>
        <v>3.3333333333333335</v>
      </c>
      <c r="AE786">
        <f t="shared" si="191"/>
        <v>10</v>
      </c>
      <c r="AF786">
        <f t="shared" si="192"/>
        <v>0</v>
      </c>
      <c r="AG786">
        <f t="shared" si="193"/>
        <v>0</v>
      </c>
    </row>
    <row r="787" spans="1:33" x14ac:dyDescent="0.25">
      <c r="A787" t="s">
        <v>1374</v>
      </c>
      <c r="B787" t="s">
        <v>1375</v>
      </c>
      <c r="C787">
        <v>167313</v>
      </c>
      <c r="D787">
        <v>167313</v>
      </c>
      <c r="E787">
        <v>20</v>
      </c>
      <c r="F787">
        <v>30</v>
      </c>
      <c r="G787">
        <v>20</v>
      </c>
      <c r="O787">
        <v>70</v>
      </c>
      <c r="S787">
        <f t="shared" si="182"/>
        <v>4.375</v>
      </c>
      <c r="T787">
        <f t="shared" si="183"/>
        <v>0</v>
      </c>
      <c r="U787">
        <f t="shared" si="181"/>
        <v>1</v>
      </c>
      <c r="V787">
        <f t="shared" si="184"/>
        <v>1</v>
      </c>
      <c r="W787">
        <f t="shared" si="185"/>
        <v>0</v>
      </c>
      <c r="X787">
        <f t="shared" si="194"/>
        <v>0</v>
      </c>
      <c r="Y787">
        <f t="shared" si="195"/>
        <v>0</v>
      </c>
      <c r="Z787">
        <f t="shared" si="186"/>
        <v>4</v>
      </c>
      <c r="AA787">
        <f t="shared" si="187"/>
        <v>7.5</v>
      </c>
      <c r="AB787">
        <f t="shared" si="188"/>
        <v>2.8571428571428572</v>
      </c>
      <c r="AC787">
        <f t="shared" si="189"/>
        <v>0</v>
      </c>
      <c r="AD787" s="1">
        <f t="shared" si="190"/>
        <v>0</v>
      </c>
      <c r="AE787">
        <f t="shared" si="191"/>
        <v>0</v>
      </c>
      <c r="AF787">
        <f t="shared" si="192"/>
        <v>0</v>
      </c>
      <c r="AG787">
        <f t="shared" si="193"/>
        <v>0</v>
      </c>
    </row>
    <row r="788" spans="1:33" x14ac:dyDescent="0.25">
      <c r="A788" t="s">
        <v>1376</v>
      </c>
      <c r="B788" t="s">
        <v>1377</v>
      </c>
      <c r="C788">
        <v>164994</v>
      </c>
      <c r="D788">
        <v>164994</v>
      </c>
      <c r="E788">
        <v>40</v>
      </c>
      <c r="F788">
        <v>30</v>
      </c>
      <c r="G788">
        <v>30</v>
      </c>
      <c r="O788">
        <v>100</v>
      </c>
      <c r="S788">
        <f t="shared" si="182"/>
        <v>6.25</v>
      </c>
      <c r="T788">
        <f t="shared" si="183"/>
        <v>0</v>
      </c>
      <c r="U788">
        <f t="shared" si="181"/>
        <v>1</v>
      </c>
      <c r="V788">
        <f t="shared" si="184"/>
        <v>1</v>
      </c>
      <c r="W788">
        <f t="shared" si="185"/>
        <v>0</v>
      </c>
      <c r="X788">
        <f t="shared" si="194"/>
        <v>1</v>
      </c>
      <c r="Y788">
        <f t="shared" si="195"/>
        <v>0</v>
      </c>
      <c r="Z788">
        <f t="shared" si="186"/>
        <v>8</v>
      </c>
      <c r="AA788">
        <f t="shared" si="187"/>
        <v>7.5</v>
      </c>
      <c r="AB788">
        <f t="shared" si="188"/>
        <v>4.2857142857142856</v>
      </c>
      <c r="AC788">
        <f t="shared" si="189"/>
        <v>0</v>
      </c>
      <c r="AD788" s="1">
        <f t="shared" si="190"/>
        <v>0</v>
      </c>
      <c r="AE788">
        <f t="shared" si="191"/>
        <v>0</v>
      </c>
      <c r="AF788">
        <f t="shared" si="192"/>
        <v>0</v>
      </c>
      <c r="AG788">
        <f t="shared" si="193"/>
        <v>0</v>
      </c>
    </row>
    <row r="789" spans="1:33" x14ac:dyDescent="0.25">
      <c r="A789" t="s">
        <v>1378</v>
      </c>
      <c r="B789" t="s">
        <v>1379</v>
      </c>
      <c r="C789">
        <v>167885</v>
      </c>
      <c r="D789">
        <v>167885</v>
      </c>
      <c r="E789">
        <v>10</v>
      </c>
      <c r="O789">
        <v>10</v>
      </c>
      <c r="S789">
        <f t="shared" si="182"/>
        <v>0.625</v>
      </c>
      <c r="T789">
        <f t="shared" si="183"/>
        <v>0</v>
      </c>
      <c r="U789">
        <f t="shared" si="181"/>
        <v>1</v>
      </c>
      <c r="V789">
        <f t="shared" si="184"/>
        <v>1</v>
      </c>
      <c r="W789">
        <f t="shared" si="185"/>
        <v>0</v>
      </c>
      <c r="X789">
        <f t="shared" si="194"/>
        <v>0</v>
      </c>
      <c r="Y789">
        <f t="shared" si="195"/>
        <v>0</v>
      </c>
      <c r="Z789">
        <f t="shared" si="186"/>
        <v>2</v>
      </c>
      <c r="AA789">
        <f t="shared" si="187"/>
        <v>0</v>
      </c>
      <c r="AB789">
        <f t="shared" si="188"/>
        <v>0</v>
      </c>
      <c r="AC789">
        <f t="shared" si="189"/>
        <v>0</v>
      </c>
      <c r="AD789" s="1">
        <f t="shared" si="190"/>
        <v>0</v>
      </c>
      <c r="AE789">
        <f t="shared" si="191"/>
        <v>0</v>
      </c>
      <c r="AF789">
        <f t="shared" si="192"/>
        <v>0</v>
      </c>
      <c r="AG789">
        <f t="shared" si="193"/>
        <v>0</v>
      </c>
    </row>
    <row r="790" spans="1:33" x14ac:dyDescent="0.25">
      <c r="A790" t="s">
        <v>1380</v>
      </c>
      <c r="B790" t="s">
        <v>1381</v>
      </c>
      <c r="C790">
        <v>168266</v>
      </c>
      <c r="D790">
        <v>168266</v>
      </c>
      <c r="E790">
        <v>0</v>
      </c>
      <c r="F790">
        <v>10</v>
      </c>
      <c r="G790">
        <v>20</v>
      </c>
      <c r="O790">
        <v>30</v>
      </c>
      <c r="S790">
        <f t="shared" si="182"/>
        <v>1.875</v>
      </c>
      <c r="T790">
        <f t="shared" si="183"/>
        <v>0</v>
      </c>
      <c r="U790">
        <f t="shared" si="181"/>
        <v>1</v>
      </c>
      <c r="V790">
        <f t="shared" si="184"/>
        <v>1</v>
      </c>
      <c r="W790">
        <f t="shared" si="185"/>
        <v>0</v>
      </c>
      <c r="X790">
        <f t="shared" si="194"/>
        <v>0</v>
      </c>
      <c r="Y790">
        <f t="shared" si="195"/>
        <v>0</v>
      </c>
      <c r="Z790">
        <f t="shared" si="186"/>
        <v>0</v>
      </c>
      <c r="AA790">
        <f t="shared" si="187"/>
        <v>2.5</v>
      </c>
      <c r="AB790">
        <f t="shared" si="188"/>
        <v>2.8571428571428572</v>
      </c>
      <c r="AC790">
        <f t="shared" si="189"/>
        <v>0</v>
      </c>
      <c r="AD790" s="1">
        <f t="shared" si="190"/>
        <v>0</v>
      </c>
      <c r="AE790">
        <f t="shared" si="191"/>
        <v>0</v>
      </c>
      <c r="AF790">
        <f t="shared" si="192"/>
        <v>0</v>
      </c>
      <c r="AG790">
        <f t="shared" si="193"/>
        <v>0</v>
      </c>
    </row>
    <row r="791" spans="1:33" x14ac:dyDescent="0.25">
      <c r="A791" t="s">
        <v>1382</v>
      </c>
      <c r="B791" t="s">
        <v>761</v>
      </c>
      <c r="C791">
        <v>168446</v>
      </c>
      <c r="D791">
        <v>168446</v>
      </c>
      <c r="H791">
        <v>0</v>
      </c>
      <c r="I791">
        <v>30</v>
      </c>
      <c r="J791">
        <v>20</v>
      </c>
      <c r="K791">
        <v>0</v>
      </c>
      <c r="L791">
        <v>10</v>
      </c>
      <c r="M791">
        <v>60</v>
      </c>
      <c r="S791">
        <f t="shared" si="182"/>
        <v>0</v>
      </c>
      <c r="T791">
        <f t="shared" si="183"/>
        <v>5</v>
      </c>
      <c r="U791">
        <f t="shared" si="181"/>
        <v>1</v>
      </c>
      <c r="V791">
        <f t="shared" si="184"/>
        <v>0</v>
      </c>
      <c r="W791">
        <f t="shared" si="185"/>
        <v>1</v>
      </c>
      <c r="X791">
        <f t="shared" si="194"/>
        <v>0</v>
      </c>
      <c r="Y791">
        <f t="shared" si="195"/>
        <v>0</v>
      </c>
      <c r="Z791">
        <f t="shared" si="186"/>
        <v>0</v>
      </c>
      <c r="AA791">
        <f t="shared" si="187"/>
        <v>0</v>
      </c>
      <c r="AB791">
        <f t="shared" si="188"/>
        <v>0</v>
      </c>
      <c r="AC791">
        <f t="shared" si="189"/>
        <v>0</v>
      </c>
      <c r="AD791" s="1">
        <f t="shared" si="190"/>
        <v>5</v>
      </c>
      <c r="AE791">
        <f t="shared" si="191"/>
        <v>10</v>
      </c>
      <c r="AF791">
        <f t="shared" si="192"/>
        <v>0</v>
      </c>
      <c r="AG791">
        <f t="shared" si="193"/>
        <v>10</v>
      </c>
    </row>
    <row r="792" spans="1:33" x14ac:dyDescent="0.25">
      <c r="A792" t="s">
        <v>1383</v>
      </c>
      <c r="B792" t="s">
        <v>1308</v>
      </c>
      <c r="C792">
        <v>165939</v>
      </c>
      <c r="D792">
        <v>165939</v>
      </c>
      <c r="E792">
        <v>50</v>
      </c>
      <c r="F792">
        <v>40</v>
      </c>
      <c r="G792">
        <v>30</v>
      </c>
      <c r="O792">
        <v>120</v>
      </c>
      <c r="S792">
        <f t="shared" si="182"/>
        <v>7.5</v>
      </c>
      <c r="T792">
        <f t="shared" si="183"/>
        <v>0</v>
      </c>
      <c r="U792">
        <f t="shared" si="181"/>
        <v>1</v>
      </c>
      <c r="V792">
        <f t="shared" si="184"/>
        <v>1</v>
      </c>
      <c r="W792">
        <f t="shared" si="185"/>
        <v>0</v>
      </c>
      <c r="X792">
        <f t="shared" si="194"/>
        <v>1</v>
      </c>
      <c r="Y792">
        <f t="shared" si="195"/>
        <v>0</v>
      </c>
      <c r="Z792">
        <f t="shared" si="186"/>
        <v>10</v>
      </c>
      <c r="AA792">
        <f t="shared" si="187"/>
        <v>10</v>
      </c>
      <c r="AB792">
        <f t="shared" si="188"/>
        <v>4.2857142857142856</v>
      </c>
      <c r="AC792">
        <f t="shared" si="189"/>
        <v>0</v>
      </c>
      <c r="AD792" s="1">
        <f t="shared" si="190"/>
        <v>0</v>
      </c>
      <c r="AE792">
        <f t="shared" si="191"/>
        <v>0</v>
      </c>
      <c r="AF792">
        <f t="shared" si="192"/>
        <v>0</v>
      </c>
      <c r="AG792">
        <f t="shared" si="193"/>
        <v>0</v>
      </c>
    </row>
    <row r="793" spans="1:33" x14ac:dyDescent="0.25">
      <c r="A793" t="s">
        <v>1384</v>
      </c>
      <c r="B793" t="s">
        <v>1385</v>
      </c>
      <c r="C793">
        <v>167291</v>
      </c>
      <c r="D793">
        <v>167291</v>
      </c>
      <c r="H793">
        <v>20</v>
      </c>
      <c r="I793">
        <v>20</v>
      </c>
      <c r="J793">
        <v>10</v>
      </c>
      <c r="K793">
        <v>10</v>
      </c>
      <c r="L793">
        <v>10</v>
      </c>
      <c r="M793">
        <v>70</v>
      </c>
      <c r="S793">
        <f t="shared" si="182"/>
        <v>0</v>
      </c>
      <c r="T793">
        <f t="shared" si="183"/>
        <v>5.833333333333333</v>
      </c>
      <c r="U793">
        <f t="shared" si="181"/>
        <v>1</v>
      </c>
      <c r="V793">
        <f t="shared" si="184"/>
        <v>0</v>
      </c>
      <c r="W793">
        <f t="shared" si="185"/>
        <v>1</v>
      </c>
      <c r="X793">
        <f t="shared" si="194"/>
        <v>0</v>
      </c>
      <c r="Y793">
        <f t="shared" si="195"/>
        <v>0</v>
      </c>
      <c r="Z793">
        <f t="shared" si="186"/>
        <v>0</v>
      </c>
      <c r="AA793">
        <f t="shared" si="187"/>
        <v>0</v>
      </c>
      <c r="AB793">
        <f t="shared" si="188"/>
        <v>0</v>
      </c>
      <c r="AC793">
        <f t="shared" si="189"/>
        <v>10</v>
      </c>
      <c r="AD793" s="1">
        <f t="shared" si="190"/>
        <v>3.3333333333333335</v>
      </c>
      <c r="AE793">
        <f t="shared" si="191"/>
        <v>5</v>
      </c>
      <c r="AF793">
        <f t="shared" si="192"/>
        <v>10</v>
      </c>
      <c r="AG793">
        <f t="shared" si="193"/>
        <v>10</v>
      </c>
    </row>
    <row r="794" spans="1:33" x14ac:dyDescent="0.25">
      <c r="A794" t="s">
        <v>1386</v>
      </c>
      <c r="B794" t="s">
        <v>340</v>
      </c>
      <c r="C794">
        <v>167388</v>
      </c>
      <c r="D794">
        <v>167388</v>
      </c>
      <c r="E794">
        <v>40</v>
      </c>
      <c r="F794">
        <v>40</v>
      </c>
      <c r="G794">
        <v>30</v>
      </c>
      <c r="O794">
        <v>110</v>
      </c>
      <c r="S794">
        <f t="shared" si="182"/>
        <v>6.875</v>
      </c>
      <c r="T794">
        <f t="shared" si="183"/>
        <v>0</v>
      </c>
      <c r="U794">
        <f t="shared" si="181"/>
        <v>1</v>
      </c>
      <c r="V794">
        <f t="shared" si="184"/>
        <v>1</v>
      </c>
      <c r="W794">
        <f t="shared" si="185"/>
        <v>0</v>
      </c>
      <c r="X794">
        <f t="shared" si="194"/>
        <v>1</v>
      </c>
      <c r="Y794">
        <f t="shared" si="195"/>
        <v>0</v>
      </c>
      <c r="Z794">
        <f t="shared" si="186"/>
        <v>8</v>
      </c>
      <c r="AA794">
        <f t="shared" si="187"/>
        <v>10</v>
      </c>
      <c r="AB794">
        <f t="shared" si="188"/>
        <v>4.2857142857142856</v>
      </c>
      <c r="AC794">
        <f t="shared" si="189"/>
        <v>0</v>
      </c>
      <c r="AD794" s="1">
        <f t="shared" si="190"/>
        <v>0</v>
      </c>
      <c r="AE794">
        <f t="shared" si="191"/>
        <v>0</v>
      </c>
      <c r="AF794">
        <f t="shared" si="192"/>
        <v>0</v>
      </c>
      <c r="AG794">
        <f t="shared" si="193"/>
        <v>0</v>
      </c>
    </row>
    <row r="795" spans="1:33" x14ac:dyDescent="0.25">
      <c r="A795" t="s">
        <v>1387</v>
      </c>
      <c r="B795" t="s">
        <v>1388</v>
      </c>
      <c r="C795">
        <v>168500</v>
      </c>
      <c r="D795">
        <v>168500</v>
      </c>
      <c r="E795">
        <v>50</v>
      </c>
      <c r="F795">
        <v>30</v>
      </c>
      <c r="G795">
        <v>40</v>
      </c>
      <c r="O795">
        <v>120</v>
      </c>
      <c r="S795">
        <f t="shared" si="182"/>
        <v>7.5</v>
      </c>
      <c r="T795">
        <f t="shared" si="183"/>
        <v>0</v>
      </c>
      <c r="U795">
        <f t="shared" si="181"/>
        <v>1</v>
      </c>
      <c r="V795">
        <f t="shared" si="184"/>
        <v>1</v>
      </c>
      <c r="W795">
        <f t="shared" si="185"/>
        <v>0</v>
      </c>
      <c r="X795">
        <f t="shared" si="194"/>
        <v>1</v>
      </c>
      <c r="Y795">
        <f t="shared" si="195"/>
        <v>0</v>
      </c>
      <c r="Z795">
        <f t="shared" si="186"/>
        <v>10</v>
      </c>
      <c r="AA795">
        <f t="shared" si="187"/>
        <v>7.5</v>
      </c>
      <c r="AB795">
        <f t="shared" si="188"/>
        <v>5.7142857142857144</v>
      </c>
      <c r="AC795">
        <f t="shared" si="189"/>
        <v>0</v>
      </c>
      <c r="AD795" s="1">
        <f t="shared" si="190"/>
        <v>0</v>
      </c>
      <c r="AE795">
        <f t="shared" si="191"/>
        <v>0</v>
      </c>
      <c r="AF795">
        <f t="shared" si="192"/>
        <v>0</v>
      </c>
      <c r="AG795">
        <f t="shared" si="193"/>
        <v>0</v>
      </c>
    </row>
    <row r="796" spans="1:33" x14ac:dyDescent="0.25">
      <c r="A796" t="s">
        <v>1389</v>
      </c>
      <c r="B796" t="s">
        <v>1390</v>
      </c>
      <c r="C796">
        <v>167667</v>
      </c>
      <c r="D796">
        <v>167667</v>
      </c>
      <c r="E796">
        <v>40</v>
      </c>
      <c r="F796">
        <v>40</v>
      </c>
      <c r="G796">
        <v>30</v>
      </c>
      <c r="O796">
        <v>110</v>
      </c>
      <c r="S796">
        <f t="shared" si="182"/>
        <v>6.875</v>
      </c>
      <c r="T796">
        <f t="shared" si="183"/>
        <v>0</v>
      </c>
      <c r="U796">
        <f t="shared" si="181"/>
        <v>1</v>
      </c>
      <c r="V796">
        <f t="shared" si="184"/>
        <v>1</v>
      </c>
      <c r="W796">
        <f t="shared" si="185"/>
        <v>0</v>
      </c>
      <c r="X796">
        <f t="shared" si="194"/>
        <v>1</v>
      </c>
      <c r="Y796">
        <f t="shared" si="195"/>
        <v>0</v>
      </c>
      <c r="Z796">
        <f t="shared" si="186"/>
        <v>8</v>
      </c>
      <c r="AA796">
        <f t="shared" si="187"/>
        <v>10</v>
      </c>
      <c r="AB796">
        <f t="shared" si="188"/>
        <v>4.2857142857142856</v>
      </c>
      <c r="AC796">
        <f t="shared" si="189"/>
        <v>0</v>
      </c>
      <c r="AD796" s="1">
        <f t="shared" si="190"/>
        <v>0</v>
      </c>
      <c r="AE796">
        <f t="shared" si="191"/>
        <v>0</v>
      </c>
      <c r="AF796">
        <f t="shared" si="192"/>
        <v>0</v>
      </c>
      <c r="AG796">
        <f t="shared" si="193"/>
        <v>0</v>
      </c>
    </row>
    <row r="797" spans="1:33" x14ac:dyDescent="0.25">
      <c r="A797" t="s">
        <v>1391</v>
      </c>
      <c r="B797" t="s">
        <v>1392</v>
      </c>
      <c r="C797">
        <v>168758</v>
      </c>
      <c r="D797">
        <v>168758</v>
      </c>
      <c r="E797">
        <v>20</v>
      </c>
      <c r="F797">
        <v>20</v>
      </c>
      <c r="G797">
        <v>50</v>
      </c>
      <c r="O797">
        <v>90</v>
      </c>
      <c r="S797">
        <f t="shared" si="182"/>
        <v>5.625</v>
      </c>
      <c r="T797">
        <f t="shared" si="183"/>
        <v>0</v>
      </c>
      <c r="U797">
        <f t="shared" si="181"/>
        <v>1</v>
      </c>
      <c r="V797">
        <f t="shared" si="184"/>
        <v>1</v>
      </c>
      <c r="W797">
        <f t="shared" si="185"/>
        <v>0</v>
      </c>
      <c r="X797">
        <f t="shared" si="194"/>
        <v>0</v>
      </c>
      <c r="Y797">
        <f t="shared" si="195"/>
        <v>0</v>
      </c>
      <c r="Z797">
        <f t="shared" si="186"/>
        <v>4</v>
      </c>
      <c r="AA797">
        <f t="shared" si="187"/>
        <v>5</v>
      </c>
      <c r="AB797">
        <f t="shared" si="188"/>
        <v>7.1428571428571432</v>
      </c>
      <c r="AC797">
        <f t="shared" si="189"/>
        <v>0</v>
      </c>
      <c r="AD797" s="1">
        <f t="shared" si="190"/>
        <v>0</v>
      </c>
      <c r="AE797">
        <f t="shared" si="191"/>
        <v>0</v>
      </c>
      <c r="AF797">
        <f t="shared" si="192"/>
        <v>0</v>
      </c>
      <c r="AG797">
        <f t="shared" si="193"/>
        <v>0</v>
      </c>
    </row>
    <row r="798" spans="1:33" x14ac:dyDescent="0.25">
      <c r="A798" t="s">
        <v>1393</v>
      </c>
      <c r="B798" t="s">
        <v>1394</v>
      </c>
      <c r="C798">
        <v>165612</v>
      </c>
      <c r="D798">
        <v>165612</v>
      </c>
      <c r="H798">
        <v>20</v>
      </c>
      <c r="I798">
        <v>50</v>
      </c>
      <c r="J798">
        <v>20</v>
      </c>
      <c r="K798">
        <v>10</v>
      </c>
      <c r="L798">
        <v>0</v>
      </c>
      <c r="M798">
        <v>100</v>
      </c>
      <c r="S798">
        <f t="shared" si="182"/>
        <v>0</v>
      </c>
      <c r="T798">
        <f t="shared" si="183"/>
        <v>8.3333333333333339</v>
      </c>
      <c r="U798">
        <f t="shared" si="181"/>
        <v>1</v>
      </c>
      <c r="V798">
        <f t="shared" si="184"/>
        <v>0</v>
      </c>
      <c r="W798">
        <f t="shared" si="185"/>
        <v>1</v>
      </c>
      <c r="X798">
        <f t="shared" si="194"/>
        <v>0</v>
      </c>
      <c r="Y798">
        <f t="shared" si="195"/>
        <v>1</v>
      </c>
      <c r="Z798">
        <f t="shared" si="186"/>
        <v>0</v>
      </c>
      <c r="AA798">
        <f t="shared" si="187"/>
        <v>0</v>
      </c>
      <c r="AB798">
        <f t="shared" si="188"/>
        <v>0</v>
      </c>
      <c r="AC798">
        <f t="shared" si="189"/>
        <v>10</v>
      </c>
      <c r="AD798" s="1">
        <f t="shared" si="190"/>
        <v>8.3333333333333339</v>
      </c>
      <c r="AE798">
        <f t="shared" si="191"/>
        <v>10</v>
      </c>
      <c r="AF798">
        <f t="shared" si="192"/>
        <v>10</v>
      </c>
      <c r="AG798">
        <f t="shared" si="193"/>
        <v>0</v>
      </c>
    </row>
    <row r="799" spans="1:33" x14ac:dyDescent="0.25">
      <c r="A799" t="s">
        <v>1395</v>
      </c>
      <c r="B799" t="s">
        <v>1396</v>
      </c>
      <c r="C799">
        <v>166282</v>
      </c>
      <c r="D799">
        <v>166282</v>
      </c>
      <c r="E799">
        <v>20</v>
      </c>
      <c r="F799">
        <v>30</v>
      </c>
      <c r="G799">
        <v>20</v>
      </c>
      <c r="O799">
        <v>70</v>
      </c>
      <c r="S799">
        <f t="shared" si="182"/>
        <v>4.375</v>
      </c>
      <c r="T799">
        <f t="shared" si="183"/>
        <v>0</v>
      </c>
      <c r="U799">
        <f t="shared" si="181"/>
        <v>1</v>
      </c>
      <c r="V799">
        <f t="shared" si="184"/>
        <v>1</v>
      </c>
      <c r="W799">
        <f t="shared" si="185"/>
        <v>0</v>
      </c>
      <c r="X799">
        <f t="shared" si="194"/>
        <v>0</v>
      </c>
      <c r="Y799">
        <f t="shared" si="195"/>
        <v>0</v>
      </c>
      <c r="Z799">
        <f t="shared" si="186"/>
        <v>4</v>
      </c>
      <c r="AA799">
        <f t="shared" si="187"/>
        <v>7.5</v>
      </c>
      <c r="AB799">
        <f t="shared" si="188"/>
        <v>2.8571428571428572</v>
      </c>
      <c r="AC799">
        <f t="shared" si="189"/>
        <v>0</v>
      </c>
      <c r="AD799" s="1">
        <f t="shared" si="190"/>
        <v>0</v>
      </c>
      <c r="AE799">
        <f t="shared" si="191"/>
        <v>0</v>
      </c>
      <c r="AF799">
        <f t="shared" si="192"/>
        <v>0</v>
      </c>
      <c r="AG799">
        <f t="shared" si="193"/>
        <v>0</v>
      </c>
    </row>
    <row r="800" spans="1:33" x14ac:dyDescent="0.25">
      <c r="A800" t="s">
        <v>1397</v>
      </c>
      <c r="B800" t="s">
        <v>53</v>
      </c>
      <c r="C800">
        <v>166181</v>
      </c>
      <c r="D800">
        <v>166181</v>
      </c>
      <c r="H800">
        <v>20</v>
      </c>
      <c r="I800">
        <v>60</v>
      </c>
      <c r="J800">
        <v>20</v>
      </c>
      <c r="K800">
        <v>10</v>
      </c>
      <c r="L800">
        <v>10</v>
      </c>
      <c r="M800">
        <v>120</v>
      </c>
      <c r="N800" t="s">
        <v>20</v>
      </c>
      <c r="S800">
        <f t="shared" si="182"/>
        <v>0</v>
      </c>
      <c r="T800">
        <f t="shared" si="183"/>
        <v>10</v>
      </c>
      <c r="U800">
        <f t="shared" si="181"/>
        <v>1</v>
      </c>
      <c r="V800">
        <f t="shared" si="184"/>
        <v>0</v>
      </c>
      <c r="W800">
        <f t="shared" si="185"/>
        <v>1</v>
      </c>
      <c r="X800">
        <f t="shared" si="194"/>
        <v>0</v>
      </c>
      <c r="Y800">
        <f t="shared" si="195"/>
        <v>1</v>
      </c>
      <c r="Z800">
        <f t="shared" si="186"/>
        <v>0</v>
      </c>
      <c r="AA800">
        <f t="shared" si="187"/>
        <v>0</v>
      </c>
      <c r="AB800">
        <f t="shared" si="188"/>
        <v>0</v>
      </c>
      <c r="AC800">
        <f t="shared" si="189"/>
        <v>10</v>
      </c>
      <c r="AD800" s="1">
        <f t="shared" si="190"/>
        <v>10</v>
      </c>
      <c r="AE800">
        <f t="shared" si="191"/>
        <v>10</v>
      </c>
      <c r="AF800">
        <f t="shared" si="192"/>
        <v>10</v>
      </c>
      <c r="AG800">
        <f t="shared" si="193"/>
        <v>10</v>
      </c>
    </row>
    <row r="801" spans="1:33" x14ac:dyDescent="0.25">
      <c r="A801" t="s">
        <v>1398</v>
      </c>
      <c r="B801" t="s">
        <v>1399</v>
      </c>
      <c r="C801">
        <v>168369</v>
      </c>
      <c r="D801">
        <v>168369</v>
      </c>
      <c r="E801">
        <v>40</v>
      </c>
      <c r="F801">
        <v>30</v>
      </c>
      <c r="G801">
        <v>50</v>
      </c>
      <c r="O801">
        <v>120</v>
      </c>
      <c r="S801">
        <f t="shared" si="182"/>
        <v>7.5</v>
      </c>
      <c r="T801">
        <f t="shared" si="183"/>
        <v>0</v>
      </c>
      <c r="U801">
        <f t="shared" si="181"/>
        <v>1</v>
      </c>
      <c r="V801">
        <f t="shared" si="184"/>
        <v>1</v>
      </c>
      <c r="W801">
        <f t="shared" si="185"/>
        <v>0</v>
      </c>
      <c r="X801">
        <f t="shared" si="194"/>
        <v>1</v>
      </c>
      <c r="Y801">
        <f t="shared" si="195"/>
        <v>0</v>
      </c>
      <c r="Z801">
        <f t="shared" si="186"/>
        <v>8</v>
      </c>
      <c r="AA801">
        <f t="shared" si="187"/>
        <v>7.5</v>
      </c>
      <c r="AB801">
        <f t="shared" si="188"/>
        <v>7.1428571428571432</v>
      </c>
      <c r="AC801">
        <f t="shared" si="189"/>
        <v>0</v>
      </c>
      <c r="AD801" s="1">
        <f t="shared" si="190"/>
        <v>0</v>
      </c>
      <c r="AE801">
        <f t="shared" si="191"/>
        <v>0</v>
      </c>
      <c r="AF801">
        <f t="shared" si="192"/>
        <v>0</v>
      </c>
      <c r="AG801">
        <f t="shared" si="193"/>
        <v>0</v>
      </c>
    </row>
    <row r="802" spans="1:33" x14ac:dyDescent="0.25">
      <c r="A802" t="s">
        <v>1400</v>
      </c>
      <c r="B802" t="s">
        <v>1401</v>
      </c>
      <c r="C802">
        <v>166829</v>
      </c>
      <c r="D802">
        <v>166829</v>
      </c>
      <c r="E802">
        <v>10</v>
      </c>
      <c r="F802">
        <v>30</v>
      </c>
      <c r="G802">
        <v>20</v>
      </c>
      <c r="O802">
        <v>60</v>
      </c>
      <c r="S802">
        <f t="shared" si="182"/>
        <v>3.75</v>
      </c>
      <c r="T802">
        <f t="shared" si="183"/>
        <v>0</v>
      </c>
      <c r="U802">
        <f t="shared" si="181"/>
        <v>1</v>
      </c>
      <c r="V802">
        <f t="shared" si="184"/>
        <v>1</v>
      </c>
      <c r="W802">
        <f t="shared" si="185"/>
        <v>0</v>
      </c>
      <c r="X802">
        <f t="shared" si="194"/>
        <v>0</v>
      </c>
      <c r="Y802">
        <f t="shared" si="195"/>
        <v>0</v>
      </c>
      <c r="Z802">
        <f t="shared" si="186"/>
        <v>2</v>
      </c>
      <c r="AA802">
        <f t="shared" si="187"/>
        <v>7.5</v>
      </c>
      <c r="AB802">
        <f t="shared" si="188"/>
        <v>2.8571428571428572</v>
      </c>
      <c r="AC802">
        <f t="shared" si="189"/>
        <v>0</v>
      </c>
      <c r="AD802" s="1">
        <f t="shared" si="190"/>
        <v>0</v>
      </c>
      <c r="AE802">
        <f t="shared" si="191"/>
        <v>0</v>
      </c>
      <c r="AF802">
        <f t="shared" si="192"/>
        <v>0</v>
      </c>
      <c r="AG802">
        <f t="shared" si="193"/>
        <v>0</v>
      </c>
    </row>
    <row r="803" spans="1:33" x14ac:dyDescent="0.25">
      <c r="A803" t="s">
        <v>1402</v>
      </c>
      <c r="B803" t="s">
        <v>1403</v>
      </c>
      <c r="C803">
        <v>166458</v>
      </c>
      <c r="D803">
        <v>166458</v>
      </c>
      <c r="E803">
        <v>40</v>
      </c>
      <c r="F803">
        <v>20</v>
      </c>
      <c r="G803">
        <v>30</v>
      </c>
      <c r="O803">
        <v>90</v>
      </c>
      <c r="S803">
        <f t="shared" si="182"/>
        <v>5.625</v>
      </c>
      <c r="T803">
        <f t="shared" si="183"/>
        <v>0</v>
      </c>
      <c r="U803">
        <f t="shared" si="181"/>
        <v>1</v>
      </c>
      <c r="V803">
        <f t="shared" si="184"/>
        <v>1</v>
      </c>
      <c r="W803">
        <f t="shared" si="185"/>
        <v>0</v>
      </c>
      <c r="X803">
        <f t="shared" si="194"/>
        <v>0</v>
      </c>
      <c r="Y803">
        <f t="shared" si="195"/>
        <v>0</v>
      </c>
      <c r="Z803">
        <f t="shared" si="186"/>
        <v>8</v>
      </c>
      <c r="AA803">
        <f t="shared" si="187"/>
        <v>5</v>
      </c>
      <c r="AB803">
        <f t="shared" si="188"/>
        <v>4.2857142857142856</v>
      </c>
      <c r="AC803">
        <f t="shared" si="189"/>
        <v>0</v>
      </c>
      <c r="AD803" s="1">
        <f t="shared" si="190"/>
        <v>0</v>
      </c>
      <c r="AE803">
        <f t="shared" si="191"/>
        <v>0</v>
      </c>
      <c r="AF803">
        <f t="shared" si="192"/>
        <v>0</v>
      </c>
      <c r="AG803">
        <f t="shared" si="193"/>
        <v>0</v>
      </c>
    </row>
    <row r="804" spans="1:33" x14ac:dyDescent="0.25">
      <c r="A804" t="s">
        <v>1404</v>
      </c>
      <c r="B804" t="s">
        <v>79</v>
      </c>
      <c r="C804">
        <v>158815</v>
      </c>
      <c r="D804">
        <v>158815</v>
      </c>
      <c r="S804">
        <f t="shared" si="182"/>
        <v>0</v>
      </c>
      <c r="T804">
        <f t="shared" si="183"/>
        <v>0</v>
      </c>
      <c r="U804">
        <f t="shared" si="181"/>
        <v>0</v>
      </c>
      <c r="V804">
        <f t="shared" si="184"/>
        <v>0</v>
      </c>
      <c r="W804">
        <f t="shared" si="185"/>
        <v>0</v>
      </c>
      <c r="X804">
        <f t="shared" si="194"/>
        <v>0</v>
      </c>
      <c r="Y804">
        <f t="shared" si="195"/>
        <v>0</v>
      </c>
      <c r="Z804">
        <f t="shared" si="186"/>
        <v>0</v>
      </c>
      <c r="AA804">
        <f t="shared" si="187"/>
        <v>0</v>
      </c>
      <c r="AB804">
        <f t="shared" si="188"/>
        <v>0</v>
      </c>
      <c r="AC804">
        <f t="shared" si="189"/>
        <v>0</v>
      </c>
      <c r="AD804" s="1">
        <f t="shared" si="190"/>
        <v>0</v>
      </c>
      <c r="AE804">
        <f t="shared" si="191"/>
        <v>0</v>
      </c>
      <c r="AF804">
        <f t="shared" si="192"/>
        <v>0</v>
      </c>
      <c r="AG804">
        <f t="shared" si="193"/>
        <v>0</v>
      </c>
    </row>
    <row r="805" spans="1:33" x14ac:dyDescent="0.25">
      <c r="A805" t="s">
        <v>1405</v>
      </c>
      <c r="B805" t="s">
        <v>1406</v>
      </c>
      <c r="C805">
        <v>161736</v>
      </c>
      <c r="D805">
        <v>161736</v>
      </c>
      <c r="E805">
        <v>20</v>
      </c>
      <c r="F805">
        <v>40</v>
      </c>
      <c r="G805">
        <v>40</v>
      </c>
      <c r="O805">
        <v>100</v>
      </c>
      <c r="S805">
        <f t="shared" si="182"/>
        <v>6.25</v>
      </c>
      <c r="T805">
        <f t="shared" si="183"/>
        <v>0</v>
      </c>
      <c r="U805">
        <f t="shared" si="181"/>
        <v>1</v>
      </c>
      <c r="V805">
        <f t="shared" si="184"/>
        <v>1</v>
      </c>
      <c r="W805">
        <f t="shared" si="185"/>
        <v>0</v>
      </c>
      <c r="X805">
        <f t="shared" si="194"/>
        <v>1</v>
      </c>
      <c r="Y805">
        <f t="shared" si="195"/>
        <v>0</v>
      </c>
      <c r="Z805">
        <f t="shared" si="186"/>
        <v>4</v>
      </c>
      <c r="AA805">
        <f t="shared" si="187"/>
        <v>10</v>
      </c>
      <c r="AB805">
        <f t="shared" si="188"/>
        <v>5.7142857142857144</v>
      </c>
      <c r="AC805">
        <f t="shared" si="189"/>
        <v>0</v>
      </c>
      <c r="AD805" s="1">
        <f t="shared" si="190"/>
        <v>0</v>
      </c>
      <c r="AE805">
        <f t="shared" si="191"/>
        <v>0</v>
      </c>
      <c r="AF805">
        <f t="shared" si="192"/>
        <v>0</v>
      </c>
      <c r="AG805">
        <f t="shared" si="193"/>
        <v>0</v>
      </c>
    </row>
    <row r="806" spans="1:33" x14ac:dyDescent="0.25">
      <c r="A806" t="s">
        <v>1407</v>
      </c>
      <c r="B806" t="s">
        <v>326</v>
      </c>
      <c r="C806">
        <v>167536</v>
      </c>
      <c r="D806">
        <v>167536</v>
      </c>
      <c r="H806">
        <v>10</v>
      </c>
      <c r="I806">
        <v>30</v>
      </c>
      <c r="J806">
        <v>10</v>
      </c>
      <c r="K806">
        <v>0</v>
      </c>
      <c r="L806">
        <v>10</v>
      </c>
      <c r="M806">
        <v>60</v>
      </c>
      <c r="S806">
        <f t="shared" si="182"/>
        <v>0</v>
      </c>
      <c r="T806">
        <f t="shared" si="183"/>
        <v>5</v>
      </c>
      <c r="U806">
        <f t="shared" si="181"/>
        <v>1</v>
      </c>
      <c r="V806">
        <f t="shared" si="184"/>
        <v>0</v>
      </c>
      <c r="W806">
        <f t="shared" si="185"/>
        <v>1</v>
      </c>
      <c r="X806">
        <f t="shared" si="194"/>
        <v>0</v>
      </c>
      <c r="Y806">
        <f t="shared" si="195"/>
        <v>0</v>
      </c>
      <c r="Z806">
        <f t="shared" si="186"/>
        <v>0</v>
      </c>
      <c r="AA806">
        <f t="shared" si="187"/>
        <v>0</v>
      </c>
      <c r="AB806">
        <f t="shared" si="188"/>
        <v>0</v>
      </c>
      <c r="AC806">
        <f t="shared" si="189"/>
        <v>5</v>
      </c>
      <c r="AD806" s="1">
        <f t="shared" si="190"/>
        <v>5</v>
      </c>
      <c r="AE806">
        <f t="shared" si="191"/>
        <v>5</v>
      </c>
      <c r="AF806">
        <f t="shared" si="192"/>
        <v>0</v>
      </c>
      <c r="AG806">
        <f t="shared" si="193"/>
        <v>10</v>
      </c>
    </row>
    <row r="807" spans="1:33" x14ac:dyDescent="0.25">
      <c r="A807" t="s">
        <v>1408</v>
      </c>
      <c r="B807" t="s">
        <v>1409</v>
      </c>
      <c r="C807">
        <v>167059</v>
      </c>
      <c r="D807">
        <v>167059</v>
      </c>
      <c r="E807">
        <v>20</v>
      </c>
      <c r="F807">
        <v>0</v>
      </c>
      <c r="G807">
        <v>30</v>
      </c>
      <c r="O807">
        <v>50</v>
      </c>
      <c r="S807">
        <f t="shared" si="182"/>
        <v>3.125</v>
      </c>
      <c r="T807">
        <f t="shared" si="183"/>
        <v>0</v>
      </c>
      <c r="U807">
        <f t="shared" si="181"/>
        <v>1</v>
      </c>
      <c r="V807">
        <f t="shared" si="184"/>
        <v>1</v>
      </c>
      <c r="W807">
        <f t="shared" si="185"/>
        <v>0</v>
      </c>
      <c r="X807">
        <f t="shared" si="194"/>
        <v>0</v>
      </c>
      <c r="Y807">
        <f t="shared" si="195"/>
        <v>0</v>
      </c>
      <c r="Z807">
        <f t="shared" si="186"/>
        <v>4</v>
      </c>
      <c r="AA807">
        <f t="shared" si="187"/>
        <v>0</v>
      </c>
      <c r="AB807">
        <f t="shared" si="188"/>
        <v>4.2857142857142856</v>
      </c>
      <c r="AC807">
        <f t="shared" si="189"/>
        <v>0</v>
      </c>
      <c r="AD807" s="1">
        <f t="shared" si="190"/>
        <v>0</v>
      </c>
      <c r="AE807">
        <f t="shared" si="191"/>
        <v>0</v>
      </c>
      <c r="AF807">
        <f t="shared" si="192"/>
        <v>0</v>
      </c>
      <c r="AG807">
        <f t="shared" si="193"/>
        <v>0</v>
      </c>
    </row>
    <row r="808" spans="1:33" x14ac:dyDescent="0.25">
      <c r="A808" t="s">
        <v>1410</v>
      </c>
      <c r="B808" t="s">
        <v>1411</v>
      </c>
      <c r="C808">
        <v>166502</v>
      </c>
      <c r="D808">
        <v>166502</v>
      </c>
      <c r="H808">
        <v>10</v>
      </c>
      <c r="I808">
        <v>30</v>
      </c>
      <c r="J808">
        <v>10</v>
      </c>
      <c r="K808">
        <v>0</v>
      </c>
      <c r="L808">
        <v>10</v>
      </c>
      <c r="M808">
        <v>60</v>
      </c>
      <c r="S808">
        <f t="shared" si="182"/>
        <v>0</v>
      </c>
      <c r="T808">
        <f t="shared" si="183"/>
        <v>5</v>
      </c>
      <c r="U808">
        <f t="shared" si="181"/>
        <v>1</v>
      </c>
      <c r="V808">
        <f t="shared" si="184"/>
        <v>0</v>
      </c>
      <c r="W808">
        <f t="shared" si="185"/>
        <v>1</v>
      </c>
      <c r="X808">
        <f t="shared" si="194"/>
        <v>0</v>
      </c>
      <c r="Y808">
        <f t="shared" si="195"/>
        <v>0</v>
      </c>
      <c r="Z808">
        <f t="shared" si="186"/>
        <v>0</v>
      </c>
      <c r="AA808">
        <f t="shared" si="187"/>
        <v>0</v>
      </c>
      <c r="AB808">
        <f t="shared" si="188"/>
        <v>0</v>
      </c>
      <c r="AC808">
        <f t="shared" si="189"/>
        <v>5</v>
      </c>
      <c r="AD808" s="1">
        <f t="shared" si="190"/>
        <v>5</v>
      </c>
      <c r="AE808">
        <f t="shared" si="191"/>
        <v>5</v>
      </c>
      <c r="AF808">
        <f t="shared" si="192"/>
        <v>0</v>
      </c>
      <c r="AG808">
        <f t="shared" si="193"/>
        <v>10</v>
      </c>
    </row>
    <row r="809" spans="1:33" x14ac:dyDescent="0.25">
      <c r="A809" t="s">
        <v>1412</v>
      </c>
      <c r="B809" t="s">
        <v>1413</v>
      </c>
      <c r="C809">
        <v>167525</v>
      </c>
      <c r="D809">
        <v>167525</v>
      </c>
      <c r="H809">
        <v>10</v>
      </c>
      <c r="I809">
        <v>0</v>
      </c>
      <c r="J809">
        <v>20</v>
      </c>
      <c r="M809">
        <v>30</v>
      </c>
      <c r="S809">
        <f t="shared" si="182"/>
        <v>0</v>
      </c>
      <c r="T809">
        <f t="shared" si="183"/>
        <v>2.5</v>
      </c>
      <c r="U809">
        <f t="shared" si="181"/>
        <v>1</v>
      </c>
      <c r="V809">
        <f t="shared" si="184"/>
        <v>0</v>
      </c>
      <c r="W809">
        <f t="shared" si="185"/>
        <v>1</v>
      </c>
      <c r="X809">
        <f t="shared" si="194"/>
        <v>0</v>
      </c>
      <c r="Y809">
        <f t="shared" si="195"/>
        <v>0</v>
      </c>
      <c r="Z809">
        <f t="shared" si="186"/>
        <v>0</v>
      </c>
      <c r="AA809">
        <f t="shared" si="187"/>
        <v>0</v>
      </c>
      <c r="AB809">
        <f t="shared" si="188"/>
        <v>0</v>
      </c>
      <c r="AC809">
        <f t="shared" si="189"/>
        <v>5</v>
      </c>
      <c r="AD809" s="1">
        <f t="shared" si="190"/>
        <v>0</v>
      </c>
      <c r="AE809">
        <f t="shared" si="191"/>
        <v>10</v>
      </c>
      <c r="AF809">
        <f t="shared" si="193"/>
        <v>0</v>
      </c>
      <c r="AG809">
        <f t="shared" si="193"/>
        <v>0</v>
      </c>
    </row>
    <row r="810" spans="1:33" x14ac:dyDescent="0.25">
      <c r="A810" t="s">
        <v>1414</v>
      </c>
      <c r="B810" t="s">
        <v>963</v>
      </c>
      <c r="C810">
        <v>166231</v>
      </c>
      <c r="D810">
        <v>166231</v>
      </c>
      <c r="E810">
        <v>10</v>
      </c>
      <c r="F810">
        <v>20</v>
      </c>
      <c r="G810">
        <v>30</v>
      </c>
      <c r="O810">
        <v>60</v>
      </c>
      <c r="S810">
        <f t="shared" si="182"/>
        <v>3.75</v>
      </c>
      <c r="T810">
        <f t="shared" si="183"/>
        <v>0</v>
      </c>
      <c r="U810">
        <f t="shared" si="181"/>
        <v>1</v>
      </c>
      <c r="V810">
        <f t="shared" si="184"/>
        <v>1</v>
      </c>
      <c r="W810">
        <f t="shared" si="185"/>
        <v>0</v>
      </c>
      <c r="X810">
        <f t="shared" si="194"/>
        <v>0</v>
      </c>
      <c r="Y810">
        <f t="shared" si="195"/>
        <v>0</v>
      </c>
      <c r="Z810">
        <f t="shared" si="186"/>
        <v>2</v>
      </c>
      <c r="AA810">
        <f t="shared" si="187"/>
        <v>5</v>
      </c>
      <c r="AB810">
        <f t="shared" si="188"/>
        <v>4.2857142857142856</v>
      </c>
      <c r="AC810">
        <f t="shared" si="189"/>
        <v>0</v>
      </c>
      <c r="AD810" s="1">
        <f t="shared" si="190"/>
        <v>0</v>
      </c>
      <c r="AE810">
        <f t="shared" si="191"/>
        <v>0</v>
      </c>
      <c r="AF810">
        <f t="shared" si="192"/>
        <v>0</v>
      </c>
      <c r="AG810">
        <f t="shared" si="193"/>
        <v>0</v>
      </c>
    </row>
    <row r="811" spans="1:33" x14ac:dyDescent="0.25">
      <c r="A811" t="s">
        <v>1415</v>
      </c>
      <c r="B811" t="s">
        <v>672</v>
      </c>
      <c r="C811">
        <v>165021</v>
      </c>
      <c r="D811">
        <v>165021</v>
      </c>
      <c r="H811">
        <v>20</v>
      </c>
      <c r="I811">
        <v>40</v>
      </c>
      <c r="J811">
        <v>10</v>
      </c>
      <c r="K811">
        <v>10</v>
      </c>
      <c r="L811">
        <v>10</v>
      </c>
      <c r="M811">
        <v>90</v>
      </c>
      <c r="S811">
        <f t="shared" si="182"/>
        <v>0</v>
      </c>
      <c r="T811">
        <f t="shared" si="183"/>
        <v>7.5</v>
      </c>
      <c r="U811">
        <f t="shared" si="181"/>
        <v>1</v>
      </c>
      <c r="V811">
        <f t="shared" si="184"/>
        <v>0</v>
      </c>
      <c r="W811">
        <f t="shared" si="185"/>
        <v>1</v>
      </c>
      <c r="X811">
        <f t="shared" si="194"/>
        <v>0</v>
      </c>
      <c r="Y811">
        <f t="shared" si="195"/>
        <v>1</v>
      </c>
      <c r="Z811">
        <f t="shared" si="186"/>
        <v>0</v>
      </c>
      <c r="AA811">
        <f t="shared" si="187"/>
        <v>0</v>
      </c>
      <c r="AB811">
        <f t="shared" si="188"/>
        <v>0</v>
      </c>
      <c r="AC811">
        <f t="shared" si="189"/>
        <v>10</v>
      </c>
      <c r="AD811" s="1">
        <f t="shared" si="190"/>
        <v>6.666666666666667</v>
      </c>
      <c r="AE811">
        <f t="shared" si="191"/>
        <v>5</v>
      </c>
      <c r="AF811">
        <f t="shared" si="192"/>
        <v>10</v>
      </c>
      <c r="AG811">
        <f t="shared" si="193"/>
        <v>10</v>
      </c>
    </row>
    <row r="812" spans="1:33" x14ac:dyDescent="0.25">
      <c r="A812" t="s">
        <v>1416</v>
      </c>
      <c r="B812" t="s">
        <v>579</v>
      </c>
      <c r="C812">
        <v>165393</v>
      </c>
      <c r="D812">
        <v>165393</v>
      </c>
      <c r="E812">
        <v>10</v>
      </c>
      <c r="F812">
        <v>30</v>
      </c>
      <c r="G812">
        <v>40</v>
      </c>
      <c r="O812">
        <v>80</v>
      </c>
      <c r="S812">
        <f t="shared" si="182"/>
        <v>5</v>
      </c>
      <c r="T812">
        <f t="shared" si="183"/>
        <v>0</v>
      </c>
      <c r="U812">
        <f t="shared" si="181"/>
        <v>1</v>
      </c>
      <c r="V812">
        <f t="shared" si="184"/>
        <v>1</v>
      </c>
      <c r="W812">
        <f t="shared" si="185"/>
        <v>0</v>
      </c>
      <c r="X812">
        <f t="shared" si="194"/>
        <v>0</v>
      </c>
      <c r="Y812">
        <f t="shared" si="195"/>
        <v>0</v>
      </c>
      <c r="Z812">
        <f t="shared" si="186"/>
        <v>2</v>
      </c>
      <c r="AA812">
        <f t="shared" si="187"/>
        <v>7.5</v>
      </c>
      <c r="AB812">
        <f t="shared" si="188"/>
        <v>5.7142857142857144</v>
      </c>
      <c r="AC812">
        <f t="shared" si="189"/>
        <v>0</v>
      </c>
      <c r="AD812" s="1">
        <f t="shared" si="190"/>
        <v>0</v>
      </c>
      <c r="AE812">
        <f t="shared" si="191"/>
        <v>0</v>
      </c>
      <c r="AF812">
        <f t="shared" si="192"/>
        <v>0</v>
      </c>
      <c r="AG812">
        <f t="shared" si="193"/>
        <v>0</v>
      </c>
    </row>
    <row r="813" spans="1:33" x14ac:dyDescent="0.25">
      <c r="A813" t="s">
        <v>1417</v>
      </c>
      <c r="B813" t="s">
        <v>1418</v>
      </c>
      <c r="C813">
        <v>166151</v>
      </c>
      <c r="D813">
        <v>166151</v>
      </c>
      <c r="H813">
        <v>0</v>
      </c>
      <c r="I813">
        <v>30</v>
      </c>
      <c r="J813">
        <v>10</v>
      </c>
      <c r="K813">
        <v>0</v>
      </c>
      <c r="L813">
        <v>0</v>
      </c>
      <c r="M813">
        <v>40</v>
      </c>
      <c r="S813">
        <f t="shared" si="182"/>
        <v>0</v>
      </c>
      <c r="T813">
        <f t="shared" si="183"/>
        <v>3.3333333333333335</v>
      </c>
      <c r="U813">
        <f t="shared" si="181"/>
        <v>1</v>
      </c>
      <c r="V813">
        <f t="shared" si="184"/>
        <v>0</v>
      </c>
      <c r="W813">
        <f t="shared" si="185"/>
        <v>1</v>
      </c>
      <c r="X813">
        <f t="shared" si="194"/>
        <v>0</v>
      </c>
      <c r="Y813">
        <f t="shared" si="195"/>
        <v>0</v>
      </c>
      <c r="Z813">
        <f t="shared" si="186"/>
        <v>0</v>
      </c>
      <c r="AA813">
        <f t="shared" si="187"/>
        <v>0</v>
      </c>
      <c r="AB813">
        <f t="shared" si="188"/>
        <v>0</v>
      </c>
      <c r="AC813">
        <f t="shared" si="189"/>
        <v>0</v>
      </c>
      <c r="AD813" s="1">
        <f t="shared" si="190"/>
        <v>5</v>
      </c>
      <c r="AE813">
        <f t="shared" si="191"/>
        <v>5</v>
      </c>
      <c r="AF813">
        <f t="shared" si="192"/>
        <v>0</v>
      </c>
      <c r="AG813">
        <f t="shared" si="193"/>
        <v>0</v>
      </c>
    </row>
    <row r="814" spans="1:33" x14ac:dyDescent="0.25">
      <c r="A814" t="s">
        <v>1419</v>
      </c>
      <c r="B814" t="s">
        <v>577</v>
      </c>
      <c r="C814">
        <v>167471</v>
      </c>
      <c r="D814">
        <v>167471</v>
      </c>
      <c r="H814">
        <v>20</v>
      </c>
      <c r="I814">
        <v>50</v>
      </c>
      <c r="J814">
        <v>20</v>
      </c>
      <c r="K814">
        <v>10</v>
      </c>
      <c r="L814">
        <v>10</v>
      </c>
      <c r="M814">
        <v>110</v>
      </c>
      <c r="S814">
        <f t="shared" si="182"/>
        <v>0</v>
      </c>
      <c r="T814">
        <f t="shared" si="183"/>
        <v>9.1666666666666661</v>
      </c>
      <c r="U814">
        <f t="shared" si="181"/>
        <v>1</v>
      </c>
      <c r="V814">
        <f t="shared" si="184"/>
        <v>0</v>
      </c>
      <c r="W814">
        <f t="shared" si="185"/>
        <v>1</v>
      </c>
      <c r="X814">
        <f t="shared" si="194"/>
        <v>0</v>
      </c>
      <c r="Y814">
        <f t="shared" si="195"/>
        <v>1</v>
      </c>
      <c r="Z814">
        <f t="shared" si="186"/>
        <v>0</v>
      </c>
      <c r="AA814">
        <f t="shared" si="187"/>
        <v>0</v>
      </c>
      <c r="AB814">
        <f t="shared" si="188"/>
        <v>0</v>
      </c>
      <c r="AC814">
        <f t="shared" si="189"/>
        <v>10</v>
      </c>
      <c r="AD814" s="1">
        <f t="shared" si="190"/>
        <v>8.3333333333333339</v>
      </c>
      <c r="AE814">
        <f t="shared" si="191"/>
        <v>10</v>
      </c>
      <c r="AF814">
        <f t="shared" si="192"/>
        <v>10</v>
      </c>
      <c r="AG814">
        <f t="shared" si="193"/>
        <v>10</v>
      </c>
    </row>
    <row r="815" spans="1:33" x14ac:dyDescent="0.25">
      <c r="A815" t="s">
        <v>1420</v>
      </c>
      <c r="B815" t="s">
        <v>1421</v>
      </c>
      <c r="C815">
        <v>167346</v>
      </c>
      <c r="D815">
        <v>167346</v>
      </c>
      <c r="H815">
        <v>10</v>
      </c>
      <c r="I815">
        <v>30</v>
      </c>
      <c r="J815">
        <v>10</v>
      </c>
      <c r="K815">
        <v>10</v>
      </c>
      <c r="L815">
        <v>0</v>
      </c>
      <c r="M815">
        <v>60</v>
      </c>
      <c r="S815">
        <f t="shared" si="182"/>
        <v>0</v>
      </c>
      <c r="T815">
        <f t="shared" si="183"/>
        <v>5</v>
      </c>
      <c r="U815">
        <f t="shared" si="181"/>
        <v>1</v>
      </c>
      <c r="V815">
        <f t="shared" si="184"/>
        <v>0</v>
      </c>
      <c r="W815">
        <f t="shared" si="185"/>
        <v>1</v>
      </c>
      <c r="X815">
        <f t="shared" si="194"/>
        <v>0</v>
      </c>
      <c r="Y815">
        <f t="shared" si="195"/>
        <v>0</v>
      </c>
      <c r="Z815">
        <f t="shared" si="186"/>
        <v>0</v>
      </c>
      <c r="AA815">
        <f t="shared" si="187"/>
        <v>0</v>
      </c>
      <c r="AB815">
        <f t="shared" si="188"/>
        <v>0</v>
      </c>
      <c r="AC815">
        <f t="shared" si="189"/>
        <v>5</v>
      </c>
      <c r="AD815" s="1">
        <f t="shared" si="190"/>
        <v>5</v>
      </c>
      <c r="AE815">
        <f t="shared" si="191"/>
        <v>5</v>
      </c>
      <c r="AF815">
        <f t="shared" si="192"/>
        <v>10</v>
      </c>
      <c r="AG815">
        <f t="shared" si="193"/>
        <v>0</v>
      </c>
    </row>
    <row r="816" spans="1:33" x14ac:dyDescent="0.25">
      <c r="A816" t="s">
        <v>1422</v>
      </c>
      <c r="B816" t="s">
        <v>460</v>
      </c>
      <c r="C816">
        <v>167278</v>
      </c>
      <c r="D816">
        <v>167278</v>
      </c>
      <c r="E816">
        <v>30</v>
      </c>
      <c r="F816">
        <v>20</v>
      </c>
      <c r="G816">
        <v>20</v>
      </c>
      <c r="O816">
        <v>70</v>
      </c>
      <c r="S816">
        <f t="shared" si="182"/>
        <v>4.375</v>
      </c>
      <c r="T816">
        <f t="shared" si="183"/>
        <v>0</v>
      </c>
      <c r="U816">
        <f t="shared" si="181"/>
        <v>1</v>
      </c>
      <c r="V816">
        <f t="shared" si="184"/>
        <v>1</v>
      </c>
      <c r="W816">
        <f t="shared" si="185"/>
        <v>0</v>
      </c>
      <c r="X816">
        <f t="shared" si="194"/>
        <v>0</v>
      </c>
      <c r="Y816">
        <f t="shared" si="195"/>
        <v>0</v>
      </c>
      <c r="Z816">
        <f t="shared" si="186"/>
        <v>6</v>
      </c>
      <c r="AA816">
        <f t="shared" si="187"/>
        <v>5</v>
      </c>
      <c r="AB816">
        <f t="shared" si="188"/>
        <v>2.8571428571428572</v>
      </c>
      <c r="AC816">
        <f t="shared" si="189"/>
        <v>0</v>
      </c>
      <c r="AD816" s="1">
        <f t="shared" si="190"/>
        <v>0</v>
      </c>
      <c r="AE816">
        <f t="shared" si="191"/>
        <v>0</v>
      </c>
      <c r="AF816">
        <f t="shared" si="192"/>
        <v>0</v>
      </c>
      <c r="AG816">
        <f t="shared" si="193"/>
        <v>0</v>
      </c>
    </row>
    <row r="817" spans="1:33" x14ac:dyDescent="0.25">
      <c r="A817" t="s">
        <v>1423</v>
      </c>
      <c r="B817" t="s">
        <v>1424</v>
      </c>
      <c r="C817">
        <v>167002</v>
      </c>
      <c r="D817">
        <v>167002</v>
      </c>
      <c r="E817">
        <v>40</v>
      </c>
      <c r="F817">
        <v>40</v>
      </c>
      <c r="G817">
        <v>30</v>
      </c>
      <c r="O817">
        <v>110</v>
      </c>
      <c r="S817">
        <f t="shared" si="182"/>
        <v>6.875</v>
      </c>
      <c r="T817">
        <f t="shared" si="183"/>
        <v>0</v>
      </c>
      <c r="U817">
        <f t="shared" si="181"/>
        <v>1</v>
      </c>
      <c r="V817">
        <f t="shared" si="184"/>
        <v>1</v>
      </c>
      <c r="W817">
        <f t="shared" si="185"/>
        <v>0</v>
      </c>
      <c r="X817">
        <f t="shared" si="194"/>
        <v>1</v>
      </c>
      <c r="Y817">
        <f t="shared" si="195"/>
        <v>0</v>
      </c>
      <c r="Z817">
        <f t="shared" si="186"/>
        <v>8</v>
      </c>
      <c r="AA817">
        <f t="shared" si="187"/>
        <v>10</v>
      </c>
      <c r="AB817">
        <f t="shared" si="188"/>
        <v>4.2857142857142856</v>
      </c>
      <c r="AC817">
        <f t="shared" si="189"/>
        <v>0</v>
      </c>
      <c r="AD817" s="1">
        <f t="shared" si="190"/>
        <v>0</v>
      </c>
      <c r="AE817">
        <f t="shared" si="191"/>
        <v>0</v>
      </c>
      <c r="AF817">
        <f t="shared" si="192"/>
        <v>0</v>
      </c>
      <c r="AG817">
        <f t="shared" si="193"/>
        <v>0</v>
      </c>
    </row>
    <row r="818" spans="1:33" x14ac:dyDescent="0.25">
      <c r="A818" t="s">
        <v>1425</v>
      </c>
      <c r="B818" t="s">
        <v>1426</v>
      </c>
      <c r="C818">
        <v>163776</v>
      </c>
      <c r="D818">
        <v>163776</v>
      </c>
      <c r="E818">
        <v>10</v>
      </c>
      <c r="F818">
        <v>20</v>
      </c>
      <c r="G818">
        <v>30</v>
      </c>
      <c r="O818">
        <v>60</v>
      </c>
      <c r="S818">
        <f t="shared" si="182"/>
        <v>3.75</v>
      </c>
      <c r="T818">
        <f t="shared" si="183"/>
        <v>0</v>
      </c>
      <c r="U818">
        <f t="shared" si="181"/>
        <v>1</v>
      </c>
      <c r="V818">
        <f t="shared" si="184"/>
        <v>1</v>
      </c>
      <c r="W818">
        <f t="shared" si="185"/>
        <v>0</v>
      </c>
      <c r="X818">
        <f t="shared" si="194"/>
        <v>0</v>
      </c>
      <c r="Y818">
        <f t="shared" si="195"/>
        <v>0</v>
      </c>
      <c r="Z818">
        <f t="shared" si="186"/>
        <v>2</v>
      </c>
      <c r="AA818">
        <f t="shared" si="187"/>
        <v>5</v>
      </c>
      <c r="AB818">
        <f t="shared" si="188"/>
        <v>4.2857142857142856</v>
      </c>
      <c r="AC818">
        <f t="shared" si="189"/>
        <v>0</v>
      </c>
      <c r="AD818" s="1">
        <f t="shared" si="190"/>
        <v>0</v>
      </c>
      <c r="AE818">
        <f t="shared" si="191"/>
        <v>0</v>
      </c>
      <c r="AF818">
        <f t="shared" si="192"/>
        <v>0</v>
      </c>
      <c r="AG818">
        <f t="shared" si="193"/>
        <v>0</v>
      </c>
    </row>
    <row r="819" spans="1:33" x14ac:dyDescent="0.25">
      <c r="A819" t="s">
        <v>1427</v>
      </c>
      <c r="B819" t="s">
        <v>286</v>
      </c>
      <c r="C819">
        <v>167335</v>
      </c>
      <c r="D819">
        <v>167335</v>
      </c>
      <c r="E819">
        <v>30</v>
      </c>
      <c r="F819">
        <v>20</v>
      </c>
      <c r="G819">
        <v>40</v>
      </c>
      <c r="O819">
        <v>90</v>
      </c>
      <c r="S819">
        <f t="shared" si="182"/>
        <v>5.625</v>
      </c>
      <c r="T819">
        <f t="shared" si="183"/>
        <v>0</v>
      </c>
      <c r="U819">
        <f t="shared" si="181"/>
        <v>1</v>
      </c>
      <c r="V819">
        <f t="shared" si="184"/>
        <v>1</v>
      </c>
      <c r="W819">
        <f t="shared" si="185"/>
        <v>0</v>
      </c>
      <c r="X819">
        <f t="shared" si="194"/>
        <v>0</v>
      </c>
      <c r="Y819">
        <f t="shared" si="195"/>
        <v>0</v>
      </c>
      <c r="Z819">
        <f t="shared" si="186"/>
        <v>6</v>
      </c>
      <c r="AA819">
        <f t="shared" si="187"/>
        <v>5</v>
      </c>
      <c r="AB819">
        <f t="shared" si="188"/>
        <v>5.7142857142857144</v>
      </c>
      <c r="AC819">
        <f t="shared" si="189"/>
        <v>0</v>
      </c>
      <c r="AD819" s="1">
        <f t="shared" si="190"/>
        <v>0</v>
      </c>
      <c r="AE819">
        <f t="shared" si="191"/>
        <v>0</v>
      </c>
      <c r="AF819">
        <f t="shared" si="192"/>
        <v>0</v>
      </c>
      <c r="AG819">
        <f t="shared" si="193"/>
        <v>0</v>
      </c>
    </row>
    <row r="820" spans="1:33" x14ac:dyDescent="0.25">
      <c r="A820" t="s">
        <v>1428</v>
      </c>
      <c r="B820" t="s">
        <v>338</v>
      </c>
      <c r="C820">
        <v>167369</v>
      </c>
      <c r="D820">
        <v>167369</v>
      </c>
      <c r="H820">
        <v>20</v>
      </c>
      <c r="I820">
        <v>40</v>
      </c>
      <c r="J820">
        <v>10</v>
      </c>
      <c r="K820">
        <v>10</v>
      </c>
      <c r="L820">
        <v>10</v>
      </c>
      <c r="M820">
        <v>90</v>
      </c>
      <c r="S820">
        <f t="shared" si="182"/>
        <v>0</v>
      </c>
      <c r="T820">
        <f t="shared" si="183"/>
        <v>7.5</v>
      </c>
      <c r="U820">
        <f t="shared" si="181"/>
        <v>1</v>
      </c>
      <c r="V820">
        <f t="shared" si="184"/>
        <v>0</v>
      </c>
      <c r="W820">
        <f t="shared" si="185"/>
        <v>1</v>
      </c>
      <c r="X820">
        <f t="shared" si="194"/>
        <v>0</v>
      </c>
      <c r="Y820">
        <f t="shared" si="195"/>
        <v>1</v>
      </c>
      <c r="Z820">
        <f t="shared" si="186"/>
        <v>0</v>
      </c>
      <c r="AA820">
        <f t="shared" si="187"/>
        <v>0</v>
      </c>
      <c r="AB820">
        <f t="shared" si="188"/>
        <v>0</v>
      </c>
      <c r="AC820">
        <f t="shared" si="189"/>
        <v>10</v>
      </c>
      <c r="AD820" s="1">
        <f t="shared" si="190"/>
        <v>6.666666666666667</v>
      </c>
      <c r="AE820">
        <f t="shared" si="191"/>
        <v>5</v>
      </c>
      <c r="AF820">
        <f t="shared" si="192"/>
        <v>10</v>
      </c>
      <c r="AG820">
        <f t="shared" si="193"/>
        <v>10</v>
      </c>
    </row>
    <row r="821" spans="1:33" x14ac:dyDescent="0.25">
      <c r="A821" t="s">
        <v>1429</v>
      </c>
      <c r="B821" t="s">
        <v>130</v>
      </c>
      <c r="C821">
        <v>168051</v>
      </c>
      <c r="D821">
        <v>168051</v>
      </c>
      <c r="E821">
        <v>30</v>
      </c>
      <c r="F821">
        <v>10</v>
      </c>
      <c r="G821">
        <v>20</v>
      </c>
      <c r="O821">
        <v>60</v>
      </c>
      <c r="S821">
        <f t="shared" si="182"/>
        <v>3.75</v>
      </c>
      <c r="T821">
        <f t="shared" si="183"/>
        <v>0</v>
      </c>
      <c r="U821">
        <f t="shared" si="181"/>
        <v>1</v>
      </c>
      <c r="V821">
        <f t="shared" si="184"/>
        <v>1</v>
      </c>
      <c r="W821">
        <f t="shared" si="185"/>
        <v>0</v>
      </c>
      <c r="X821">
        <f t="shared" si="194"/>
        <v>0</v>
      </c>
      <c r="Y821">
        <f t="shared" si="195"/>
        <v>0</v>
      </c>
      <c r="Z821">
        <f t="shared" si="186"/>
        <v>6</v>
      </c>
      <c r="AA821">
        <f t="shared" si="187"/>
        <v>2.5</v>
      </c>
      <c r="AB821">
        <f t="shared" si="188"/>
        <v>2.8571428571428572</v>
      </c>
      <c r="AC821">
        <f t="shared" si="189"/>
        <v>0</v>
      </c>
      <c r="AD821" s="1">
        <f t="shared" si="190"/>
        <v>0</v>
      </c>
      <c r="AE821">
        <f t="shared" si="191"/>
        <v>0</v>
      </c>
      <c r="AF821">
        <f t="shared" si="192"/>
        <v>0</v>
      </c>
      <c r="AG821">
        <f t="shared" si="193"/>
        <v>0</v>
      </c>
    </row>
    <row r="822" spans="1:33" x14ac:dyDescent="0.25">
      <c r="A822" t="s">
        <v>1430</v>
      </c>
      <c r="B822" t="s">
        <v>59</v>
      </c>
      <c r="C822">
        <v>165302</v>
      </c>
      <c r="D822">
        <v>165302</v>
      </c>
      <c r="S822">
        <f t="shared" si="182"/>
        <v>0</v>
      </c>
      <c r="T822">
        <f t="shared" si="183"/>
        <v>0</v>
      </c>
      <c r="U822">
        <f t="shared" si="181"/>
        <v>0</v>
      </c>
      <c r="V822">
        <f t="shared" si="184"/>
        <v>0</v>
      </c>
      <c r="W822">
        <f t="shared" si="185"/>
        <v>0</v>
      </c>
      <c r="X822">
        <f t="shared" si="194"/>
        <v>0</v>
      </c>
      <c r="Y822">
        <f t="shared" si="195"/>
        <v>0</v>
      </c>
      <c r="Z822">
        <f t="shared" si="186"/>
        <v>0</v>
      </c>
      <c r="AA822">
        <f t="shared" si="187"/>
        <v>0</v>
      </c>
      <c r="AB822">
        <f t="shared" si="188"/>
        <v>0</v>
      </c>
      <c r="AC822">
        <f t="shared" si="189"/>
        <v>0</v>
      </c>
      <c r="AD822" s="1">
        <f t="shared" si="190"/>
        <v>0</v>
      </c>
      <c r="AE822">
        <f t="shared" si="191"/>
        <v>0</v>
      </c>
      <c r="AF822">
        <f t="shared" si="192"/>
        <v>0</v>
      </c>
      <c r="AG822">
        <f t="shared" si="193"/>
        <v>0</v>
      </c>
    </row>
    <row r="823" spans="1:33" x14ac:dyDescent="0.25">
      <c r="A823" t="s">
        <v>1431</v>
      </c>
      <c r="B823" t="s">
        <v>1432</v>
      </c>
      <c r="C823">
        <v>166419</v>
      </c>
      <c r="D823">
        <v>166419</v>
      </c>
      <c r="H823">
        <v>10</v>
      </c>
      <c r="I823">
        <v>40</v>
      </c>
      <c r="J823">
        <v>10</v>
      </c>
      <c r="K823">
        <v>10</v>
      </c>
      <c r="L823">
        <v>10</v>
      </c>
      <c r="M823">
        <v>80</v>
      </c>
      <c r="S823">
        <f t="shared" si="182"/>
        <v>0</v>
      </c>
      <c r="T823">
        <f t="shared" si="183"/>
        <v>6.666666666666667</v>
      </c>
      <c r="U823">
        <f t="shared" si="181"/>
        <v>1</v>
      </c>
      <c r="V823">
        <f t="shared" si="184"/>
        <v>0</v>
      </c>
      <c r="W823">
        <f t="shared" si="185"/>
        <v>1</v>
      </c>
      <c r="X823">
        <f t="shared" si="194"/>
        <v>0</v>
      </c>
      <c r="Y823">
        <f t="shared" si="195"/>
        <v>1</v>
      </c>
      <c r="Z823">
        <f t="shared" si="186"/>
        <v>0</v>
      </c>
      <c r="AA823">
        <f t="shared" si="187"/>
        <v>0</v>
      </c>
      <c r="AB823">
        <f t="shared" si="188"/>
        <v>0</v>
      </c>
      <c r="AC823">
        <f t="shared" si="189"/>
        <v>5</v>
      </c>
      <c r="AD823" s="1">
        <f t="shared" si="190"/>
        <v>6.666666666666667</v>
      </c>
      <c r="AE823">
        <f t="shared" si="191"/>
        <v>5</v>
      </c>
      <c r="AF823">
        <f t="shared" si="192"/>
        <v>10</v>
      </c>
      <c r="AG823">
        <f t="shared" si="193"/>
        <v>10</v>
      </c>
    </row>
    <row r="824" spans="1:33" x14ac:dyDescent="0.25">
      <c r="A824" t="s">
        <v>1433</v>
      </c>
      <c r="B824" t="s">
        <v>1240</v>
      </c>
      <c r="C824">
        <v>168741</v>
      </c>
      <c r="D824">
        <v>168741</v>
      </c>
      <c r="H824">
        <v>10</v>
      </c>
      <c r="I824">
        <v>50</v>
      </c>
      <c r="J824">
        <v>20</v>
      </c>
      <c r="K824">
        <v>10</v>
      </c>
      <c r="L824">
        <v>10</v>
      </c>
      <c r="M824">
        <v>100</v>
      </c>
      <c r="S824">
        <f t="shared" si="182"/>
        <v>0</v>
      </c>
      <c r="T824">
        <f t="shared" si="183"/>
        <v>8.3333333333333339</v>
      </c>
      <c r="U824">
        <f t="shared" si="181"/>
        <v>1</v>
      </c>
      <c r="V824">
        <f t="shared" si="184"/>
        <v>0</v>
      </c>
      <c r="W824">
        <f t="shared" si="185"/>
        <v>1</v>
      </c>
      <c r="X824">
        <f t="shared" si="194"/>
        <v>0</v>
      </c>
      <c r="Y824">
        <f t="shared" si="195"/>
        <v>1</v>
      </c>
      <c r="Z824">
        <f t="shared" si="186"/>
        <v>0</v>
      </c>
      <c r="AA824">
        <f t="shared" si="187"/>
        <v>0</v>
      </c>
      <c r="AB824">
        <f t="shared" si="188"/>
        <v>0</v>
      </c>
      <c r="AC824">
        <f t="shared" si="189"/>
        <v>5</v>
      </c>
      <c r="AD824" s="1">
        <f t="shared" si="190"/>
        <v>8.3333333333333339</v>
      </c>
      <c r="AE824">
        <f t="shared" si="191"/>
        <v>10</v>
      </c>
      <c r="AF824">
        <f t="shared" si="192"/>
        <v>10</v>
      </c>
      <c r="AG824">
        <f t="shared" si="193"/>
        <v>10</v>
      </c>
    </row>
    <row r="825" spans="1:33" x14ac:dyDescent="0.25">
      <c r="A825" t="s">
        <v>1434</v>
      </c>
      <c r="B825" t="s">
        <v>1435</v>
      </c>
      <c r="C825">
        <v>168075</v>
      </c>
      <c r="D825">
        <v>168075</v>
      </c>
      <c r="E825">
        <v>30</v>
      </c>
      <c r="F825">
        <v>20</v>
      </c>
      <c r="G825">
        <v>30</v>
      </c>
      <c r="O825">
        <v>80</v>
      </c>
      <c r="S825">
        <f t="shared" si="182"/>
        <v>5</v>
      </c>
      <c r="T825">
        <f t="shared" si="183"/>
        <v>0</v>
      </c>
      <c r="U825">
        <f t="shared" si="181"/>
        <v>1</v>
      </c>
      <c r="V825">
        <f t="shared" si="184"/>
        <v>1</v>
      </c>
      <c r="W825">
        <f t="shared" si="185"/>
        <v>0</v>
      </c>
      <c r="X825">
        <f t="shared" si="194"/>
        <v>0</v>
      </c>
      <c r="Y825">
        <f t="shared" si="195"/>
        <v>0</v>
      </c>
      <c r="Z825">
        <f t="shared" si="186"/>
        <v>6</v>
      </c>
      <c r="AA825">
        <f t="shared" si="187"/>
        <v>5</v>
      </c>
      <c r="AB825">
        <f t="shared" si="188"/>
        <v>4.2857142857142856</v>
      </c>
      <c r="AC825">
        <f t="shared" si="189"/>
        <v>0</v>
      </c>
      <c r="AD825" s="1">
        <f t="shared" si="190"/>
        <v>0</v>
      </c>
      <c r="AE825">
        <f t="shared" si="191"/>
        <v>0</v>
      </c>
      <c r="AF825">
        <f t="shared" si="192"/>
        <v>0</v>
      </c>
      <c r="AG825">
        <f t="shared" si="193"/>
        <v>0</v>
      </c>
    </row>
    <row r="826" spans="1:33" x14ac:dyDescent="0.25">
      <c r="A826" t="s">
        <v>1436</v>
      </c>
      <c r="B826" t="s">
        <v>1437</v>
      </c>
      <c r="C826">
        <v>168711</v>
      </c>
      <c r="D826">
        <v>168711</v>
      </c>
      <c r="E826">
        <v>0</v>
      </c>
      <c r="F826">
        <v>10</v>
      </c>
      <c r="G826">
        <v>10</v>
      </c>
      <c r="O826">
        <v>20</v>
      </c>
      <c r="S826">
        <f t="shared" si="182"/>
        <v>1.25</v>
      </c>
      <c r="T826">
        <f t="shared" si="183"/>
        <v>0</v>
      </c>
      <c r="U826">
        <f t="shared" si="181"/>
        <v>1</v>
      </c>
      <c r="V826">
        <f t="shared" si="184"/>
        <v>1</v>
      </c>
      <c r="W826">
        <f t="shared" si="185"/>
        <v>0</v>
      </c>
      <c r="X826">
        <f t="shared" si="194"/>
        <v>0</v>
      </c>
      <c r="Y826">
        <f t="shared" si="195"/>
        <v>0</v>
      </c>
      <c r="Z826">
        <f t="shared" si="186"/>
        <v>0</v>
      </c>
      <c r="AA826">
        <f t="shared" si="187"/>
        <v>2.5</v>
      </c>
      <c r="AB826">
        <f t="shared" si="188"/>
        <v>1.4285714285714286</v>
      </c>
      <c r="AC826">
        <f t="shared" si="189"/>
        <v>0</v>
      </c>
      <c r="AD826" s="1">
        <f t="shared" si="190"/>
        <v>0</v>
      </c>
      <c r="AE826">
        <f t="shared" si="191"/>
        <v>0</v>
      </c>
      <c r="AF826">
        <f t="shared" si="192"/>
        <v>0</v>
      </c>
      <c r="AG826">
        <f t="shared" si="193"/>
        <v>0</v>
      </c>
    </row>
    <row r="827" spans="1:33" x14ac:dyDescent="0.25">
      <c r="A827" t="s">
        <v>1438</v>
      </c>
      <c r="B827" t="s">
        <v>963</v>
      </c>
      <c r="C827">
        <v>167001</v>
      </c>
      <c r="D827">
        <v>167001</v>
      </c>
      <c r="H827">
        <v>20</v>
      </c>
      <c r="I827">
        <v>40</v>
      </c>
      <c r="J827">
        <v>20</v>
      </c>
      <c r="K827">
        <v>0</v>
      </c>
      <c r="L827">
        <v>10</v>
      </c>
      <c r="M827">
        <v>90</v>
      </c>
      <c r="S827">
        <f t="shared" si="182"/>
        <v>0</v>
      </c>
      <c r="T827">
        <f t="shared" si="183"/>
        <v>7.5</v>
      </c>
      <c r="U827">
        <f t="shared" si="181"/>
        <v>1</v>
      </c>
      <c r="V827">
        <f t="shared" si="184"/>
        <v>0</v>
      </c>
      <c r="W827">
        <f t="shared" si="185"/>
        <v>1</v>
      </c>
      <c r="X827">
        <f t="shared" si="194"/>
        <v>0</v>
      </c>
      <c r="Y827">
        <f t="shared" si="195"/>
        <v>1</v>
      </c>
      <c r="Z827">
        <f t="shared" si="186"/>
        <v>0</v>
      </c>
      <c r="AA827">
        <f t="shared" si="187"/>
        <v>0</v>
      </c>
      <c r="AB827">
        <f t="shared" si="188"/>
        <v>0</v>
      </c>
      <c r="AC827">
        <f t="shared" si="189"/>
        <v>10</v>
      </c>
      <c r="AD827" s="1">
        <f t="shared" si="190"/>
        <v>6.666666666666667</v>
      </c>
      <c r="AE827">
        <f t="shared" si="191"/>
        <v>10</v>
      </c>
      <c r="AF827">
        <f t="shared" si="192"/>
        <v>0</v>
      </c>
      <c r="AG827">
        <f t="shared" si="193"/>
        <v>10</v>
      </c>
    </row>
    <row r="828" spans="1:33" x14ac:dyDescent="0.25">
      <c r="A828" t="s">
        <v>1439</v>
      </c>
      <c r="B828" t="s">
        <v>1440</v>
      </c>
      <c r="C828">
        <v>165344</v>
      </c>
      <c r="D828">
        <v>165344</v>
      </c>
      <c r="H828">
        <v>20</v>
      </c>
      <c r="I828">
        <v>50</v>
      </c>
      <c r="J828">
        <v>20</v>
      </c>
      <c r="K828">
        <v>10</v>
      </c>
      <c r="L828">
        <v>10</v>
      </c>
      <c r="M828">
        <v>110</v>
      </c>
      <c r="S828">
        <f t="shared" si="182"/>
        <v>0</v>
      </c>
      <c r="T828">
        <f t="shared" si="183"/>
        <v>9.1666666666666661</v>
      </c>
      <c r="U828">
        <f t="shared" si="181"/>
        <v>1</v>
      </c>
      <c r="V828">
        <f t="shared" si="184"/>
        <v>0</v>
      </c>
      <c r="W828">
        <f t="shared" si="185"/>
        <v>1</v>
      </c>
      <c r="X828">
        <f t="shared" si="194"/>
        <v>0</v>
      </c>
      <c r="Y828">
        <f t="shared" si="195"/>
        <v>1</v>
      </c>
      <c r="Z828">
        <f t="shared" si="186"/>
        <v>0</v>
      </c>
      <c r="AA828">
        <f t="shared" si="187"/>
        <v>0</v>
      </c>
      <c r="AB828">
        <f t="shared" si="188"/>
        <v>0</v>
      </c>
      <c r="AC828">
        <f t="shared" si="189"/>
        <v>10</v>
      </c>
      <c r="AD828" s="1">
        <f t="shared" si="190"/>
        <v>8.3333333333333339</v>
      </c>
      <c r="AE828">
        <f t="shared" si="191"/>
        <v>10</v>
      </c>
      <c r="AF828">
        <f t="shared" si="192"/>
        <v>10</v>
      </c>
      <c r="AG828">
        <f t="shared" si="193"/>
        <v>10</v>
      </c>
    </row>
    <row r="829" spans="1:33" x14ac:dyDescent="0.25">
      <c r="A829" t="s">
        <v>1441</v>
      </c>
      <c r="B829" t="s">
        <v>1442</v>
      </c>
      <c r="C829">
        <v>167725</v>
      </c>
      <c r="D829">
        <v>167725</v>
      </c>
      <c r="H829">
        <v>20</v>
      </c>
      <c r="I829">
        <v>40</v>
      </c>
      <c r="J829">
        <v>10</v>
      </c>
      <c r="K829">
        <v>0</v>
      </c>
      <c r="L829">
        <v>0</v>
      </c>
      <c r="M829">
        <v>70</v>
      </c>
      <c r="S829">
        <f t="shared" si="182"/>
        <v>0</v>
      </c>
      <c r="T829">
        <f t="shared" si="183"/>
        <v>5.833333333333333</v>
      </c>
      <c r="U829">
        <f t="shared" si="181"/>
        <v>1</v>
      </c>
      <c r="V829">
        <f t="shared" si="184"/>
        <v>0</v>
      </c>
      <c r="W829">
        <f t="shared" si="185"/>
        <v>1</v>
      </c>
      <c r="X829">
        <f t="shared" si="194"/>
        <v>0</v>
      </c>
      <c r="Y829">
        <f t="shared" si="195"/>
        <v>0</v>
      </c>
      <c r="Z829">
        <f t="shared" si="186"/>
        <v>0</v>
      </c>
      <c r="AA829">
        <f t="shared" si="187"/>
        <v>0</v>
      </c>
      <c r="AB829">
        <f t="shared" si="188"/>
        <v>0</v>
      </c>
      <c r="AC829">
        <f t="shared" si="189"/>
        <v>10</v>
      </c>
      <c r="AD829" s="1">
        <f t="shared" si="190"/>
        <v>6.666666666666667</v>
      </c>
      <c r="AE829">
        <f t="shared" si="191"/>
        <v>5</v>
      </c>
      <c r="AF829">
        <f t="shared" si="192"/>
        <v>0</v>
      </c>
      <c r="AG829">
        <f t="shared" si="193"/>
        <v>0</v>
      </c>
    </row>
    <row r="830" spans="1:33" x14ac:dyDescent="0.25">
      <c r="A830" t="s">
        <v>1443</v>
      </c>
      <c r="B830" t="s">
        <v>1444</v>
      </c>
      <c r="C830">
        <v>167013</v>
      </c>
      <c r="D830">
        <v>167013</v>
      </c>
      <c r="H830">
        <v>20</v>
      </c>
      <c r="I830">
        <v>30</v>
      </c>
      <c r="J830">
        <v>0</v>
      </c>
      <c r="K830">
        <v>10</v>
      </c>
      <c r="L830">
        <v>10</v>
      </c>
      <c r="M830">
        <v>70</v>
      </c>
      <c r="S830">
        <f t="shared" si="182"/>
        <v>0</v>
      </c>
      <c r="T830">
        <f t="shared" si="183"/>
        <v>5.833333333333333</v>
      </c>
      <c r="U830">
        <f t="shared" si="181"/>
        <v>1</v>
      </c>
      <c r="V830">
        <f t="shared" si="184"/>
        <v>0</v>
      </c>
      <c r="W830">
        <f t="shared" si="185"/>
        <v>1</v>
      </c>
      <c r="X830">
        <f t="shared" si="194"/>
        <v>0</v>
      </c>
      <c r="Y830">
        <f t="shared" si="195"/>
        <v>0</v>
      </c>
      <c r="Z830">
        <f t="shared" si="186"/>
        <v>0</v>
      </c>
      <c r="AA830">
        <f t="shared" si="187"/>
        <v>0</v>
      </c>
      <c r="AB830">
        <f t="shared" si="188"/>
        <v>0</v>
      </c>
      <c r="AC830">
        <f t="shared" si="189"/>
        <v>10</v>
      </c>
      <c r="AD830" s="1">
        <f t="shared" si="190"/>
        <v>5</v>
      </c>
      <c r="AE830">
        <f t="shared" si="191"/>
        <v>0</v>
      </c>
      <c r="AF830">
        <f t="shared" si="192"/>
        <v>10</v>
      </c>
      <c r="AG830">
        <f t="shared" si="193"/>
        <v>10</v>
      </c>
    </row>
    <row r="831" spans="1:33" x14ac:dyDescent="0.25">
      <c r="A831" t="s">
        <v>1445</v>
      </c>
      <c r="B831" t="s">
        <v>1446</v>
      </c>
      <c r="C831">
        <v>166011</v>
      </c>
      <c r="D831">
        <v>166011</v>
      </c>
      <c r="H831">
        <v>20</v>
      </c>
      <c r="I831">
        <v>40</v>
      </c>
      <c r="J831">
        <v>10</v>
      </c>
      <c r="K831">
        <v>10</v>
      </c>
      <c r="L831">
        <v>0</v>
      </c>
      <c r="M831">
        <v>80</v>
      </c>
      <c r="S831">
        <f t="shared" si="182"/>
        <v>0</v>
      </c>
      <c r="T831">
        <f t="shared" si="183"/>
        <v>6.666666666666667</v>
      </c>
      <c r="U831">
        <f t="shared" si="181"/>
        <v>1</v>
      </c>
      <c r="V831">
        <f t="shared" si="184"/>
        <v>0</v>
      </c>
      <c r="W831">
        <f t="shared" si="185"/>
        <v>1</v>
      </c>
      <c r="X831">
        <f t="shared" si="194"/>
        <v>0</v>
      </c>
      <c r="Y831">
        <f t="shared" si="195"/>
        <v>1</v>
      </c>
      <c r="Z831">
        <f t="shared" si="186"/>
        <v>0</v>
      </c>
      <c r="AA831">
        <f t="shared" si="187"/>
        <v>0</v>
      </c>
      <c r="AB831">
        <f t="shared" si="188"/>
        <v>0</v>
      </c>
      <c r="AC831">
        <f t="shared" si="189"/>
        <v>10</v>
      </c>
      <c r="AD831" s="1">
        <f t="shared" si="190"/>
        <v>6.666666666666667</v>
      </c>
      <c r="AE831">
        <f t="shared" si="191"/>
        <v>5</v>
      </c>
      <c r="AF831">
        <f t="shared" si="192"/>
        <v>10</v>
      </c>
      <c r="AG831">
        <f t="shared" si="193"/>
        <v>0</v>
      </c>
    </row>
    <row r="832" spans="1:33" x14ac:dyDescent="0.25">
      <c r="A832" t="s">
        <v>1447</v>
      </c>
      <c r="B832" t="s">
        <v>1448</v>
      </c>
      <c r="C832">
        <v>160025</v>
      </c>
      <c r="D832">
        <v>160025</v>
      </c>
      <c r="H832">
        <v>0</v>
      </c>
      <c r="I832">
        <v>20</v>
      </c>
      <c r="J832">
        <v>0</v>
      </c>
      <c r="K832">
        <v>0</v>
      </c>
      <c r="L832">
        <v>10</v>
      </c>
      <c r="M832">
        <v>30</v>
      </c>
      <c r="S832">
        <f t="shared" si="182"/>
        <v>0</v>
      </c>
      <c r="T832">
        <f t="shared" si="183"/>
        <v>2.5</v>
      </c>
      <c r="U832">
        <f t="shared" si="181"/>
        <v>1</v>
      </c>
      <c r="V832">
        <f t="shared" si="184"/>
        <v>0</v>
      </c>
      <c r="W832">
        <f t="shared" si="185"/>
        <v>1</v>
      </c>
      <c r="X832">
        <f t="shared" si="194"/>
        <v>0</v>
      </c>
      <c r="Y832">
        <f t="shared" si="195"/>
        <v>0</v>
      </c>
      <c r="Z832">
        <f t="shared" si="186"/>
        <v>0</v>
      </c>
      <c r="AA832">
        <f t="shared" si="187"/>
        <v>0</v>
      </c>
      <c r="AB832">
        <f t="shared" si="188"/>
        <v>0</v>
      </c>
      <c r="AC832">
        <f t="shared" si="189"/>
        <v>0</v>
      </c>
      <c r="AD832" s="1">
        <f t="shared" si="190"/>
        <v>3.3333333333333335</v>
      </c>
      <c r="AE832">
        <f t="shared" si="191"/>
        <v>0</v>
      </c>
      <c r="AF832">
        <f t="shared" si="192"/>
        <v>0</v>
      </c>
      <c r="AG832">
        <f t="shared" si="193"/>
        <v>10</v>
      </c>
    </row>
    <row r="833" spans="1:33" x14ac:dyDescent="0.25">
      <c r="A833" t="s">
        <v>1449</v>
      </c>
      <c r="B833" t="s">
        <v>197</v>
      </c>
      <c r="C833">
        <v>168480</v>
      </c>
      <c r="D833">
        <v>168480</v>
      </c>
      <c r="E833">
        <v>20</v>
      </c>
      <c r="F833">
        <v>10</v>
      </c>
      <c r="G833">
        <v>30</v>
      </c>
      <c r="O833">
        <v>60</v>
      </c>
      <c r="S833">
        <f t="shared" si="182"/>
        <v>3.75</v>
      </c>
      <c r="T833">
        <f t="shared" si="183"/>
        <v>0</v>
      </c>
      <c r="U833">
        <f t="shared" si="181"/>
        <v>1</v>
      </c>
      <c r="V833">
        <f t="shared" si="184"/>
        <v>1</v>
      </c>
      <c r="W833">
        <f t="shared" si="185"/>
        <v>0</v>
      </c>
      <c r="X833">
        <f t="shared" si="194"/>
        <v>0</v>
      </c>
      <c r="Y833">
        <f t="shared" si="195"/>
        <v>0</v>
      </c>
      <c r="Z833">
        <f t="shared" si="186"/>
        <v>4</v>
      </c>
      <c r="AA833">
        <f t="shared" si="187"/>
        <v>2.5</v>
      </c>
      <c r="AB833">
        <f t="shared" si="188"/>
        <v>4.2857142857142856</v>
      </c>
      <c r="AC833">
        <f t="shared" si="189"/>
        <v>0</v>
      </c>
      <c r="AD833" s="1">
        <f t="shared" si="190"/>
        <v>0</v>
      </c>
      <c r="AE833">
        <f t="shared" si="191"/>
        <v>0</v>
      </c>
      <c r="AF833">
        <f t="shared" si="192"/>
        <v>0</v>
      </c>
      <c r="AG833">
        <f t="shared" si="193"/>
        <v>0</v>
      </c>
    </row>
    <row r="834" spans="1:33" x14ac:dyDescent="0.25">
      <c r="A834" t="s">
        <v>1450</v>
      </c>
      <c r="B834" t="s">
        <v>1451</v>
      </c>
      <c r="C834">
        <v>167859</v>
      </c>
      <c r="D834">
        <v>167859</v>
      </c>
      <c r="E834">
        <v>0</v>
      </c>
      <c r="F834">
        <v>20</v>
      </c>
      <c r="G834">
        <v>30</v>
      </c>
      <c r="O834">
        <v>50</v>
      </c>
      <c r="S834">
        <f t="shared" si="182"/>
        <v>3.125</v>
      </c>
      <c r="T834">
        <f t="shared" si="183"/>
        <v>0</v>
      </c>
      <c r="U834">
        <f t="shared" ref="U834:U897" si="196">IF(AND(E834="",F834="",G834="",H834="",I834="",J834="",K834="",L834="",M834=""),0,1)</f>
        <v>1</v>
      </c>
      <c r="V834">
        <f t="shared" si="184"/>
        <v>1</v>
      </c>
      <c r="W834">
        <f t="shared" si="185"/>
        <v>0</v>
      </c>
      <c r="X834">
        <f t="shared" si="194"/>
        <v>0</v>
      </c>
      <c r="Y834">
        <f t="shared" si="195"/>
        <v>0</v>
      </c>
      <c r="Z834">
        <f t="shared" si="186"/>
        <v>0</v>
      </c>
      <c r="AA834">
        <f t="shared" si="187"/>
        <v>5</v>
      </c>
      <c r="AB834">
        <f t="shared" si="188"/>
        <v>4.2857142857142856</v>
      </c>
      <c r="AC834">
        <f t="shared" si="189"/>
        <v>0</v>
      </c>
      <c r="AD834" s="1">
        <f t="shared" si="190"/>
        <v>0</v>
      </c>
      <c r="AE834">
        <f t="shared" si="191"/>
        <v>0</v>
      </c>
      <c r="AF834">
        <f t="shared" si="192"/>
        <v>0</v>
      </c>
      <c r="AG834">
        <f t="shared" si="193"/>
        <v>0</v>
      </c>
    </row>
    <row r="835" spans="1:33" x14ac:dyDescent="0.25">
      <c r="A835" t="s">
        <v>1452</v>
      </c>
      <c r="B835" t="s">
        <v>1453</v>
      </c>
      <c r="C835">
        <v>165096</v>
      </c>
      <c r="D835">
        <v>165096</v>
      </c>
      <c r="H835">
        <v>10</v>
      </c>
      <c r="I835">
        <v>20</v>
      </c>
      <c r="J835">
        <v>10</v>
      </c>
      <c r="K835">
        <v>10</v>
      </c>
      <c r="L835">
        <v>0</v>
      </c>
      <c r="M835">
        <v>50</v>
      </c>
      <c r="S835">
        <f t="shared" ref="S835:S898" si="197">O835/16</f>
        <v>0</v>
      </c>
      <c r="T835">
        <f t="shared" ref="T835:T898" si="198">M835/12</f>
        <v>4.166666666666667</v>
      </c>
      <c r="U835">
        <f t="shared" si="196"/>
        <v>1</v>
      </c>
      <c r="V835">
        <f t="shared" ref="V835:V898" si="199">IF(O835="",0,1)</f>
        <v>0</v>
      </c>
      <c r="W835">
        <f t="shared" ref="W835:W898" si="200">IF(M835="",0,1)</f>
        <v>1</v>
      </c>
      <c r="X835">
        <f t="shared" si="194"/>
        <v>0</v>
      </c>
      <c r="Y835">
        <f t="shared" si="195"/>
        <v>0</v>
      </c>
      <c r="Z835">
        <f t="shared" ref="Z835:Z898" si="201">E835/5</f>
        <v>0</v>
      </c>
      <c r="AA835">
        <f t="shared" ref="AA835:AA898" si="202">F835/4</f>
        <v>0</v>
      </c>
      <c r="AB835">
        <f t="shared" ref="AB835:AB898" si="203">G835/7</f>
        <v>0</v>
      </c>
      <c r="AC835">
        <f t="shared" ref="AC835:AC898" si="204">H835/2</f>
        <v>5</v>
      </c>
      <c r="AD835" s="1">
        <f t="shared" ref="AD835:AD898" si="205">I835/6</f>
        <v>3.3333333333333335</v>
      </c>
      <c r="AE835">
        <f t="shared" ref="AE835:AE898" si="206">J835/2</f>
        <v>5</v>
      </c>
      <c r="AF835">
        <f t="shared" ref="AF835:AF898" si="207">K835</f>
        <v>10</v>
      </c>
      <c r="AG835">
        <f t="shared" ref="AG835:AG898" si="208">L835</f>
        <v>0</v>
      </c>
    </row>
    <row r="836" spans="1:33" x14ac:dyDescent="0.25">
      <c r="A836" t="s">
        <v>1454</v>
      </c>
      <c r="B836" t="s">
        <v>174</v>
      </c>
      <c r="C836">
        <v>168667</v>
      </c>
      <c r="D836">
        <v>168667</v>
      </c>
      <c r="S836">
        <f t="shared" si="197"/>
        <v>0</v>
      </c>
      <c r="T836">
        <f t="shared" si="198"/>
        <v>0</v>
      </c>
      <c r="U836">
        <f t="shared" si="196"/>
        <v>0</v>
      </c>
      <c r="V836">
        <f t="shared" si="199"/>
        <v>0</v>
      </c>
      <c r="W836">
        <f t="shared" si="200"/>
        <v>0</v>
      </c>
      <c r="X836">
        <f t="shared" si="194"/>
        <v>0</v>
      </c>
      <c r="Y836">
        <f t="shared" si="195"/>
        <v>0</v>
      </c>
      <c r="Z836">
        <f t="shared" si="201"/>
        <v>0</v>
      </c>
      <c r="AA836">
        <f t="shared" si="202"/>
        <v>0</v>
      </c>
      <c r="AB836">
        <f t="shared" si="203"/>
        <v>0</v>
      </c>
      <c r="AC836">
        <f t="shared" si="204"/>
        <v>0</v>
      </c>
      <c r="AD836" s="1">
        <f t="shared" si="205"/>
        <v>0</v>
      </c>
      <c r="AE836">
        <f t="shared" si="206"/>
        <v>0</v>
      </c>
      <c r="AF836">
        <f t="shared" si="207"/>
        <v>0</v>
      </c>
      <c r="AG836">
        <f t="shared" si="208"/>
        <v>0</v>
      </c>
    </row>
    <row r="837" spans="1:33" x14ac:dyDescent="0.25">
      <c r="A837" t="s">
        <v>1455</v>
      </c>
      <c r="B837" t="s">
        <v>1456</v>
      </c>
      <c r="C837">
        <v>168244</v>
      </c>
      <c r="D837">
        <v>168244</v>
      </c>
      <c r="E837">
        <v>20</v>
      </c>
      <c r="F837">
        <v>20</v>
      </c>
      <c r="G837">
        <v>30</v>
      </c>
      <c r="O837">
        <v>70</v>
      </c>
      <c r="S837">
        <f t="shared" si="197"/>
        <v>4.375</v>
      </c>
      <c r="T837">
        <f t="shared" si="198"/>
        <v>0</v>
      </c>
      <c r="U837">
        <f t="shared" si="196"/>
        <v>1</v>
      </c>
      <c r="V837">
        <f t="shared" si="199"/>
        <v>1</v>
      </c>
      <c r="W837">
        <f t="shared" si="200"/>
        <v>0</v>
      </c>
      <c r="X837">
        <f t="shared" ref="X837:X900" si="209">IF(AND(V837=1,S837&gt;6),1,0)</f>
        <v>0</v>
      </c>
      <c r="Y837">
        <f t="shared" ref="Y837:Y900" si="210">IF(AND(W837=1,T837&gt;6),1,0)</f>
        <v>0</v>
      </c>
      <c r="Z837">
        <f t="shared" si="201"/>
        <v>4</v>
      </c>
      <c r="AA837">
        <f t="shared" si="202"/>
        <v>5</v>
      </c>
      <c r="AB837">
        <f t="shared" si="203"/>
        <v>4.2857142857142856</v>
      </c>
      <c r="AC837">
        <f t="shared" si="204"/>
        <v>0</v>
      </c>
      <c r="AD837" s="1">
        <f t="shared" si="205"/>
        <v>0</v>
      </c>
      <c r="AE837">
        <f t="shared" si="206"/>
        <v>0</v>
      </c>
      <c r="AF837">
        <f t="shared" si="207"/>
        <v>0</v>
      </c>
      <c r="AG837">
        <f t="shared" si="208"/>
        <v>0</v>
      </c>
    </row>
    <row r="838" spans="1:33" x14ac:dyDescent="0.25">
      <c r="A838" t="s">
        <v>1457</v>
      </c>
      <c r="B838" t="s">
        <v>944</v>
      </c>
      <c r="C838">
        <v>166526</v>
      </c>
      <c r="D838">
        <v>166526</v>
      </c>
      <c r="H838">
        <v>20</v>
      </c>
      <c r="I838">
        <v>60</v>
      </c>
      <c r="J838">
        <v>20</v>
      </c>
      <c r="K838">
        <v>10</v>
      </c>
      <c r="L838">
        <v>10</v>
      </c>
      <c r="M838">
        <v>120</v>
      </c>
      <c r="S838">
        <f t="shared" si="197"/>
        <v>0</v>
      </c>
      <c r="T838">
        <f t="shared" si="198"/>
        <v>10</v>
      </c>
      <c r="U838">
        <f t="shared" si="196"/>
        <v>1</v>
      </c>
      <c r="V838">
        <f t="shared" si="199"/>
        <v>0</v>
      </c>
      <c r="W838">
        <f t="shared" si="200"/>
        <v>1</v>
      </c>
      <c r="X838">
        <f t="shared" si="209"/>
        <v>0</v>
      </c>
      <c r="Y838">
        <f t="shared" si="210"/>
        <v>1</v>
      </c>
      <c r="Z838">
        <f t="shared" si="201"/>
        <v>0</v>
      </c>
      <c r="AA838">
        <f t="shared" si="202"/>
        <v>0</v>
      </c>
      <c r="AB838">
        <f t="shared" si="203"/>
        <v>0</v>
      </c>
      <c r="AC838">
        <f t="shared" si="204"/>
        <v>10</v>
      </c>
      <c r="AD838" s="1">
        <f t="shared" si="205"/>
        <v>10</v>
      </c>
      <c r="AE838">
        <f t="shared" si="206"/>
        <v>10</v>
      </c>
      <c r="AF838">
        <f t="shared" si="207"/>
        <v>10</v>
      </c>
      <c r="AG838">
        <f t="shared" si="208"/>
        <v>10</v>
      </c>
    </row>
    <row r="839" spans="1:33" x14ac:dyDescent="0.25">
      <c r="A839" t="s">
        <v>1458</v>
      </c>
      <c r="B839" t="s">
        <v>166</v>
      </c>
      <c r="C839">
        <v>168397</v>
      </c>
      <c r="D839">
        <v>168397</v>
      </c>
      <c r="H839">
        <v>10</v>
      </c>
      <c r="I839">
        <v>30</v>
      </c>
      <c r="J839">
        <v>10</v>
      </c>
      <c r="K839">
        <v>10</v>
      </c>
      <c r="L839">
        <v>0</v>
      </c>
      <c r="M839">
        <v>60</v>
      </c>
      <c r="S839">
        <f t="shared" si="197"/>
        <v>0</v>
      </c>
      <c r="T839">
        <f t="shared" si="198"/>
        <v>5</v>
      </c>
      <c r="U839">
        <f t="shared" si="196"/>
        <v>1</v>
      </c>
      <c r="V839">
        <f t="shared" si="199"/>
        <v>0</v>
      </c>
      <c r="W839">
        <f t="shared" si="200"/>
        <v>1</v>
      </c>
      <c r="X839">
        <f t="shared" si="209"/>
        <v>0</v>
      </c>
      <c r="Y839">
        <f t="shared" si="210"/>
        <v>0</v>
      </c>
      <c r="Z839">
        <f t="shared" si="201"/>
        <v>0</v>
      </c>
      <c r="AA839">
        <f t="shared" si="202"/>
        <v>0</v>
      </c>
      <c r="AB839">
        <f t="shared" si="203"/>
        <v>0</v>
      </c>
      <c r="AC839">
        <f t="shared" si="204"/>
        <v>5</v>
      </c>
      <c r="AD839" s="1">
        <f t="shared" si="205"/>
        <v>5</v>
      </c>
      <c r="AE839">
        <f t="shared" si="206"/>
        <v>5</v>
      </c>
      <c r="AF839">
        <f t="shared" si="207"/>
        <v>10</v>
      </c>
      <c r="AG839">
        <f t="shared" si="208"/>
        <v>0</v>
      </c>
    </row>
    <row r="840" spans="1:33" x14ac:dyDescent="0.25">
      <c r="A840" t="s">
        <v>1459</v>
      </c>
      <c r="B840" t="s">
        <v>1075</v>
      </c>
      <c r="C840">
        <v>165487</v>
      </c>
      <c r="D840">
        <v>165487</v>
      </c>
      <c r="H840">
        <v>20</v>
      </c>
      <c r="I840">
        <v>50</v>
      </c>
      <c r="J840">
        <v>10</v>
      </c>
      <c r="K840">
        <v>10</v>
      </c>
      <c r="L840">
        <v>10</v>
      </c>
      <c r="M840">
        <v>100</v>
      </c>
      <c r="S840">
        <f t="shared" si="197"/>
        <v>0</v>
      </c>
      <c r="T840">
        <f t="shared" si="198"/>
        <v>8.3333333333333339</v>
      </c>
      <c r="U840">
        <f t="shared" si="196"/>
        <v>1</v>
      </c>
      <c r="V840">
        <f t="shared" si="199"/>
        <v>0</v>
      </c>
      <c r="W840">
        <f t="shared" si="200"/>
        <v>1</v>
      </c>
      <c r="X840">
        <f t="shared" si="209"/>
        <v>0</v>
      </c>
      <c r="Y840">
        <f t="shared" si="210"/>
        <v>1</v>
      </c>
      <c r="Z840">
        <f t="shared" si="201"/>
        <v>0</v>
      </c>
      <c r="AA840">
        <f t="shared" si="202"/>
        <v>0</v>
      </c>
      <c r="AB840">
        <f t="shared" si="203"/>
        <v>0</v>
      </c>
      <c r="AC840">
        <f t="shared" si="204"/>
        <v>10</v>
      </c>
      <c r="AD840" s="1">
        <f t="shared" si="205"/>
        <v>8.3333333333333339</v>
      </c>
      <c r="AE840">
        <f t="shared" si="206"/>
        <v>5</v>
      </c>
      <c r="AF840">
        <f t="shared" si="207"/>
        <v>10</v>
      </c>
      <c r="AG840">
        <f t="shared" si="208"/>
        <v>10</v>
      </c>
    </row>
    <row r="841" spans="1:33" x14ac:dyDescent="0.25">
      <c r="A841" t="s">
        <v>1460</v>
      </c>
      <c r="B841" t="s">
        <v>1461</v>
      </c>
      <c r="C841">
        <v>167848</v>
      </c>
      <c r="D841">
        <v>167848</v>
      </c>
      <c r="H841">
        <v>10</v>
      </c>
      <c r="I841">
        <v>20</v>
      </c>
      <c r="J841">
        <v>10</v>
      </c>
      <c r="K841">
        <v>10</v>
      </c>
      <c r="L841">
        <v>0</v>
      </c>
      <c r="M841">
        <v>50</v>
      </c>
      <c r="S841">
        <f t="shared" si="197"/>
        <v>0</v>
      </c>
      <c r="T841">
        <f t="shared" si="198"/>
        <v>4.166666666666667</v>
      </c>
      <c r="U841">
        <f t="shared" si="196"/>
        <v>1</v>
      </c>
      <c r="V841">
        <f t="shared" si="199"/>
        <v>0</v>
      </c>
      <c r="W841">
        <f t="shared" si="200"/>
        <v>1</v>
      </c>
      <c r="X841">
        <f t="shared" si="209"/>
        <v>0</v>
      </c>
      <c r="Y841">
        <f t="shared" si="210"/>
        <v>0</v>
      </c>
      <c r="Z841">
        <f t="shared" si="201"/>
        <v>0</v>
      </c>
      <c r="AA841">
        <f t="shared" si="202"/>
        <v>0</v>
      </c>
      <c r="AB841">
        <f t="shared" si="203"/>
        <v>0</v>
      </c>
      <c r="AC841">
        <f t="shared" si="204"/>
        <v>5</v>
      </c>
      <c r="AD841" s="1">
        <f t="shared" si="205"/>
        <v>3.3333333333333335</v>
      </c>
      <c r="AE841">
        <f t="shared" si="206"/>
        <v>5</v>
      </c>
      <c r="AF841">
        <f t="shared" si="207"/>
        <v>10</v>
      </c>
      <c r="AG841">
        <f t="shared" si="208"/>
        <v>0</v>
      </c>
    </row>
    <row r="842" spans="1:33" x14ac:dyDescent="0.25">
      <c r="A842" t="s">
        <v>1462</v>
      </c>
      <c r="B842" t="s">
        <v>330</v>
      </c>
      <c r="C842">
        <v>165494</v>
      </c>
      <c r="D842">
        <v>165494</v>
      </c>
      <c r="E842">
        <v>20</v>
      </c>
      <c r="F842">
        <v>10</v>
      </c>
      <c r="G842">
        <v>40</v>
      </c>
      <c r="O842">
        <v>70</v>
      </c>
      <c r="S842">
        <f t="shared" si="197"/>
        <v>4.375</v>
      </c>
      <c r="T842">
        <f t="shared" si="198"/>
        <v>0</v>
      </c>
      <c r="U842">
        <f t="shared" si="196"/>
        <v>1</v>
      </c>
      <c r="V842">
        <f t="shared" si="199"/>
        <v>1</v>
      </c>
      <c r="W842">
        <f t="shared" si="200"/>
        <v>0</v>
      </c>
      <c r="X842">
        <f t="shared" si="209"/>
        <v>0</v>
      </c>
      <c r="Y842">
        <f t="shared" si="210"/>
        <v>0</v>
      </c>
      <c r="Z842">
        <f t="shared" si="201"/>
        <v>4</v>
      </c>
      <c r="AA842">
        <f t="shared" si="202"/>
        <v>2.5</v>
      </c>
      <c r="AB842">
        <f t="shared" si="203"/>
        <v>5.7142857142857144</v>
      </c>
      <c r="AC842">
        <f t="shared" si="204"/>
        <v>0</v>
      </c>
      <c r="AD842" s="1">
        <f t="shared" si="205"/>
        <v>0</v>
      </c>
      <c r="AE842">
        <f t="shared" si="206"/>
        <v>0</v>
      </c>
      <c r="AF842">
        <f t="shared" si="207"/>
        <v>0</v>
      </c>
      <c r="AG842">
        <f t="shared" si="208"/>
        <v>0</v>
      </c>
    </row>
    <row r="843" spans="1:33" x14ac:dyDescent="0.25">
      <c r="A843" t="s">
        <v>1463</v>
      </c>
      <c r="B843" t="s">
        <v>1464</v>
      </c>
      <c r="C843">
        <v>162638</v>
      </c>
      <c r="D843">
        <v>162638</v>
      </c>
      <c r="S843">
        <f t="shared" si="197"/>
        <v>0</v>
      </c>
      <c r="T843">
        <f t="shared" si="198"/>
        <v>0</v>
      </c>
      <c r="U843">
        <f t="shared" si="196"/>
        <v>0</v>
      </c>
      <c r="V843">
        <f t="shared" si="199"/>
        <v>0</v>
      </c>
      <c r="W843">
        <f t="shared" si="200"/>
        <v>0</v>
      </c>
      <c r="X843">
        <f t="shared" si="209"/>
        <v>0</v>
      </c>
      <c r="Y843">
        <f t="shared" si="210"/>
        <v>0</v>
      </c>
      <c r="Z843">
        <f t="shared" si="201"/>
        <v>0</v>
      </c>
      <c r="AA843">
        <f t="shared" si="202"/>
        <v>0</v>
      </c>
      <c r="AB843">
        <f t="shared" si="203"/>
        <v>0</v>
      </c>
      <c r="AC843">
        <f t="shared" si="204"/>
        <v>0</v>
      </c>
      <c r="AD843" s="1">
        <f t="shared" si="205"/>
        <v>0</v>
      </c>
      <c r="AE843">
        <f t="shared" si="206"/>
        <v>0</v>
      </c>
      <c r="AF843">
        <f t="shared" si="207"/>
        <v>0</v>
      </c>
      <c r="AG843">
        <f t="shared" si="208"/>
        <v>0</v>
      </c>
    </row>
    <row r="844" spans="1:33" x14ac:dyDescent="0.25">
      <c r="A844" t="s">
        <v>1463</v>
      </c>
      <c r="B844" t="s">
        <v>1465</v>
      </c>
      <c r="C844">
        <v>168467</v>
      </c>
      <c r="D844">
        <v>168467</v>
      </c>
      <c r="H844">
        <v>10</v>
      </c>
      <c r="I844">
        <v>20</v>
      </c>
      <c r="J844">
        <v>10</v>
      </c>
      <c r="K844">
        <v>10</v>
      </c>
      <c r="L844">
        <v>10</v>
      </c>
      <c r="M844">
        <v>60</v>
      </c>
      <c r="S844">
        <f t="shared" si="197"/>
        <v>0</v>
      </c>
      <c r="T844">
        <f t="shared" si="198"/>
        <v>5</v>
      </c>
      <c r="U844">
        <f t="shared" si="196"/>
        <v>1</v>
      </c>
      <c r="V844">
        <f t="shared" si="199"/>
        <v>0</v>
      </c>
      <c r="W844">
        <f t="shared" si="200"/>
        <v>1</v>
      </c>
      <c r="X844">
        <f t="shared" si="209"/>
        <v>0</v>
      </c>
      <c r="Y844">
        <f t="shared" si="210"/>
        <v>0</v>
      </c>
      <c r="Z844">
        <f t="shared" si="201"/>
        <v>0</v>
      </c>
      <c r="AA844">
        <f t="shared" si="202"/>
        <v>0</v>
      </c>
      <c r="AB844">
        <f t="shared" si="203"/>
        <v>0</v>
      </c>
      <c r="AC844">
        <f t="shared" si="204"/>
        <v>5</v>
      </c>
      <c r="AD844" s="1">
        <f t="shared" si="205"/>
        <v>3.3333333333333335</v>
      </c>
      <c r="AE844">
        <f t="shared" si="206"/>
        <v>5</v>
      </c>
      <c r="AF844">
        <f t="shared" si="207"/>
        <v>10</v>
      </c>
      <c r="AG844">
        <f t="shared" si="208"/>
        <v>10</v>
      </c>
    </row>
    <row r="845" spans="1:33" x14ac:dyDescent="0.25">
      <c r="A845" t="s">
        <v>1466</v>
      </c>
      <c r="B845" t="s">
        <v>1467</v>
      </c>
      <c r="C845">
        <v>159844</v>
      </c>
      <c r="D845">
        <v>159844</v>
      </c>
      <c r="S845">
        <f t="shared" si="197"/>
        <v>0</v>
      </c>
      <c r="T845">
        <f t="shared" si="198"/>
        <v>0</v>
      </c>
      <c r="U845">
        <f t="shared" si="196"/>
        <v>0</v>
      </c>
      <c r="V845">
        <f t="shared" si="199"/>
        <v>0</v>
      </c>
      <c r="W845">
        <f t="shared" si="200"/>
        <v>0</v>
      </c>
      <c r="X845">
        <f t="shared" si="209"/>
        <v>0</v>
      </c>
      <c r="Y845">
        <f t="shared" si="210"/>
        <v>0</v>
      </c>
      <c r="Z845">
        <f t="shared" si="201"/>
        <v>0</v>
      </c>
      <c r="AA845">
        <f t="shared" si="202"/>
        <v>0</v>
      </c>
      <c r="AB845">
        <f t="shared" si="203"/>
        <v>0</v>
      </c>
      <c r="AC845">
        <f t="shared" si="204"/>
        <v>0</v>
      </c>
      <c r="AD845" s="1">
        <f t="shared" si="205"/>
        <v>0</v>
      </c>
      <c r="AE845">
        <f t="shared" si="206"/>
        <v>0</v>
      </c>
      <c r="AF845">
        <f t="shared" si="207"/>
        <v>0</v>
      </c>
      <c r="AG845">
        <f t="shared" si="208"/>
        <v>0</v>
      </c>
    </row>
    <row r="846" spans="1:33" x14ac:dyDescent="0.25">
      <c r="A846" t="s">
        <v>1468</v>
      </c>
      <c r="B846" t="s">
        <v>1469</v>
      </c>
      <c r="C846">
        <v>166173</v>
      </c>
      <c r="D846">
        <v>166173</v>
      </c>
      <c r="S846">
        <f t="shared" si="197"/>
        <v>0</v>
      </c>
      <c r="T846">
        <f t="shared" si="198"/>
        <v>0</v>
      </c>
      <c r="U846">
        <f t="shared" si="196"/>
        <v>0</v>
      </c>
      <c r="V846">
        <f t="shared" si="199"/>
        <v>0</v>
      </c>
      <c r="W846">
        <f t="shared" si="200"/>
        <v>0</v>
      </c>
      <c r="X846">
        <f t="shared" si="209"/>
        <v>0</v>
      </c>
      <c r="Y846">
        <f t="shared" si="210"/>
        <v>0</v>
      </c>
      <c r="Z846">
        <f t="shared" si="201"/>
        <v>0</v>
      </c>
      <c r="AA846">
        <f t="shared" si="202"/>
        <v>0</v>
      </c>
      <c r="AB846">
        <f t="shared" si="203"/>
        <v>0</v>
      </c>
      <c r="AC846">
        <f t="shared" si="204"/>
        <v>0</v>
      </c>
      <c r="AD846" s="1">
        <f t="shared" si="205"/>
        <v>0</v>
      </c>
      <c r="AE846">
        <f t="shared" si="206"/>
        <v>0</v>
      </c>
      <c r="AF846">
        <f t="shared" si="207"/>
        <v>0</v>
      </c>
      <c r="AG846">
        <f t="shared" si="208"/>
        <v>0</v>
      </c>
    </row>
    <row r="847" spans="1:33" x14ac:dyDescent="0.25">
      <c r="A847" t="s">
        <v>1470</v>
      </c>
      <c r="B847" t="s">
        <v>1471</v>
      </c>
      <c r="C847">
        <v>166335</v>
      </c>
      <c r="D847">
        <v>166335</v>
      </c>
      <c r="E847">
        <v>50</v>
      </c>
      <c r="F847">
        <v>30</v>
      </c>
      <c r="G847">
        <v>50</v>
      </c>
      <c r="O847">
        <v>130</v>
      </c>
      <c r="S847">
        <f t="shared" si="197"/>
        <v>8.125</v>
      </c>
      <c r="T847">
        <f t="shared" si="198"/>
        <v>0</v>
      </c>
      <c r="U847">
        <f t="shared" si="196"/>
        <v>1</v>
      </c>
      <c r="V847">
        <f t="shared" si="199"/>
        <v>1</v>
      </c>
      <c r="W847">
        <f t="shared" si="200"/>
        <v>0</v>
      </c>
      <c r="X847">
        <f t="shared" si="209"/>
        <v>1</v>
      </c>
      <c r="Y847">
        <f t="shared" si="210"/>
        <v>0</v>
      </c>
      <c r="Z847">
        <f t="shared" si="201"/>
        <v>10</v>
      </c>
      <c r="AA847">
        <f t="shared" si="202"/>
        <v>7.5</v>
      </c>
      <c r="AB847">
        <f t="shared" si="203"/>
        <v>7.1428571428571432</v>
      </c>
      <c r="AC847">
        <f t="shared" si="204"/>
        <v>0</v>
      </c>
      <c r="AD847" s="1">
        <f t="shared" si="205"/>
        <v>0</v>
      </c>
      <c r="AE847">
        <f t="shared" si="206"/>
        <v>0</v>
      </c>
      <c r="AF847">
        <f t="shared" si="207"/>
        <v>0</v>
      </c>
      <c r="AG847">
        <f t="shared" si="208"/>
        <v>0</v>
      </c>
    </row>
    <row r="848" spans="1:33" x14ac:dyDescent="0.25">
      <c r="A848" t="s">
        <v>1472</v>
      </c>
      <c r="B848" t="s">
        <v>166</v>
      </c>
      <c r="C848">
        <v>166841</v>
      </c>
      <c r="D848">
        <v>166841</v>
      </c>
      <c r="E848">
        <v>50</v>
      </c>
      <c r="F848">
        <v>30</v>
      </c>
      <c r="G848">
        <v>50</v>
      </c>
      <c r="O848">
        <v>130</v>
      </c>
      <c r="S848">
        <f t="shared" si="197"/>
        <v>8.125</v>
      </c>
      <c r="T848">
        <f t="shared" si="198"/>
        <v>0</v>
      </c>
      <c r="U848">
        <f t="shared" si="196"/>
        <v>1</v>
      </c>
      <c r="V848">
        <f t="shared" si="199"/>
        <v>1</v>
      </c>
      <c r="W848">
        <f t="shared" si="200"/>
        <v>0</v>
      </c>
      <c r="X848">
        <f t="shared" si="209"/>
        <v>1</v>
      </c>
      <c r="Y848">
        <f t="shared" si="210"/>
        <v>0</v>
      </c>
      <c r="Z848">
        <f t="shared" si="201"/>
        <v>10</v>
      </c>
      <c r="AA848">
        <f t="shared" si="202"/>
        <v>7.5</v>
      </c>
      <c r="AB848">
        <f t="shared" si="203"/>
        <v>7.1428571428571432</v>
      </c>
      <c r="AC848">
        <f t="shared" si="204"/>
        <v>0</v>
      </c>
      <c r="AD848" s="1">
        <f t="shared" si="205"/>
        <v>0</v>
      </c>
      <c r="AE848">
        <f t="shared" si="206"/>
        <v>0</v>
      </c>
      <c r="AF848">
        <f t="shared" si="207"/>
        <v>0</v>
      </c>
      <c r="AG848">
        <f t="shared" si="208"/>
        <v>0</v>
      </c>
    </row>
    <row r="849" spans="1:33" x14ac:dyDescent="0.25">
      <c r="A849" t="s">
        <v>1473</v>
      </c>
      <c r="B849" t="s">
        <v>1474</v>
      </c>
      <c r="C849">
        <v>167508</v>
      </c>
      <c r="D849">
        <v>167508</v>
      </c>
      <c r="H849">
        <v>0</v>
      </c>
      <c r="I849">
        <v>40</v>
      </c>
      <c r="J849">
        <v>10</v>
      </c>
      <c r="K849">
        <v>10</v>
      </c>
      <c r="L849">
        <v>10</v>
      </c>
      <c r="M849">
        <v>70</v>
      </c>
      <c r="S849">
        <f t="shared" si="197"/>
        <v>0</v>
      </c>
      <c r="T849">
        <f t="shared" si="198"/>
        <v>5.833333333333333</v>
      </c>
      <c r="U849">
        <f t="shared" si="196"/>
        <v>1</v>
      </c>
      <c r="V849">
        <f t="shared" si="199"/>
        <v>0</v>
      </c>
      <c r="W849">
        <f t="shared" si="200"/>
        <v>1</v>
      </c>
      <c r="X849">
        <f t="shared" si="209"/>
        <v>0</v>
      </c>
      <c r="Y849">
        <f t="shared" si="210"/>
        <v>0</v>
      </c>
      <c r="Z849">
        <f t="shared" si="201"/>
        <v>0</v>
      </c>
      <c r="AA849">
        <f t="shared" si="202"/>
        <v>0</v>
      </c>
      <c r="AB849">
        <f t="shared" si="203"/>
        <v>0</v>
      </c>
      <c r="AC849">
        <f t="shared" si="204"/>
        <v>0</v>
      </c>
      <c r="AD849" s="1">
        <f t="shared" si="205"/>
        <v>6.666666666666667</v>
      </c>
      <c r="AE849">
        <f t="shared" si="206"/>
        <v>5</v>
      </c>
      <c r="AF849">
        <f t="shared" si="207"/>
        <v>10</v>
      </c>
      <c r="AG849">
        <f t="shared" si="208"/>
        <v>10</v>
      </c>
    </row>
    <row r="850" spans="1:33" x14ac:dyDescent="0.25">
      <c r="A850" t="s">
        <v>1473</v>
      </c>
      <c r="B850" t="s">
        <v>1158</v>
      </c>
      <c r="C850">
        <v>167507</v>
      </c>
      <c r="D850">
        <v>167507</v>
      </c>
      <c r="H850">
        <v>0</v>
      </c>
      <c r="I850">
        <v>20</v>
      </c>
      <c r="J850">
        <v>10</v>
      </c>
      <c r="K850">
        <v>10</v>
      </c>
      <c r="L850">
        <v>10</v>
      </c>
      <c r="M850">
        <v>50</v>
      </c>
      <c r="S850">
        <f t="shared" si="197"/>
        <v>0</v>
      </c>
      <c r="T850">
        <f t="shared" si="198"/>
        <v>4.166666666666667</v>
      </c>
      <c r="U850">
        <f t="shared" si="196"/>
        <v>1</v>
      </c>
      <c r="V850">
        <f t="shared" si="199"/>
        <v>0</v>
      </c>
      <c r="W850">
        <f t="shared" si="200"/>
        <v>1</v>
      </c>
      <c r="X850">
        <f t="shared" si="209"/>
        <v>0</v>
      </c>
      <c r="Y850">
        <f t="shared" si="210"/>
        <v>0</v>
      </c>
      <c r="Z850">
        <f t="shared" si="201"/>
        <v>0</v>
      </c>
      <c r="AA850">
        <f t="shared" si="202"/>
        <v>0</v>
      </c>
      <c r="AB850">
        <f t="shared" si="203"/>
        <v>0</v>
      </c>
      <c r="AC850">
        <f t="shared" si="204"/>
        <v>0</v>
      </c>
      <c r="AD850" s="1">
        <f t="shared" si="205"/>
        <v>3.3333333333333335</v>
      </c>
      <c r="AE850">
        <f t="shared" si="206"/>
        <v>5</v>
      </c>
      <c r="AF850">
        <f t="shared" si="207"/>
        <v>10</v>
      </c>
      <c r="AG850">
        <f t="shared" si="208"/>
        <v>10</v>
      </c>
    </row>
    <row r="851" spans="1:33" x14ac:dyDescent="0.25">
      <c r="A851" t="s">
        <v>1475</v>
      </c>
      <c r="B851" t="s">
        <v>1240</v>
      </c>
      <c r="C851">
        <v>167689</v>
      </c>
      <c r="D851">
        <v>167689</v>
      </c>
      <c r="H851">
        <v>0</v>
      </c>
      <c r="I851">
        <v>50</v>
      </c>
      <c r="J851">
        <v>20</v>
      </c>
      <c r="K851">
        <v>0</v>
      </c>
      <c r="L851">
        <v>0</v>
      </c>
      <c r="M851">
        <v>70</v>
      </c>
      <c r="S851">
        <f t="shared" si="197"/>
        <v>0</v>
      </c>
      <c r="T851">
        <f t="shared" si="198"/>
        <v>5.833333333333333</v>
      </c>
      <c r="U851">
        <f t="shared" si="196"/>
        <v>1</v>
      </c>
      <c r="V851">
        <f t="shared" si="199"/>
        <v>0</v>
      </c>
      <c r="W851">
        <f t="shared" si="200"/>
        <v>1</v>
      </c>
      <c r="X851">
        <f t="shared" si="209"/>
        <v>0</v>
      </c>
      <c r="Y851">
        <f t="shared" si="210"/>
        <v>0</v>
      </c>
      <c r="Z851">
        <f t="shared" si="201"/>
        <v>0</v>
      </c>
      <c r="AA851">
        <f t="shared" si="202"/>
        <v>0</v>
      </c>
      <c r="AB851">
        <f t="shared" si="203"/>
        <v>0</v>
      </c>
      <c r="AC851">
        <f t="shared" si="204"/>
        <v>0</v>
      </c>
      <c r="AD851" s="1">
        <f t="shared" si="205"/>
        <v>8.3333333333333339</v>
      </c>
      <c r="AE851">
        <f t="shared" si="206"/>
        <v>10</v>
      </c>
      <c r="AF851">
        <f t="shared" si="207"/>
        <v>0</v>
      </c>
      <c r="AG851">
        <f t="shared" si="208"/>
        <v>0</v>
      </c>
    </row>
    <row r="852" spans="1:33" x14ac:dyDescent="0.25">
      <c r="A852" t="s">
        <v>1476</v>
      </c>
      <c r="B852" t="s">
        <v>1477</v>
      </c>
      <c r="C852">
        <v>165849</v>
      </c>
      <c r="D852">
        <v>165849</v>
      </c>
      <c r="H852">
        <v>10</v>
      </c>
      <c r="I852">
        <v>20</v>
      </c>
      <c r="J852">
        <v>20</v>
      </c>
      <c r="K852">
        <v>0</v>
      </c>
      <c r="L852">
        <v>0</v>
      </c>
      <c r="M852">
        <v>50</v>
      </c>
      <c r="S852">
        <f t="shared" si="197"/>
        <v>0</v>
      </c>
      <c r="T852">
        <f t="shared" si="198"/>
        <v>4.166666666666667</v>
      </c>
      <c r="U852">
        <f t="shared" si="196"/>
        <v>1</v>
      </c>
      <c r="V852">
        <f t="shared" si="199"/>
        <v>0</v>
      </c>
      <c r="W852">
        <f t="shared" si="200"/>
        <v>1</v>
      </c>
      <c r="X852">
        <f t="shared" si="209"/>
        <v>0</v>
      </c>
      <c r="Y852">
        <f t="shared" si="210"/>
        <v>0</v>
      </c>
      <c r="Z852">
        <f t="shared" si="201"/>
        <v>0</v>
      </c>
      <c r="AA852">
        <f t="shared" si="202"/>
        <v>0</v>
      </c>
      <c r="AB852">
        <f t="shared" si="203"/>
        <v>0</v>
      </c>
      <c r="AC852">
        <f t="shared" si="204"/>
        <v>5</v>
      </c>
      <c r="AD852" s="1">
        <f t="shared" si="205"/>
        <v>3.3333333333333335</v>
      </c>
      <c r="AE852">
        <f t="shared" si="206"/>
        <v>10</v>
      </c>
      <c r="AF852">
        <f t="shared" si="207"/>
        <v>0</v>
      </c>
      <c r="AG852">
        <f t="shared" si="208"/>
        <v>0</v>
      </c>
    </row>
    <row r="853" spans="1:33" x14ac:dyDescent="0.25">
      <c r="A853" t="s">
        <v>1478</v>
      </c>
      <c r="B853" t="s">
        <v>1479</v>
      </c>
      <c r="C853">
        <v>166754</v>
      </c>
      <c r="D853">
        <v>166754</v>
      </c>
      <c r="H853">
        <v>10</v>
      </c>
      <c r="I853">
        <v>50</v>
      </c>
      <c r="J853">
        <v>10</v>
      </c>
      <c r="K853">
        <v>10</v>
      </c>
      <c r="L853">
        <v>10</v>
      </c>
      <c r="M853">
        <v>90</v>
      </c>
      <c r="N853" t="s">
        <v>549</v>
      </c>
      <c r="S853">
        <f t="shared" si="197"/>
        <v>0</v>
      </c>
      <c r="T853">
        <f t="shared" si="198"/>
        <v>7.5</v>
      </c>
      <c r="U853">
        <f t="shared" si="196"/>
        <v>1</v>
      </c>
      <c r="V853">
        <f t="shared" si="199"/>
        <v>0</v>
      </c>
      <c r="W853">
        <f t="shared" si="200"/>
        <v>1</v>
      </c>
      <c r="X853">
        <f t="shared" si="209"/>
        <v>0</v>
      </c>
      <c r="Y853">
        <f t="shared" si="210"/>
        <v>1</v>
      </c>
      <c r="Z853">
        <f t="shared" si="201"/>
        <v>0</v>
      </c>
      <c r="AA853">
        <f t="shared" si="202"/>
        <v>0</v>
      </c>
      <c r="AB853">
        <f t="shared" si="203"/>
        <v>0</v>
      </c>
      <c r="AC853">
        <f t="shared" si="204"/>
        <v>5</v>
      </c>
      <c r="AD853" s="1">
        <f t="shared" si="205"/>
        <v>8.3333333333333339</v>
      </c>
      <c r="AE853">
        <f t="shared" si="206"/>
        <v>5</v>
      </c>
      <c r="AF853">
        <f t="shared" si="207"/>
        <v>10</v>
      </c>
      <c r="AG853">
        <f t="shared" si="208"/>
        <v>10</v>
      </c>
    </row>
    <row r="854" spans="1:33" x14ac:dyDescent="0.25">
      <c r="A854" t="s">
        <v>1480</v>
      </c>
      <c r="B854" t="s">
        <v>1481</v>
      </c>
      <c r="C854">
        <v>167275</v>
      </c>
      <c r="D854">
        <v>167275</v>
      </c>
      <c r="E854">
        <v>10</v>
      </c>
      <c r="F854">
        <v>20</v>
      </c>
      <c r="G854">
        <v>30</v>
      </c>
      <c r="O854">
        <v>60</v>
      </c>
      <c r="S854">
        <f t="shared" si="197"/>
        <v>3.75</v>
      </c>
      <c r="T854">
        <f t="shared" si="198"/>
        <v>0</v>
      </c>
      <c r="U854">
        <f t="shared" si="196"/>
        <v>1</v>
      </c>
      <c r="V854">
        <f t="shared" si="199"/>
        <v>1</v>
      </c>
      <c r="W854">
        <f t="shared" si="200"/>
        <v>0</v>
      </c>
      <c r="X854">
        <f t="shared" si="209"/>
        <v>0</v>
      </c>
      <c r="Y854">
        <f t="shared" si="210"/>
        <v>0</v>
      </c>
      <c r="Z854">
        <f t="shared" si="201"/>
        <v>2</v>
      </c>
      <c r="AA854">
        <f t="shared" si="202"/>
        <v>5</v>
      </c>
      <c r="AB854">
        <f t="shared" si="203"/>
        <v>4.2857142857142856</v>
      </c>
      <c r="AC854">
        <f t="shared" si="204"/>
        <v>0</v>
      </c>
      <c r="AD854" s="1">
        <f t="shared" si="205"/>
        <v>0</v>
      </c>
      <c r="AE854">
        <f t="shared" si="206"/>
        <v>0</v>
      </c>
      <c r="AF854">
        <f t="shared" si="207"/>
        <v>0</v>
      </c>
      <c r="AG854">
        <f t="shared" si="208"/>
        <v>0</v>
      </c>
    </row>
    <row r="855" spans="1:33" x14ac:dyDescent="0.25">
      <c r="A855" t="s">
        <v>1482</v>
      </c>
      <c r="B855" t="s">
        <v>1483</v>
      </c>
      <c r="C855">
        <v>166076</v>
      </c>
      <c r="D855">
        <v>166076</v>
      </c>
      <c r="E855">
        <v>10</v>
      </c>
      <c r="F855">
        <v>10</v>
      </c>
      <c r="G855">
        <v>40</v>
      </c>
      <c r="O855">
        <v>60</v>
      </c>
      <c r="S855">
        <f t="shared" si="197"/>
        <v>3.75</v>
      </c>
      <c r="T855">
        <f t="shared" si="198"/>
        <v>0</v>
      </c>
      <c r="U855">
        <f t="shared" si="196"/>
        <v>1</v>
      </c>
      <c r="V855">
        <f t="shared" si="199"/>
        <v>1</v>
      </c>
      <c r="W855">
        <f t="shared" si="200"/>
        <v>0</v>
      </c>
      <c r="X855">
        <f t="shared" si="209"/>
        <v>0</v>
      </c>
      <c r="Y855">
        <f t="shared" si="210"/>
        <v>0</v>
      </c>
      <c r="Z855">
        <f t="shared" si="201"/>
        <v>2</v>
      </c>
      <c r="AA855">
        <f t="shared" si="202"/>
        <v>2.5</v>
      </c>
      <c r="AB855">
        <f t="shared" si="203"/>
        <v>5.7142857142857144</v>
      </c>
      <c r="AC855">
        <f t="shared" si="204"/>
        <v>0</v>
      </c>
      <c r="AD855" s="1">
        <f t="shared" si="205"/>
        <v>0</v>
      </c>
      <c r="AE855">
        <f t="shared" si="206"/>
        <v>0</v>
      </c>
      <c r="AF855">
        <f t="shared" si="207"/>
        <v>0</v>
      </c>
      <c r="AG855">
        <f t="shared" si="208"/>
        <v>0</v>
      </c>
    </row>
    <row r="856" spans="1:33" x14ac:dyDescent="0.25">
      <c r="A856" t="s">
        <v>1484</v>
      </c>
      <c r="B856" t="s">
        <v>1485</v>
      </c>
      <c r="C856">
        <v>167880</v>
      </c>
      <c r="D856">
        <v>167880</v>
      </c>
      <c r="E856">
        <v>10</v>
      </c>
      <c r="F856">
        <v>20</v>
      </c>
      <c r="G856">
        <v>20</v>
      </c>
      <c r="N856" t="s">
        <v>549</v>
      </c>
      <c r="O856">
        <v>50</v>
      </c>
      <c r="S856">
        <f t="shared" si="197"/>
        <v>3.125</v>
      </c>
      <c r="T856">
        <f t="shared" si="198"/>
        <v>0</v>
      </c>
      <c r="U856">
        <f t="shared" si="196"/>
        <v>1</v>
      </c>
      <c r="V856">
        <f t="shared" si="199"/>
        <v>1</v>
      </c>
      <c r="W856">
        <f t="shared" si="200"/>
        <v>0</v>
      </c>
      <c r="X856">
        <f t="shared" si="209"/>
        <v>0</v>
      </c>
      <c r="Y856">
        <f t="shared" si="210"/>
        <v>0</v>
      </c>
      <c r="Z856">
        <f t="shared" si="201"/>
        <v>2</v>
      </c>
      <c r="AA856">
        <f t="shared" si="202"/>
        <v>5</v>
      </c>
      <c r="AB856">
        <f t="shared" si="203"/>
        <v>2.8571428571428572</v>
      </c>
      <c r="AC856">
        <f t="shared" si="204"/>
        <v>0</v>
      </c>
      <c r="AD856" s="1">
        <f t="shared" si="205"/>
        <v>0</v>
      </c>
      <c r="AE856">
        <f t="shared" si="206"/>
        <v>0</v>
      </c>
      <c r="AF856">
        <f t="shared" si="207"/>
        <v>0</v>
      </c>
      <c r="AG856">
        <f t="shared" si="208"/>
        <v>0</v>
      </c>
    </row>
    <row r="857" spans="1:33" x14ac:dyDescent="0.25">
      <c r="A857" t="s">
        <v>1486</v>
      </c>
      <c r="B857" t="s">
        <v>1487</v>
      </c>
      <c r="C857">
        <v>167131</v>
      </c>
      <c r="D857">
        <v>167131</v>
      </c>
      <c r="H857">
        <v>0</v>
      </c>
      <c r="I857">
        <v>20</v>
      </c>
      <c r="J857">
        <v>10</v>
      </c>
      <c r="K857">
        <v>0</v>
      </c>
      <c r="L857">
        <v>0</v>
      </c>
      <c r="M857">
        <v>30</v>
      </c>
      <c r="S857">
        <f t="shared" si="197"/>
        <v>0</v>
      </c>
      <c r="T857">
        <f t="shared" si="198"/>
        <v>2.5</v>
      </c>
      <c r="U857">
        <f t="shared" si="196"/>
        <v>1</v>
      </c>
      <c r="V857">
        <f t="shared" si="199"/>
        <v>0</v>
      </c>
      <c r="W857">
        <f t="shared" si="200"/>
        <v>1</v>
      </c>
      <c r="X857">
        <f t="shared" si="209"/>
        <v>0</v>
      </c>
      <c r="Y857">
        <f t="shared" si="210"/>
        <v>0</v>
      </c>
      <c r="Z857">
        <f t="shared" si="201"/>
        <v>0</v>
      </c>
      <c r="AA857">
        <f t="shared" si="202"/>
        <v>0</v>
      </c>
      <c r="AB857">
        <f t="shared" si="203"/>
        <v>0</v>
      </c>
      <c r="AC857">
        <f t="shared" si="204"/>
        <v>0</v>
      </c>
      <c r="AD857" s="1">
        <f t="shared" si="205"/>
        <v>3.3333333333333335</v>
      </c>
      <c r="AE857">
        <f t="shared" si="206"/>
        <v>5</v>
      </c>
      <c r="AF857">
        <f t="shared" si="207"/>
        <v>0</v>
      </c>
      <c r="AG857">
        <f t="shared" si="208"/>
        <v>0</v>
      </c>
    </row>
    <row r="858" spans="1:33" x14ac:dyDescent="0.25">
      <c r="A858" t="s">
        <v>1488</v>
      </c>
      <c r="B858" t="s">
        <v>1489</v>
      </c>
      <c r="C858">
        <v>166053</v>
      </c>
      <c r="D858">
        <v>166053</v>
      </c>
      <c r="H858">
        <v>10</v>
      </c>
      <c r="I858">
        <v>60</v>
      </c>
      <c r="J858">
        <v>0</v>
      </c>
      <c r="M858">
        <v>70</v>
      </c>
      <c r="S858">
        <f t="shared" si="197"/>
        <v>0</v>
      </c>
      <c r="T858">
        <f t="shared" si="198"/>
        <v>5.833333333333333</v>
      </c>
      <c r="U858">
        <f t="shared" si="196"/>
        <v>1</v>
      </c>
      <c r="V858">
        <f t="shared" si="199"/>
        <v>0</v>
      </c>
      <c r="W858">
        <f t="shared" si="200"/>
        <v>1</v>
      </c>
      <c r="X858">
        <f t="shared" si="209"/>
        <v>0</v>
      </c>
      <c r="Y858">
        <f t="shared" si="210"/>
        <v>0</v>
      </c>
      <c r="Z858">
        <f t="shared" si="201"/>
        <v>0</v>
      </c>
      <c r="AA858">
        <f t="shared" si="202"/>
        <v>0</v>
      </c>
      <c r="AB858">
        <f t="shared" si="203"/>
        <v>0</v>
      </c>
      <c r="AC858">
        <f t="shared" si="204"/>
        <v>5</v>
      </c>
      <c r="AD858" s="1">
        <f t="shared" si="205"/>
        <v>10</v>
      </c>
      <c r="AE858">
        <f t="shared" si="206"/>
        <v>0</v>
      </c>
      <c r="AF858">
        <f t="shared" si="207"/>
        <v>0</v>
      </c>
      <c r="AG858">
        <f t="shared" si="208"/>
        <v>0</v>
      </c>
    </row>
    <row r="859" spans="1:33" x14ac:dyDescent="0.25">
      <c r="A859" t="s">
        <v>1490</v>
      </c>
      <c r="B859" t="s">
        <v>1491</v>
      </c>
      <c r="C859">
        <v>163084</v>
      </c>
      <c r="D859">
        <v>163084</v>
      </c>
      <c r="E859">
        <v>40</v>
      </c>
      <c r="F859">
        <v>40</v>
      </c>
      <c r="G859">
        <v>40</v>
      </c>
      <c r="O859">
        <v>120</v>
      </c>
      <c r="S859">
        <f t="shared" si="197"/>
        <v>7.5</v>
      </c>
      <c r="T859">
        <f t="shared" si="198"/>
        <v>0</v>
      </c>
      <c r="U859">
        <f t="shared" si="196"/>
        <v>1</v>
      </c>
      <c r="V859">
        <f t="shared" si="199"/>
        <v>1</v>
      </c>
      <c r="W859">
        <f t="shared" si="200"/>
        <v>0</v>
      </c>
      <c r="X859">
        <f t="shared" si="209"/>
        <v>1</v>
      </c>
      <c r="Y859">
        <f t="shared" si="210"/>
        <v>0</v>
      </c>
      <c r="Z859">
        <f t="shared" si="201"/>
        <v>8</v>
      </c>
      <c r="AA859">
        <f t="shared" si="202"/>
        <v>10</v>
      </c>
      <c r="AB859">
        <f t="shared" si="203"/>
        <v>5.7142857142857144</v>
      </c>
      <c r="AC859">
        <f t="shared" si="204"/>
        <v>0</v>
      </c>
      <c r="AD859" s="1">
        <f t="shared" si="205"/>
        <v>0</v>
      </c>
      <c r="AE859">
        <f t="shared" si="206"/>
        <v>0</v>
      </c>
      <c r="AF859">
        <f t="shared" si="207"/>
        <v>0</v>
      </c>
      <c r="AG859">
        <f t="shared" si="208"/>
        <v>0</v>
      </c>
    </row>
    <row r="860" spans="1:33" x14ac:dyDescent="0.25">
      <c r="A860" t="s">
        <v>1492</v>
      </c>
      <c r="B860" t="s">
        <v>1493</v>
      </c>
      <c r="C860">
        <v>163309</v>
      </c>
      <c r="D860">
        <v>163309</v>
      </c>
      <c r="S860">
        <f t="shared" si="197"/>
        <v>0</v>
      </c>
      <c r="T860">
        <f t="shared" si="198"/>
        <v>0</v>
      </c>
      <c r="U860">
        <f t="shared" si="196"/>
        <v>0</v>
      </c>
      <c r="V860">
        <f t="shared" si="199"/>
        <v>0</v>
      </c>
      <c r="W860">
        <f t="shared" si="200"/>
        <v>0</v>
      </c>
      <c r="X860">
        <f t="shared" si="209"/>
        <v>0</v>
      </c>
      <c r="Y860">
        <f t="shared" si="210"/>
        <v>0</v>
      </c>
      <c r="Z860">
        <f t="shared" si="201"/>
        <v>0</v>
      </c>
      <c r="AA860">
        <f t="shared" si="202"/>
        <v>0</v>
      </c>
      <c r="AB860">
        <f t="shared" si="203"/>
        <v>0</v>
      </c>
      <c r="AC860">
        <f t="shared" si="204"/>
        <v>0</v>
      </c>
      <c r="AD860" s="1">
        <f t="shared" si="205"/>
        <v>0</v>
      </c>
      <c r="AE860">
        <f t="shared" si="206"/>
        <v>0</v>
      </c>
      <c r="AF860">
        <f t="shared" si="207"/>
        <v>0</v>
      </c>
      <c r="AG860">
        <f t="shared" si="208"/>
        <v>0</v>
      </c>
    </row>
    <row r="861" spans="1:33" x14ac:dyDescent="0.25">
      <c r="A861" t="s">
        <v>1494</v>
      </c>
      <c r="B861" t="s">
        <v>1495</v>
      </c>
      <c r="C861">
        <v>167120</v>
      </c>
      <c r="D861">
        <v>167120</v>
      </c>
      <c r="E861">
        <v>40</v>
      </c>
      <c r="F861">
        <v>40</v>
      </c>
      <c r="G861">
        <v>30</v>
      </c>
      <c r="O861">
        <v>110</v>
      </c>
      <c r="S861">
        <f t="shared" si="197"/>
        <v>6.875</v>
      </c>
      <c r="T861">
        <f t="shared" si="198"/>
        <v>0</v>
      </c>
      <c r="U861">
        <f t="shared" si="196"/>
        <v>1</v>
      </c>
      <c r="V861">
        <f t="shared" si="199"/>
        <v>1</v>
      </c>
      <c r="W861">
        <f t="shared" si="200"/>
        <v>0</v>
      </c>
      <c r="X861">
        <f t="shared" si="209"/>
        <v>1</v>
      </c>
      <c r="Y861">
        <f t="shared" si="210"/>
        <v>0</v>
      </c>
      <c r="Z861">
        <f t="shared" si="201"/>
        <v>8</v>
      </c>
      <c r="AA861">
        <f t="shared" si="202"/>
        <v>10</v>
      </c>
      <c r="AB861">
        <f t="shared" si="203"/>
        <v>4.2857142857142856</v>
      </c>
      <c r="AC861">
        <f t="shared" si="204"/>
        <v>0</v>
      </c>
      <c r="AD861" s="1">
        <f t="shared" si="205"/>
        <v>0</v>
      </c>
      <c r="AE861">
        <f t="shared" si="206"/>
        <v>0</v>
      </c>
      <c r="AF861">
        <f t="shared" si="207"/>
        <v>0</v>
      </c>
      <c r="AG861">
        <f t="shared" si="208"/>
        <v>0</v>
      </c>
    </row>
    <row r="862" spans="1:33" x14ac:dyDescent="0.25">
      <c r="A862" t="s">
        <v>1496</v>
      </c>
      <c r="B862" t="s">
        <v>1497</v>
      </c>
      <c r="C862">
        <v>159662</v>
      </c>
      <c r="D862">
        <v>159662</v>
      </c>
      <c r="E862">
        <v>40</v>
      </c>
      <c r="F862">
        <v>20</v>
      </c>
      <c r="G862">
        <v>20</v>
      </c>
      <c r="O862">
        <v>80</v>
      </c>
      <c r="S862">
        <f t="shared" si="197"/>
        <v>5</v>
      </c>
      <c r="T862">
        <f t="shared" si="198"/>
        <v>0</v>
      </c>
      <c r="U862">
        <f t="shared" si="196"/>
        <v>1</v>
      </c>
      <c r="V862">
        <f t="shared" si="199"/>
        <v>1</v>
      </c>
      <c r="W862">
        <f t="shared" si="200"/>
        <v>0</v>
      </c>
      <c r="X862">
        <f t="shared" si="209"/>
        <v>0</v>
      </c>
      <c r="Y862">
        <f t="shared" si="210"/>
        <v>0</v>
      </c>
      <c r="Z862">
        <f t="shared" si="201"/>
        <v>8</v>
      </c>
      <c r="AA862">
        <f t="shared" si="202"/>
        <v>5</v>
      </c>
      <c r="AB862">
        <f t="shared" si="203"/>
        <v>2.8571428571428572</v>
      </c>
      <c r="AC862">
        <f t="shared" si="204"/>
        <v>0</v>
      </c>
      <c r="AD862" s="1">
        <f t="shared" si="205"/>
        <v>0</v>
      </c>
      <c r="AE862">
        <f t="shared" si="206"/>
        <v>0</v>
      </c>
      <c r="AF862">
        <f t="shared" si="207"/>
        <v>0</v>
      </c>
      <c r="AG862">
        <f t="shared" si="208"/>
        <v>0</v>
      </c>
    </row>
    <row r="863" spans="1:33" x14ac:dyDescent="0.25">
      <c r="A863" t="s">
        <v>1498</v>
      </c>
      <c r="B863" t="s">
        <v>1499</v>
      </c>
      <c r="C863">
        <v>163367</v>
      </c>
      <c r="D863">
        <v>163367</v>
      </c>
      <c r="E863">
        <v>50</v>
      </c>
      <c r="F863">
        <v>10</v>
      </c>
      <c r="G863">
        <v>40</v>
      </c>
      <c r="O863">
        <v>100</v>
      </c>
      <c r="S863">
        <f t="shared" si="197"/>
        <v>6.25</v>
      </c>
      <c r="T863">
        <f t="shared" si="198"/>
        <v>0</v>
      </c>
      <c r="U863">
        <f t="shared" si="196"/>
        <v>1</v>
      </c>
      <c r="V863">
        <f t="shared" si="199"/>
        <v>1</v>
      </c>
      <c r="W863">
        <f t="shared" si="200"/>
        <v>0</v>
      </c>
      <c r="X863">
        <f t="shared" si="209"/>
        <v>1</v>
      </c>
      <c r="Y863">
        <f t="shared" si="210"/>
        <v>0</v>
      </c>
      <c r="Z863">
        <f t="shared" si="201"/>
        <v>10</v>
      </c>
      <c r="AA863">
        <f t="shared" si="202"/>
        <v>2.5</v>
      </c>
      <c r="AB863">
        <f t="shared" si="203"/>
        <v>5.7142857142857144</v>
      </c>
      <c r="AC863">
        <f t="shared" si="204"/>
        <v>0</v>
      </c>
      <c r="AD863" s="1">
        <f t="shared" si="205"/>
        <v>0</v>
      </c>
      <c r="AE863">
        <f t="shared" si="206"/>
        <v>0</v>
      </c>
      <c r="AF863">
        <f t="shared" si="207"/>
        <v>0</v>
      </c>
      <c r="AG863">
        <f t="shared" si="208"/>
        <v>0</v>
      </c>
    </row>
    <row r="864" spans="1:33" x14ac:dyDescent="0.25">
      <c r="A864" t="s">
        <v>1500</v>
      </c>
      <c r="B864" t="s">
        <v>1501</v>
      </c>
      <c r="C864">
        <v>167225</v>
      </c>
      <c r="D864">
        <v>167225</v>
      </c>
      <c r="H864">
        <v>0</v>
      </c>
      <c r="I864">
        <v>20</v>
      </c>
      <c r="J864">
        <v>10</v>
      </c>
      <c r="K864">
        <v>0</v>
      </c>
      <c r="L864">
        <v>0</v>
      </c>
      <c r="M864">
        <v>30</v>
      </c>
      <c r="S864">
        <f t="shared" si="197"/>
        <v>0</v>
      </c>
      <c r="T864">
        <f t="shared" si="198"/>
        <v>2.5</v>
      </c>
      <c r="U864">
        <f t="shared" si="196"/>
        <v>1</v>
      </c>
      <c r="V864">
        <f t="shared" si="199"/>
        <v>0</v>
      </c>
      <c r="W864">
        <f t="shared" si="200"/>
        <v>1</v>
      </c>
      <c r="X864">
        <f t="shared" si="209"/>
        <v>0</v>
      </c>
      <c r="Y864">
        <f t="shared" si="210"/>
        <v>0</v>
      </c>
      <c r="Z864">
        <f t="shared" si="201"/>
        <v>0</v>
      </c>
      <c r="AA864">
        <f t="shared" si="202"/>
        <v>0</v>
      </c>
      <c r="AB864">
        <f t="shared" si="203"/>
        <v>0</v>
      </c>
      <c r="AC864">
        <f t="shared" si="204"/>
        <v>0</v>
      </c>
      <c r="AD864" s="1">
        <f t="shared" si="205"/>
        <v>3.3333333333333335</v>
      </c>
      <c r="AE864">
        <f t="shared" si="206"/>
        <v>5</v>
      </c>
      <c r="AF864">
        <f t="shared" si="207"/>
        <v>0</v>
      </c>
      <c r="AG864">
        <f t="shared" si="208"/>
        <v>0</v>
      </c>
    </row>
    <row r="865" spans="1:33" x14ac:dyDescent="0.25">
      <c r="A865" t="s">
        <v>1502</v>
      </c>
      <c r="B865" t="s">
        <v>963</v>
      </c>
      <c r="C865">
        <v>167191</v>
      </c>
      <c r="D865">
        <v>167191</v>
      </c>
      <c r="H865">
        <v>0</v>
      </c>
      <c r="I865">
        <v>40</v>
      </c>
      <c r="J865">
        <v>10</v>
      </c>
      <c r="K865">
        <v>0</v>
      </c>
      <c r="L865">
        <v>0</v>
      </c>
      <c r="M865">
        <v>50</v>
      </c>
      <c r="S865">
        <f t="shared" si="197"/>
        <v>0</v>
      </c>
      <c r="T865">
        <f t="shared" si="198"/>
        <v>4.166666666666667</v>
      </c>
      <c r="U865">
        <f t="shared" si="196"/>
        <v>1</v>
      </c>
      <c r="V865">
        <f t="shared" si="199"/>
        <v>0</v>
      </c>
      <c r="W865">
        <f t="shared" si="200"/>
        <v>1</v>
      </c>
      <c r="X865">
        <f t="shared" si="209"/>
        <v>0</v>
      </c>
      <c r="Y865">
        <f t="shared" si="210"/>
        <v>0</v>
      </c>
      <c r="Z865">
        <f t="shared" si="201"/>
        <v>0</v>
      </c>
      <c r="AA865">
        <f t="shared" si="202"/>
        <v>0</v>
      </c>
      <c r="AB865">
        <f t="shared" si="203"/>
        <v>0</v>
      </c>
      <c r="AC865">
        <f t="shared" si="204"/>
        <v>0</v>
      </c>
      <c r="AD865" s="1">
        <f t="shared" si="205"/>
        <v>6.666666666666667</v>
      </c>
      <c r="AE865">
        <f t="shared" si="206"/>
        <v>5</v>
      </c>
      <c r="AF865">
        <f t="shared" si="207"/>
        <v>0</v>
      </c>
      <c r="AG865">
        <f t="shared" si="208"/>
        <v>0</v>
      </c>
    </row>
    <row r="866" spans="1:33" x14ac:dyDescent="0.25">
      <c r="A866" t="s">
        <v>1503</v>
      </c>
      <c r="B866" t="s">
        <v>176</v>
      </c>
      <c r="C866">
        <v>166136</v>
      </c>
      <c r="D866">
        <v>166136</v>
      </c>
      <c r="H866">
        <v>10</v>
      </c>
      <c r="I866">
        <v>20</v>
      </c>
      <c r="J866">
        <v>10</v>
      </c>
      <c r="K866">
        <v>10</v>
      </c>
      <c r="L866">
        <v>10</v>
      </c>
      <c r="M866">
        <v>60</v>
      </c>
      <c r="S866">
        <f t="shared" si="197"/>
        <v>0</v>
      </c>
      <c r="T866">
        <f t="shared" si="198"/>
        <v>5</v>
      </c>
      <c r="U866">
        <f t="shared" si="196"/>
        <v>1</v>
      </c>
      <c r="V866">
        <f t="shared" si="199"/>
        <v>0</v>
      </c>
      <c r="W866">
        <f t="shared" si="200"/>
        <v>1</v>
      </c>
      <c r="X866">
        <f t="shared" si="209"/>
        <v>0</v>
      </c>
      <c r="Y866">
        <f t="shared" si="210"/>
        <v>0</v>
      </c>
      <c r="Z866">
        <f t="shared" si="201"/>
        <v>0</v>
      </c>
      <c r="AA866">
        <f t="shared" si="202"/>
        <v>0</v>
      </c>
      <c r="AB866">
        <f t="shared" si="203"/>
        <v>0</v>
      </c>
      <c r="AC866">
        <f t="shared" si="204"/>
        <v>5</v>
      </c>
      <c r="AD866" s="1">
        <f t="shared" si="205"/>
        <v>3.3333333333333335</v>
      </c>
      <c r="AE866">
        <f t="shared" si="206"/>
        <v>5</v>
      </c>
      <c r="AF866">
        <f t="shared" si="207"/>
        <v>10</v>
      </c>
      <c r="AG866">
        <f t="shared" si="208"/>
        <v>10</v>
      </c>
    </row>
    <row r="867" spans="1:33" x14ac:dyDescent="0.25">
      <c r="A867" t="s">
        <v>1504</v>
      </c>
      <c r="B867" t="s">
        <v>1505</v>
      </c>
      <c r="C867">
        <v>168426</v>
      </c>
      <c r="D867">
        <v>168426</v>
      </c>
      <c r="S867">
        <f t="shared" si="197"/>
        <v>0</v>
      </c>
      <c r="T867">
        <f t="shared" si="198"/>
        <v>0</v>
      </c>
      <c r="U867">
        <f t="shared" si="196"/>
        <v>0</v>
      </c>
      <c r="V867">
        <f t="shared" si="199"/>
        <v>0</v>
      </c>
      <c r="W867">
        <f t="shared" si="200"/>
        <v>0</v>
      </c>
      <c r="X867">
        <f t="shared" si="209"/>
        <v>0</v>
      </c>
      <c r="Y867">
        <f t="shared" si="210"/>
        <v>0</v>
      </c>
      <c r="Z867">
        <f t="shared" si="201"/>
        <v>0</v>
      </c>
      <c r="AA867">
        <f t="shared" si="202"/>
        <v>0</v>
      </c>
      <c r="AB867">
        <f t="shared" si="203"/>
        <v>0</v>
      </c>
      <c r="AC867">
        <f t="shared" si="204"/>
        <v>0</v>
      </c>
      <c r="AD867" s="1">
        <f t="shared" si="205"/>
        <v>0</v>
      </c>
      <c r="AE867">
        <f t="shared" si="206"/>
        <v>0</v>
      </c>
      <c r="AF867">
        <f t="shared" si="207"/>
        <v>0</v>
      </c>
      <c r="AG867">
        <f t="shared" si="208"/>
        <v>0</v>
      </c>
    </row>
    <row r="868" spans="1:33" x14ac:dyDescent="0.25">
      <c r="A868" t="s">
        <v>1506</v>
      </c>
      <c r="B868" t="s">
        <v>1507</v>
      </c>
      <c r="C868">
        <v>167774</v>
      </c>
      <c r="D868">
        <v>167774</v>
      </c>
      <c r="H868">
        <v>20</v>
      </c>
      <c r="I868">
        <v>40</v>
      </c>
      <c r="J868">
        <v>20</v>
      </c>
      <c r="K868">
        <v>0</v>
      </c>
      <c r="L868">
        <v>0</v>
      </c>
      <c r="M868">
        <v>80</v>
      </c>
      <c r="S868">
        <f t="shared" si="197"/>
        <v>0</v>
      </c>
      <c r="T868">
        <f t="shared" si="198"/>
        <v>6.666666666666667</v>
      </c>
      <c r="U868">
        <f t="shared" si="196"/>
        <v>1</v>
      </c>
      <c r="V868">
        <f t="shared" si="199"/>
        <v>0</v>
      </c>
      <c r="W868">
        <f t="shared" si="200"/>
        <v>1</v>
      </c>
      <c r="X868">
        <f t="shared" si="209"/>
        <v>0</v>
      </c>
      <c r="Y868">
        <f t="shared" si="210"/>
        <v>1</v>
      </c>
      <c r="Z868">
        <f t="shared" si="201"/>
        <v>0</v>
      </c>
      <c r="AA868">
        <f t="shared" si="202"/>
        <v>0</v>
      </c>
      <c r="AB868">
        <f t="shared" si="203"/>
        <v>0</v>
      </c>
      <c r="AC868">
        <f t="shared" si="204"/>
        <v>10</v>
      </c>
      <c r="AD868" s="1">
        <f t="shared" si="205"/>
        <v>6.666666666666667</v>
      </c>
      <c r="AE868">
        <f t="shared" si="206"/>
        <v>10</v>
      </c>
      <c r="AF868">
        <f t="shared" si="207"/>
        <v>0</v>
      </c>
      <c r="AG868">
        <f t="shared" si="208"/>
        <v>0</v>
      </c>
    </row>
    <row r="869" spans="1:33" x14ac:dyDescent="0.25">
      <c r="A869" t="s">
        <v>1508</v>
      </c>
      <c r="B869" t="s">
        <v>636</v>
      </c>
      <c r="C869">
        <v>168373</v>
      </c>
      <c r="D869">
        <v>168373</v>
      </c>
      <c r="E869">
        <v>40</v>
      </c>
      <c r="F869">
        <v>30</v>
      </c>
      <c r="G869">
        <v>40</v>
      </c>
      <c r="O869">
        <v>110</v>
      </c>
      <c r="S869">
        <f t="shared" si="197"/>
        <v>6.875</v>
      </c>
      <c r="T869">
        <f t="shared" si="198"/>
        <v>0</v>
      </c>
      <c r="U869">
        <f t="shared" si="196"/>
        <v>1</v>
      </c>
      <c r="V869">
        <f t="shared" si="199"/>
        <v>1</v>
      </c>
      <c r="W869">
        <f t="shared" si="200"/>
        <v>0</v>
      </c>
      <c r="X869">
        <f t="shared" si="209"/>
        <v>1</v>
      </c>
      <c r="Y869">
        <f t="shared" si="210"/>
        <v>0</v>
      </c>
      <c r="Z869">
        <f t="shared" si="201"/>
        <v>8</v>
      </c>
      <c r="AA869">
        <f t="shared" si="202"/>
        <v>7.5</v>
      </c>
      <c r="AB869">
        <f t="shared" si="203"/>
        <v>5.7142857142857144</v>
      </c>
      <c r="AC869">
        <f t="shared" si="204"/>
        <v>0</v>
      </c>
      <c r="AD869" s="1">
        <f t="shared" si="205"/>
        <v>0</v>
      </c>
      <c r="AE869">
        <f t="shared" si="206"/>
        <v>0</v>
      </c>
      <c r="AF869">
        <f t="shared" si="207"/>
        <v>0</v>
      </c>
      <c r="AG869">
        <f t="shared" si="208"/>
        <v>0</v>
      </c>
    </row>
    <row r="870" spans="1:33" x14ac:dyDescent="0.25">
      <c r="A870" t="s">
        <v>1509</v>
      </c>
      <c r="B870" t="s">
        <v>1510</v>
      </c>
      <c r="C870">
        <v>165866</v>
      </c>
      <c r="D870">
        <v>165866</v>
      </c>
      <c r="S870">
        <f t="shared" si="197"/>
        <v>0</v>
      </c>
      <c r="T870">
        <f t="shared" si="198"/>
        <v>0</v>
      </c>
      <c r="U870">
        <f t="shared" si="196"/>
        <v>0</v>
      </c>
      <c r="V870">
        <f t="shared" si="199"/>
        <v>0</v>
      </c>
      <c r="W870">
        <f t="shared" si="200"/>
        <v>0</v>
      </c>
      <c r="X870">
        <f t="shared" si="209"/>
        <v>0</v>
      </c>
      <c r="Y870">
        <f t="shared" si="210"/>
        <v>0</v>
      </c>
      <c r="Z870">
        <f t="shared" si="201"/>
        <v>0</v>
      </c>
      <c r="AA870">
        <f t="shared" si="202"/>
        <v>0</v>
      </c>
      <c r="AB870">
        <f t="shared" si="203"/>
        <v>0</v>
      </c>
      <c r="AC870">
        <f t="shared" si="204"/>
        <v>0</v>
      </c>
      <c r="AD870" s="1">
        <f t="shared" si="205"/>
        <v>0</v>
      </c>
      <c r="AE870">
        <f t="shared" si="206"/>
        <v>0</v>
      </c>
      <c r="AF870">
        <f t="shared" si="207"/>
        <v>0</v>
      </c>
      <c r="AG870">
        <f t="shared" si="208"/>
        <v>0</v>
      </c>
    </row>
    <row r="871" spans="1:33" x14ac:dyDescent="0.25">
      <c r="A871" t="s">
        <v>1511</v>
      </c>
      <c r="B871" t="s">
        <v>176</v>
      </c>
      <c r="C871">
        <v>168047</v>
      </c>
      <c r="D871">
        <v>168047</v>
      </c>
      <c r="S871">
        <f t="shared" si="197"/>
        <v>0</v>
      </c>
      <c r="T871">
        <f t="shared" si="198"/>
        <v>0</v>
      </c>
      <c r="U871">
        <f t="shared" si="196"/>
        <v>0</v>
      </c>
      <c r="V871">
        <f t="shared" si="199"/>
        <v>0</v>
      </c>
      <c r="W871">
        <f t="shared" si="200"/>
        <v>0</v>
      </c>
      <c r="X871">
        <f t="shared" si="209"/>
        <v>0</v>
      </c>
      <c r="Y871">
        <f t="shared" si="210"/>
        <v>0</v>
      </c>
      <c r="Z871">
        <f t="shared" si="201"/>
        <v>0</v>
      </c>
      <c r="AA871">
        <f t="shared" si="202"/>
        <v>0</v>
      </c>
      <c r="AB871">
        <f t="shared" si="203"/>
        <v>0</v>
      </c>
      <c r="AC871">
        <f t="shared" si="204"/>
        <v>0</v>
      </c>
      <c r="AD871" s="1">
        <f t="shared" si="205"/>
        <v>0</v>
      </c>
      <c r="AE871">
        <f t="shared" si="206"/>
        <v>0</v>
      </c>
      <c r="AF871">
        <f t="shared" si="207"/>
        <v>0</v>
      </c>
      <c r="AG871">
        <f t="shared" si="208"/>
        <v>0</v>
      </c>
    </row>
    <row r="872" spans="1:33" x14ac:dyDescent="0.25">
      <c r="A872" t="s">
        <v>1512</v>
      </c>
      <c r="B872" t="s">
        <v>1513</v>
      </c>
      <c r="C872">
        <v>166834</v>
      </c>
      <c r="D872">
        <v>166834</v>
      </c>
      <c r="H872">
        <v>20</v>
      </c>
      <c r="I872">
        <v>60</v>
      </c>
      <c r="J872">
        <v>10</v>
      </c>
      <c r="K872">
        <v>0</v>
      </c>
      <c r="L872">
        <v>10</v>
      </c>
      <c r="M872">
        <v>100</v>
      </c>
      <c r="S872">
        <f t="shared" si="197"/>
        <v>0</v>
      </c>
      <c r="T872">
        <f t="shared" si="198"/>
        <v>8.3333333333333339</v>
      </c>
      <c r="U872">
        <f t="shared" si="196"/>
        <v>1</v>
      </c>
      <c r="V872">
        <f t="shared" si="199"/>
        <v>0</v>
      </c>
      <c r="W872">
        <f t="shared" si="200"/>
        <v>1</v>
      </c>
      <c r="X872">
        <f t="shared" si="209"/>
        <v>0</v>
      </c>
      <c r="Y872">
        <f t="shared" si="210"/>
        <v>1</v>
      </c>
      <c r="Z872">
        <f t="shared" si="201"/>
        <v>0</v>
      </c>
      <c r="AA872">
        <f t="shared" si="202"/>
        <v>0</v>
      </c>
      <c r="AB872">
        <f t="shared" si="203"/>
        <v>0</v>
      </c>
      <c r="AC872">
        <f t="shared" si="204"/>
        <v>10</v>
      </c>
      <c r="AD872" s="1">
        <f t="shared" si="205"/>
        <v>10</v>
      </c>
      <c r="AE872">
        <f t="shared" si="206"/>
        <v>5</v>
      </c>
      <c r="AF872">
        <f t="shared" si="207"/>
        <v>0</v>
      </c>
      <c r="AG872">
        <f t="shared" si="208"/>
        <v>10</v>
      </c>
    </row>
    <row r="873" spans="1:33" x14ac:dyDescent="0.25">
      <c r="A873" t="s">
        <v>1514</v>
      </c>
      <c r="B873" t="s">
        <v>352</v>
      </c>
      <c r="C873">
        <v>164845</v>
      </c>
      <c r="D873">
        <v>164845</v>
      </c>
      <c r="H873">
        <v>10</v>
      </c>
      <c r="I873">
        <v>30</v>
      </c>
      <c r="J873">
        <v>10</v>
      </c>
      <c r="K873">
        <v>10</v>
      </c>
      <c r="L873">
        <v>10</v>
      </c>
      <c r="M873">
        <v>70</v>
      </c>
      <c r="S873">
        <f t="shared" si="197"/>
        <v>0</v>
      </c>
      <c r="T873">
        <f t="shared" si="198"/>
        <v>5.833333333333333</v>
      </c>
      <c r="U873">
        <f t="shared" si="196"/>
        <v>1</v>
      </c>
      <c r="V873">
        <f t="shared" si="199"/>
        <v>0</v>
      </c>
      <c r="W873">
        <f t="shared" si="200"/>
        <v>1</v>
      </c>
      <c r="X873">
        <f t="shared" si="209"/>
        <v>0</v>
      </c>
      <c r="Y873">
        <f t="shared" si="210"/>
        <v>0</v>
      </c>
      <c r="Z873">
        <f t="shared" si="201"/>
        <v>0</v>
      </c>
      <c r="AA873">
        <f t="shared" si="202"/>
        <v>0</v>
      </c>
      <c r="AB873">
        <f t="shared" si="203"/>
        <v>0</v>
      </c>
      <c r="AC873">
        <f t="shared" si="204"/>
        <v>5</v>
      </c>
      <c r="AD873" s="1">
        <f t="shared" si="205"/>
        <v>5</v>
      </c>
      <c r="AE873">
        <f t="shared" si="206"/>
        <v>5</v>
      </c>
      <c r="AF873">
        <f t="shared" si="207"/>
        <v>10</v>
      </c>
      <c r="AG873">
        <f t="shared" si="208"/>
        <v>10</v>
      </c>
    </row>
    <row r="874" spans="1:33" x14ac:dyDescent="0.25">
      <c r="A874" t="s">
        <v>1515</v>
      </c>
      <c r="B874" t="s">
        <v>1177</v>
      </c>
      <c r="C874">
        <v>164846</v>
      </c>
      <c r="D874">
        <v>164846</v>
      </c>
      <c r="S874">
        <f t="shared" si="197"/>
        <v>0</v>
      </c>
      <c r="T874">
        <f t="shared" si="198"/>
        <v>0</v>
      </c>
      <c r="U874">
        <f t="shared" si="196"/>
        <v>0</v>
      </c>
      <c r="V874">
        <f t="shared" si="199"/>
        <v>0</v>
      </c>
      <c r="W874">
        <f t="shared" si="200"/>
        <v>0</v>
      </c>
      <c r="X874">
        <f t="shared" si="209"/>
        <v>0</v>
      </c>
      <c r="Y874">
        <f t="shared" si="210"/>
        <v>0</v>
      </c>
      <c r="Z874">
        <f t="shared" si="201"/>
        <v>0</v>
      </c>
      <c r="AA874">
        <f t="shared" si="202"/>
        <v>0</v>
      </c>
      <c r="AB874">
        <f t="shared" si="203"/>
        <v>0</v>
      </c>
      <c r="AC874">
        <f t="shared" si="204"/>
        <v>0</v>
      </c>
      <c r="AD874" s="1">
        <f t="shared" si="205"/>
        <v>0</v>
      </c>
      <c r="AE874">
        <f t="shared" si="206"/>
        <v>0</v>
      </c>
      <c r="AF874">
        <f t="shared" si="207"/>
        <v>0</v>
      </c>
      <c r="AG874">
        <f t="shared" si="208"/>
        <v>0</v>
      </c>
    </row>
    <row r="875" spans="1:33" x14ac:dyDescent="0.25">
      <c r="A875" t="s">
        <v>1516</v>
      </c>
      <c r="B875" t="s">
        <v>209</v>
      </c>
      <c r="C875">
        <v>165309</v>
      </c>
      <c r="D875">
        <v>165309</v>
      </c>
      <c r="H875">
        <v>20</v>
      </c>
      <c r="I875">
        <v>30</v>
      </c>
      <c r="J875">
        <v>10</v>
      </c>
      <c r="K875">
        <v>0</v>
      </c>
      <c r="L875">
        <v>10</v>
      </c>
      <c r="M875">
        <v>70</v>
      </c>
      <c r="S875">
        <f t="shared" si="197"/>
        <v>0</v>
      </c>
      <c r="T875">
        <f t="shared" si="198"/>
        <v>5.833333333333333</v>
      </c>
      <c r="U875">
        <f t="shared" si="196"/>
        <v>1</v>
      </c>
      <c r="V875">
        <f t="shared" si="199"/>
        <v>0</v>
      </c>
      <c r="W875">
        <f t="shared" si="200"/>
        <v>1</v>
      </c>
      <c r="X875">
        <f t="shared" si="209"/>
        <v>0</v>
      </c>
      <c r="Y875">
        <f t="shared" si="210"/>
        <v>0</v>
      </c>
      <c r="Z875">
        <f t="shared" si="201"/>
        <v>0</v>
      </c>
      <c r="AA875">
        <f t="shared" si="202"/>
        <v>0</v>
      </c>
      <c r="AB875">
        <f t="shared" si="203"/>
        <v>0</v>
      </c>
      <c r="AC875">
        <f t="shared" si="204"/>
        <v>10</v>
      </c>
      <c r="AD875" s="1">
        <f t="shared" si="205"/>
        <v>5</v>
      </c>
      <c r="AE875">
        <f t="shared" si="206"/>
        <v>5</v>
      </c>
      <c r="AF875">
        <f t="shared" si="207"/>
        <v>0</v>
      </c>
      <c r="AG875">
        <f t="shared" si="208"/>
        <v>10</v>
      </c>
    </row>
    <row r="876" spans="1:33" x14ac:dyDescent="0.25">
      <c r="A876" t="s">
        <v>1517</v>
      </c>
      <c r="B876" t="s">
        <v>1518</v>
      </c>
      <c r="C876">
        <v>166717</v>
      </c>
      <c r="D876">
        <v>166717</v>
      </c>
      <c r="H876">
        <v>10</v>
      </c>
      <c r="I876">
        <v>40</v>
      </c>
      <c r="J876">
        <v>10</v>
      </c>
      <c r="K876">
        <v>10</v>
      </c>
      <c r="L876">
        <v>10</v>
      </c>
      <c r="M876">
        <v>80</v>
      </c>
      <c r="S876">
        <f t="shared" si="197"/>
        <v>0</v>
      </c>
      <c r="T876">
        <f t="shared" si="198"/>
        <v>6.666666666666667</v>
      </c>
      <c r="U876">
        <f t="shared" si="196"/>
        <v>1</v>
      </c>
      <c r="V876">
        <f t="shared" si="199"/>
        <v>0</v>
      </c>
      <c r="W876">
        <f t="shared" si="200"/>
        <v>1</v>
      </c>
      <c r="X876">
        <f t="shared" si="209"/>
        <v>0</v>
      </c>
      <c r="Y876">
        <f t="shared" si="210"/>
        <v>1</v>
      </c>
      <c r="Z876">
        <f t="shared" si="201"/>
        <v>0</v>
      </c>
      <c r="AA876">
        <f t="shared" si="202"/>
        <v>0</v>
      </c>
      <c r="AB876">
        <f t="shared" si="203"/>
        <v>0</v>
      </c>
      <c r="AC876">
        <f t="shared" si="204"/>
        <v>5</v>
      </c>
      <c r="AD876" s="1">
        <f t="shared" si="205"/>
        <v>6.666666666666667</v>
      </c>
      <c r="AE876">
        <f t="shared" si="206"/>
        <v>5</v>
      </c>
      <c r="AF876">
        <f t="shared" si="207"/>
        <v>10</v>
      </c>
      <c r="AG876">
        <f t="shared" si="208"/>
        <v>10</v>
      </c>
    </row>
    <row r="877" spans="1:33" x14ac:dyDescent="0.25">
      <c r="A877" t="s">
        <v>1519</v>
      </c>
      <c r="B877" t="s">
        <v>174</v>
      </c>
      <c r="C877">
        <v>166150</v>
      </c>
      <c r="D877">
        <v>166150</v>
      </c>
      <c r="H877">
        <v>20</v>
      </c>
      <c r="I877">
        <v>40</v>
      </c>
      <c r="J877">
        <v>10</v>
      </c>
      <c r="K877">
        <v>10</v>
      </c>
      <c r="L877">
        <v>0</v>
      </c>
      <c r="M877">
        <v>80</v>
      </c>
      <c r="N877" t="s">
        <v>20</v>
      </c>
      <c r="S877">
        <f t="shared" si="197"/>
        <v>0</v>
      </c>
      <c r="T877">
        <f t="shared" si="198"/>
        <v>6.666666666666667</v>
      </c>
      <c r="U877">
        <f t="shared" si="196"/>
        <v>1</v>
      </c>
      <c r="V877">
        <f t="shared" si="199"/>
        <v>0</v>
      </c>
      <c r="W877">
        <f t="shared" si="200"/>
        <v>1</v>
      </c>
      <c r="X877">
        <f t="shared" si="209"/>
        <v>0</v>
      </c>
      <c r="Y877">
        <f t="shared" si="210"/>
        <v>1</v>
      </c>
      <c r="Z877">
        <f t="shared" si="201"/>
        <v>0</v>
      </c>
      <c r="AA877">
        <f t="shared" si="202"/>
        <v>0</v>
      </c>
      <c r="AB877">
        <f t="shared" si="203"/>
        <v>0</v>
      </c>
      <c r="AC877">
        <f t="shared" si="204"/>
        <v>10</v>
      </c>
      <c r="AD877" s="1">
        <f t="shared" si="205"/>
        <v>6.666666666666667</v>
      </c>
      <c r="AE877">
        <f t="shared" si="206"/>
        <v>5</v>
      </c>
      <c r="AF877">
        <f t="shared" si="207"/>
        <v>10</v>
      </c>
      <c r="AG877">
        <f t="shared" si="208"/>
        <v>0</v>
      </c>
    </row>
    <row r="878" spans="1:33" x14ac:dyDescent="0.25">
      <c r="A878" t="s">
        <v>1520</v>
      </c>
      <c r="B878" t="s">
        <v>1521</v>
      </c>
      <c r="C878">
        <v>168753</v>
      </c>
      <c r="D878">
        <v>168753</v>
      </c>
      <c r="H878">
        <v>0</v>
      </c>
      <c r="I878">
        <v>50</v>
      </c>
      <c r="J878">
        <v>10</v>
      </c>
      <c r="K878">
        <v>10</v>
      </c>
      <c r="L878">
        <v>10</v>
      </c>
      <c r="M878">
        <v>80</v>
      </c>
      <c r="S878">
        <f t="shared" si="197"/>
        <v>0</v>
      </c>
      <c r="T878">
        <f t="shared" si="198"/>
        <v>6.666666666666667</v>
      </c>
      <c r="U878">
        <f t="shared" si="196"/>
        <v>1</v>
      </c>
      <c r="V878">
        <f t="shared" si="199"/>
        <v>0</v>
      </c>
      <c r="W878">
        <f t="shared" si="200"/>
        <v>1</v>
      </c>
      <c r="X878">
        <f t="shared" si="209"/>
        <v>0</v>
      </c>
      <c r="Y878">
        <f t="shared" si="210"/>
        <v>1</v>
      </c>
      <c r="Z878">
        <f t="shared" si="201"/>
        <v>0</v>
      </c>
      <c r="AA878">
        <f t="shared" si="202"/>
        <v>0</v>
      </c>
      <c r="AB878">
        <f t="shared" si="203"/>
        <v>0</v>
      </c>
      <c r="AC878">
        <f t="shared" si="204"/>
        <v>0</v>
      </c>
      <c r="AD878" s="1">
        <f t="shared" si="205"/>
        <v>8.3333333333333339</v>
      </c>
      <c r="AE878">
        <f t="shared" si="206"/>
        <v>5</v>
      </c>
      <c r="AF878">
        <f t="shared" si="207"/>
        <v>10</v>
      </c>
      <c r="AG878">
        <f t="shared" si="208"/>
        <v>10</v>
      </c>
    </row>
    <row r="879" spans="1:33" x14ac:dyDescent="0.25">
      <c r="A879" t="s">
        <v>1522</v>
      </c>
      <c r="B879" t="s">
        <v>286</v>
      </c>
      <c r="C879">
        <v>167336</v>
      </c>
      <c r="D879">
        <v>167336</v>
      </c>
      <c r="E879">
        <v>10</v>
      </c>
      <c r="F879">
        <v>20</v>
      </c>
      <c r="G879">
        <v>10</v>
      </c>
      <c r="O879">
        <v>40</v>
      </c>
      <c r="S879">
        <f t="shared" si="197"/>
        <v>2.5</v>
      </c>
      <c r="T879">
        <f t="shared" si="198"/>
        <v>0</v>
      </c>
      <c r="U879">
        <f t="shared" si="196"/>
        <v>1</v>
      </c>
      <c r="V879">
        <f t="shared" si="199"/>
        <v>1</v>
      </c>
      <c r="W879">
        <f t="shared" si="200"/>
        <v>0</v>
      </c>
      <c r="X879">
        <f t="shared" si="209"/>
        <v>0</v>
      </c>
      <c r="Y879">
        <f t="shared" si="210"/>
        <v>0</v>
      </c>
      <c r="Z879">
        <f t="shared" si="201"/>
        <v>2</v>
      </c>
      <c r="AA879">
        <f t="shared" si="202"/>
        <v>5</v>
      </c>
      <c r="AB879">
        <f t="shared" si="203"/>
        <v>1.4285714285714286</v>
      </c>
      <c r="AC879">
        <f t="shared" si="204"/>
        <v>0</v>
      </c>
      <c r="AD879" s="1">
        <f t="shared" si="205"/>
        <v>0</v>
      </c>
      <c r="AE879">
        <f t="shared" si="206"/>
        <v>0</v>
      </c>
      <c r="AF879">
        <f t="shared" si="207"/>
        <v>0</v>
      </c>
      <c r="AG879">
        <f t="shared" si="208"/>
        <v>0</v>
      </c>
    </row>
    <row r="880" spans="1:33" x14ac:dyDescent="0.25">
      <c r="A880" t="s">
        <v>1523</v>
      </c>
      <c r="B880" t="s">
        <v>1524</v>
      </c>
      <c r="C880">
        <v>163453</v>
      </c>
      <c r="D880">
        <v>163453</v>
      </c>
      <c r="H880">
        <v>10</v>
      </c>
      <c r="I880">
        <v>40</v>
      </c>
      <c r="J880">
        <v>10</v>
      </c>
      <c r="K880">
        <v>10</v>
      </c>
      <c r="L880">
        <v>10</v>
      </c>
      <c r="M880">
        <v>80</v>
      </c>
      <c r="S880">
        <f t="shared" si="197"/>
        <v>0</v>
      </c>
      <c r="T880">
        <f t="shared" si="198"/>
        <v>6.666666666666667</v>
      </c>
      <c r="U880">
        <f t="shared" si="196"/>
        <v>1</v>
      </c>
      <c r="V880">
        <f t="shared" si="199"/>
        <v>0</v>
      </c>
      <c r="W880">
        <f t="shared" si="200"/>
        <v>1</v>
      </c>
      <c r="X880">
        <f t="shared" si="209"/>
        <v>0</v>
      </c>
      <c r="Y880">
        <f t="shared" si="210"/>
        <v>1</v>
      </c>
      <c r="Z880">
        <f t="shared" si="201"/>
        <v>0</v>
      </c>
      <c r="AA880">
        <f t="shared" si="202"/>
        <v>0</v>
      </c>
      <c r="AB880">
        <f t="shared" si="203"/>
        <v>0</v>
      </c>
      <c r="AC880">
        <f t="shared" si="204"/>
        <v>5</v>
      </c>
      <c r="AD880" s="1">
        <f t="shared" si="205"/>
        <v>6.666666666666667</v>
      </c>
      <c r="AE880">
        <f t="shared" si="206"/>
        <v>5</v>
      </c>
      <c r="AF880">
        <f t="shared" si="207"/>
        <v>10</v>
      </c>
      <c r="AG880">
        <f t="shared" si="208"/>
        <v>10</v>
      </c>
    </row>
    <row r="881" spans="1:33" x14ac:dyDescent="0.25">
      <c r="A881" t="s">
        <v>1525</v>
      </c>
      <c r="B881" t="s">
        <v>1526</v>
      </c>
      <c r="C881">
        <v>165879</v>
      </c>
      <c r="D881">
        <v>165879</v>
      </c>
      <c r="E881">
        <v>0</v>
      </c>
      <c r="F881">
        <v>10</v>
      </c>
      <c r="G881">
        <v>60</v>
      </c>
      <c r="O881">
        <v>70</v>
      </c>
      <c r="S881">
        <f t="shared" si="197"/>
        <v>4.375</v>
      </c>
      <c r="T881">
        <f t="shared" si="198"/>
        <v>0</v>
      </c>
      <c r="U881">
        <f t="shared" si="196"/>
        <v>1</v>
      </c>
      <c r="V881">
        <f t="shared" si="199"/>
        <v>1</v>
      </c>
      <c r="W881">
        <f t="shared" si="200"/>
        <v>0</v>
      </c>
      <c r="X881">
        <f t="shared" si="209"/>
        <v>0</v>
      </c>
      <c r="Y881">
        <f t="shared" si="210"/>
        <v>0</v>
      </c>
      <c r="Z881">
        <f t="shared" si="201"/>
        <v>0</v>
      </c>
      <c r="AA881">
        <f t="shared" si="202"/>
        <v>2.5</v>
      </c>
      <c r="AB881">
        <f t="shared" si="203"/>
        <v>8.5714285714285712</v>
      </c>
      <c r="AC881">
        <f t="shared" si="204"/>
        <v>0</v>
      </c>
      <c r="AD881" s="1">
        <f t="shared" si="205"/>
        <v>0</v>
      </c>
      <c r="AE881">
        <f t="shared" si="206"/>
        <v>0</v>
      </c>
      <c r="AF881">
        <f t="shared" si="207"/>
        <v>0</v>
      </c>
      <c r="AG881">
        <f t="shared" si="208"/>
        <v>0</v>
      </c>
    </row>
    <row r="882" spans="1:33" x14ac:dyDescent="0.25">
      <c r="A882" t="s">
        <v>1527</v>
      </c>
      <c r="B882" t="s">
        <v>1528</v>
      </c>
      <c r="C882">
        <v>163500</v>
      </c>
      <c r="D882">
        <v>163500</v>
      </c>
      <c r="S882">
        <f t="shared" si="197"/>
        <v>0</v>
      </c>
      <c r="T882">
        <f t="shared" si="198"/>
        <v>0</v>
      </c>
      <c r="U882">
        <f t="shared" si="196"/>
        <v>0</v>
      </c>
      <c r="V882">
        <f t="shared" si="199"/>
        <v>0</v>
      </c>
      <c r="W882">
        <f t="shared" si="200"/>
        <v>0</v>
      </c>
      <c r="X882">
        <f t="shared" si="209"/>
        <v>0</v>
      </c>
      <c r="Y882">
        <f t="shared" si="210"/>
        <v>0</v>
      </c>
      <c r="Z882">
        <f t="shared" si="201"/>
        <v>0</v>
      </c>
      <c r="AA882">
        <f t="shared" si="202"/>
        <v>0</v>
      </c>
      <c r="AB882">
        <f t="shared" si="203"/>
        <v>0</v>
      </c>
      <c r="AC882">
        <f t="shared" si="204"/>
        <v>0</v>
      </c>
      <c r="AD882" s="1">
        <f t="shared" si="205"/>
        <v>0</v>
      </c>
      <c r="AE882">
        <f t="shared" si="206"/>
        <v>0</v>
      </c>
      <c r="AF882">
        <f t="shared" si="207"/>
        <v>0</v>
      </c>
      <c r="AG882">
        <f t="shared" si="208"/>
        <v>0</v>
      </c>
    </row>
    <row r="883" spans="1:33" x14ac:dyDescent="0.25">
      <c r="A883" t="s">
        <v>1529</v>
      </c>
      <c r="B883" t="s">
        <v>140</v>
      </c>
      <c r="C883">
        <v>166816</v>
      </c>
      <c r="D883">
        <v>166816</v>
      </c>
      <c r="H883">
        <v>20</v>
      </c>
      <c r="I883">
        <v>40</v>
      </c>
      <c r="J883">
        <v>20</v>
      </c>
      <c r="K883">
        <v>10</v>
      </c>
      <c r="L883">
        <v>10</v>
      </c>
      <c r="M883">
        <v>100</v>
      </c>
      <c r="S883">
        <f t="shared" si="197"/>
        <v>0</v>
      </c>
      <c r="T883">
        <f t="shared" si="198"/>
        <v>8.3333333333333339</v>
      </c>
      <c r="U883">
        <f t="shared" si="196"/>
        <v>1</v>
      </c>
      <c r="V883">
        <f t="shared" si="199"/>
        <v>0</v>
      </c>
      <c r="W883">
        <f t="shared" si="200"/>
        <v>1</v>
      </c>
      <c r="X883">
        <f t="shared" si="209"/>
        <v>0</v>
      </c>
      <c r="Y883">
        <f t="shared" si="210"/>
        <v>1</v>
      </c>
      <c r="Z883">
        <f t="shared" si="201"/>
        <v>0</v>
      </c>
      <c r="AA883">
        <f t="shared" si="202"/>
        <v>0</v>
      </c>
      <c r="AB883">
        <f t="shared" si="203"/>
        <v>0</v>
      </c>
      <c r="AC883">
        <f t="shared" si="204"/>
        <v>10</v>
      </c>
      <c r="AD883" s="1">
        <f t="shared" si="205"/>
        <v>6.666666666666667</v>
      </c>
      <c r="AE883">
        <f t="shared" si="206"/>
        <v>10</v>
      </c>
      <c r="AF883">
        <f t="shared" si="207"/>
        <v>10</v>
      </c>
      <c r="AG883">
        <f t="shared" si="208"/>
        <v>10</v>
      </c>
    </row>
    <row r="884" spans="1:33" x14ac:dyDescent="0.25">
      <c r="A884" t="s">
        <v>1530</v>
      </c>
      <c r="B884" t="s">
        <v>1531</v>
      </c>
      <c r="C884">
        <v>168158</v>
      </c>
      <c r="D884">
        <v>168158</v>
      </c>
      <c r="H884">
        <v>10</v>
      </c>
      <c r="I884">
        <v>60</v>
      </c>
      <c r="J884">
        <v>20</v>
      </c>
      <c r="K884">
        <v>10</v>
      </c>
      <c r="L884">
        <v>10</v>
      </c>
      <c r="M884">
        <v>110</v>
      </c>
      <c r="S884">
        <f t="shared" si="197"/>
        <v>0</v>
      </c>
      <c r="T884">
        <f t="shared" si="198"/>
        <v>9.1666666666666661</v>
      </c>
      <c r="U884">
        <f t="shared" si="196"/>
        <v>1</v>
      </c>
      <c r="V884">
        <f t="shared" si="199"/>
        <v>0</v>
      </c>
      <c r="W884">
        <f t="shared" si="200"/>
        <v>1</v>
      </c>
      <c r="X884">
        <f t="shared" si="209"/>
        <v>0</v>
      </c>
      <c r="Y884">
        <f t="shared" si="210"/>
        <v>1</v>
      </c>
      <c r="Z884">
        <f t="shared" si="201"/>
        <v>0</v>
      </c>
      <c r="AA884">
        <f t="shared" si="202"/>
        <v>0</v>
      </c>
      <c r="AB884">
        <f t="shared" si="203"/>
        <v>0</v>
      </c>
      <c r="AC884">
        <f t="shared" si="204"/>
        <v>5</v>
      </c>
      <c r="AD884" s="1">
        <f t="shared" si="205"/>
        <v>10</v>
      </c>
      <c r="AE884">
        <f t="shared" si="206"/>
        <v>10</v>
      </c>
      <c r="AF884">
        <f t="shared" si="207"/>
        <v>10</v>
      </c>
      <c r="AG884">
        <f t="shared" si="208"/>
        <v>10</v>
      </c>
    </row>
    <row r="885" spans="1:33" x14ac:dyDescent="0.25">
      <c r="A885" t="s">
        <v>1532</v>
      </c>
      <c r="B885" t="s">
        <v>1533</v>
      </c>
      <c r="C885">
        <v>168257</v>
      </c>
      <c r="D885">
        <v>168257</v>
      </c>
      <c r="H885">
        <v>0</v>
      </c>
      <c r="I885">
        <v>0</v>
      </c>
      <c r="J885">
        <v>20</v>
      </c>
      <c r="K885">
        <v>10</v>
      </c>
      <c r="L885">
        <v>0</v>
      </c>
      <c r="M885">
        <v>30</v>
      </c>
      <c r="S885">
        <f t="shared" si="197"/>
        <v>0</v>
      </c>
      <c r="T885">
        <f t="shared" si="198"/>
        <v>2.5</v>
      </c>
      <c r="U885">
        <f t="shared" si="196"/>
        <v>1</v>
      </c>
      <c r="V885">
        <f t="shared" si="199"/>
        <v>0</v>
      </c>
      <c r="W885">
        <f t="shared" si="200"/>
        <v>1</v>
      </c>
      <c r="X885">
        <f t="shared" si="209"/>
        <v>0</v>
      </c>
      <c r="Y885">
        <f t="shared" si="210"/>
        <v>0</v>
      </c>
      <c r="Z885">
        <f t="shared" si="201"/>
        <v>0</v>
      </c>
      <c r="AA885">
        <f t="shared" si="202"/>
        <v>0</v>
      </c>
      <c r="AB885">
        <f t="shared" si="203"/>
        <v>0</v>
      </c>
      <c r="AC885">
        <f t="shared" si="204"/>
        <v>0</v>
      </c>
      <c r="AD885" s="1">
        <f t="shared" si="205"/>
        <v>0</v>
      </c>
      <c r="AE885">
        <f t="shared" si="206"/>
        <v>10</v>
      </c>
      <c r="AF885">
        <f t="shared" si="207"/>
        <v>10</v>
      </c>
      <c r="AG885">
        <f t="shared" si="208"/>
        <v>0</v>
      </c>
    </row>
    <row r="886" spans="1:33" x14ac:dyDescent="0.25">
      <c r="A886" t="s">
        <v>1534</v>
      </c>
      <c r="B886" t="s">
        <v>1535</v>
      </c>
      <c r="C886">
        <v>167581</v>
      </c>
      <c r="D886">
        <v>167581</v>
      </c>
      <c r="H886">
        <v>10</v>
      </c>
      <c r="J886">
        <v>20</v>
      </c>
      <c r="M886">
        <v>30</v>
      </c>
      <c r="S886">
        <f t="shared" si="197"/>
        <v>0</v>
      </c>
      <c r="T886">
        <f t="shared" si="198"/>
        <v>2.5</v>
      </c>
      <c r="U886">
        <f t="shared" si="196"/>
        <v>1</v>
      </c>
      <c r="V886">
        <f t="shared" si="199"/>
        <v>0</v>
      </c>
      <c r="W886">
        <f t="shared" si="200"/>
        <v>1</v>
      </c>
      <c r="X886">
        <f t="shared" si="209"/>
        <v>0</v>
      </c>
      <c r="Y886">
        <f t="shared" si="210"/>
        <v>0</v>
      </c>
      <c r="Z886">
        <f t="shared" si="201"/>
        <v>0</v>
      </c>
      <c r="AA886">
        <f t="shared" si="202"/>
        <v>0</v>
      </c>
      <c r="AB886">
        <f t="shared" si="203"/>
        <v>0</v>
      </c>
      <c r="AC886">
        <f t="shared" si="204"/>
        <v>5</v>
      </c>
      <c r="AD886" s="1">
        <f t="shared" si="205"/>
        <v>0</v>
      </c>
      <c r="AE886">
        <f t="shared" si="206"/>
        <v>10</v>
      </c>
      <c r="AF886">
        <f t="shared" si="207"/>
        <v>0</v>
      </c>
      <c r="AG886">
        <f t="shared" si="208"/>
        <v>0</v>
      </c>
    </row>
    <row r="887" spans="1:33" x14ac:dyDescent="0.25">
      <c r="A887" t="s">
        <v>1536</v>
      </c>
      <c r="B887" t="s">
        <v>761</v>
      </c>
      <c r="C887">
        <v>164622</v>
      </c>
      <c r="D887">
        <v>164622</v>
      </c>
      <c r="S887">
        <f t="shared" si="197"/>
        <v>0</v>
      </c>
      <c r="T887">
        <f t="shared" si="198"/>
        <v>0</v>
      </c>
      <c r="U887">
        <f t="shared" si="196"/>
        <v>0</v>
      </c>
      <c r="V887">
        <f t="shared" si="199"/>
        <v>0</v>
      </c>
      <c r="W887">
        <f t="shared" si="200"/>
        <v>0</v>
      </c>
      <c r="X887">
        <f t="shared" si="209"/>
        <v>0</v>
      </c>
      <c r="Y887">
        <f t="shared" si="210"/>
        <v>0</v>
      </c>
      <c r="Z887">
        <f t="shared" si="201"/>
        <v>0</v>
      </c>
      <c r="AA887">
        <f t="shared" si="202"/>
        <v>0</v>
      </c>
      <c r="AB887">
        <f t="shared" si="203"/>
        <v>0</v>
      </c>
      <c r="AC887">
        <f t="shared" si="204"/>
        <v>0</v>
      </c>
      <c r="AD887" s="1">
        <f t="shared" si="205"/>
        <v>0</v>
      </c>
      <c r="AE887">
        <f t="shared" si="206"/>
        <v>0</v>
      </c>
      <c r="AF887">
        <f t="shared" si="207"/>
        <v>0</v>
      </c>
      <c r="AG887">
        <f t="shared" si="208"/>
        <v>0</v>
      </c>
    </row>
    <row r="888" spans="1:33" x14ac:dyDescent="0.25">
      <c r="A888" t="s">
        <v>1536</v>
      </c>
      <c r="B888" t="s">
        <v>1537</v>
      </c>
      <c r="C888">
        <v>165325</v>
      </c>
      <c r="D888">
        <v>165325</v>
      </c>
      <c r="H888">
        <v>20</v>
      </c>
      <c r="I888">
        <v>40</v>
      </c>
      <c r="J888">
        <v>20</v>
      </c>
      <c r="M888">
        <v>80</v>
      </c>
      <c r="S888">
        <f t="shared" si="197"/>
        <v>0</v>
      </c>
      <c r="T888">
        <f t="shared" si="198"/>
        <v>6.666666666666667</v>
      </c>
      <c r="U888">
        <f t="shared" si="196"/>
        <v>1</v>
      </c>
      <c r="V888">
        <f t="shared" si="199"/>
        <v>0</v>
      </c>
      <c r="W888">
        <f t="shared" si="200"/>
        <v>1</v>
      </c>
      <c r="X888">
        <f t="shared" si="209"/>
        <v>0</v>
      </c>
      <c r="Y888">
        <f t="shared" si="210"/>
        <v>1</v>
      </c>
      <c r="Z888">
        <f t="shared" si="201"/>
        <v>0</v>
      </c>
      <c r="AA888">
        <f t="shared" si="202"/>
        <v>0</v>
      </c>
      <c r="AB888">
        <f t="shared" si="203"/>
        <v>0</v>
      </c>
      <c r="AC888">
        <f t="shared" si="204"/>
        <v>10</v>
      </c>
      <c r="AD888" s="1">
        <f t="shared" si="205"/>
        <v>6.666666666666667</v>
      </c>
      <c r="AE888">
        <f t="shared" si="206"/>
        <v>10</v>
      </c>
      <c r="AF888">
        <f t="shared" si="207"/>
        <v>0</v>
      </c>
      <c r="AG888">
        <f t="shared" si="208"/>
        <v>0</v>
      </c>
    </row>
    <row r="889" spans="1:33" x14ac:dyDescent="0.25">
      <c r="A889" t="s">
        <v>1538</v>
      </c>
      <c r="B889" t="s">
        <v>1539</v>
      </c>
      <c r="C889">
        <v>167613</v>
      </c>
      <c r="D889">
        <v>167613</v>
      </c>
      <c r="H889">
        <v>10</v>
      </c>
      <c r="I889">
        <v>30</v>
      </c>
      <c r="J889">
        <v>10</v>
      </c>
      <c r="K889">
        <v>10</v>
      </c>
      <c r="L889">
        <v>10</v>
      </c>
      <c r="M889">
        <v>70</v>
      </c>
      <c r="S889">
        <f t="shared" si="197"/>
        <v>0</v>
      </c>
      <c r="T889">
        <f t="shared" si="198"/>
        <v>5.833333333333333</v>
      </c>
      <c r="U889">
        <f t="shared" si="196"/>
        <v>1</v>
      </c>
      <c r="V889">
        <f t="shared" si="199"/>
        <v>0</v>
      </c>
      <c r="W889">
        <f t="shared" si="200"/>
        <v>1</v>
      </c>
      <c r="X889">
        <f t="shared" si="209"/>
        <v>0</v>
      </c>
      <c r="Y889">
        <f t="shared" si="210"/>
        <v>0</v>
      </c>
      <c r="Z889">
        <f t="shared" si="201"/>
        <v>0</v>
      </c>
      <c r="AA889">
        <f t="shared" si="202"/>
        <v>0</v>
      </c>
      <c r="AB889">
        <f t="shared" si="203"/>
        <v>0</v>
      </c>
      <c r="AC889">
        <f t="shared" si="204"/>
        <v>5</v>
      </c>
      <c r="AD889" s="1">
        <f t="shared" si="205"/>
        <v>5</v>
      </c>
      <c r="AE889">
        <f t="shared" si="206"/>
        <v>5</v>
      </c>
      <c r="AF889">
        <f t="shared" si="207"/>
        <v>10</v>
      </c>
      <c r="AG889">
        <f t="shared" si="208"/>
        <v>10</v>
      </c>
    </row>
    <row r="890" spans="1:33" x14ac:dyDescent="0.25">
      <c r="A890" t="s">
        <v>1540</v>
      </c>
      <c r="B890" t="s">
        <v>1541</v>
      </c>
      <c r="C890">
        <v>168306</v>
      </c>
      <c r="D890">
        <v>168306</v>
      </c>
      <c r="H890">
        <v>0</v>
      </c>
      <c r="I890">
        <v>50</v>
      </c>
      <c r="J890">
        <v>10</v>
      </c>
      <c r="K890">
        <v>0</v>
      </c>
      <c r="L890">
        <v>10</v>
      </c>
      <c r="M890">
        <v>70</v>
      </c>
      <c r="S890">
        <f t="shared" si="197"/>
        <v>0</v>
      </c>
      <c r="T890">
        <f t="shared" si="198"/>
        <v>5.833333333333333</v>
      </c>
      <c r="U890">
        <f t="shared" si="196"/>
        <v>1</v>
      </c>
      <c r="V890">
        <f t="shared" si="199"/>
        <v>0</v>
      </c>
      <c r="W890">
        <f t="shared" si="200"/>
        <v>1</v>
      </c>
      <c r="X890">
        <f t="shared" si="209"/>
        <v>0</v>
      </c>
      <c r="Y890">
        <f t="shared" si="210"/>
        <v>0</v>
      </c>
      <c r="Z890">
        <f t="shared" si="201"/>
        <v>0</v>
      </c>
      <c r="AA890">
        <f t="shared" si="202"/>
        <v>0</v>
      </c>
      <c r="AB890">
        <f t="shared" si="203"/>
        <v>0</v>
      </c>
      <c r="AC890">
        <f t="shared" si="204"/>
        <v>0</v>
      </c>
      <c r="AD890" s="1">
        <f t="shared" si="205"/>
        <v>8.3333333333333339</v>
      </c>
      <c r="AE890">
        <f t="shared" si="206"/>
        <v>5</v>
      </c>
      <c r="AF890">
        <f t="shared" si="207"/>
        <v>0</v>
      </c>
      <c r="AG890">
        <f t="shared" si="208"/>
        <v>10</v>
      </c>
    </row>
    <row r="891" spans="1:33" x14ac:dyDescent="0.25">
      <c r="A891" t="s">
        <v>1542</v>
      </c>
      <c r="B891" t="s">
        <v>1543</v>
      </c>
      <c r="C891">
        <v>157611</v>
      </c>
      <c r="D891">
        <v>157611</v>
      </c>
      <c r="E891">
        <v>10</v>
      </c>
      <c r="F891">
        <v>10</v>
      </c>
      <c r="O891">
        <v>20</v>
      </c>
      <c r="S891">
        <f t="shared" si="197"/>
        <v>1.25</v>
      </c>
      <c r="T891">
        <f t="shared" si="198"/>
        <v>0</v>
      </c>
      <c r="U891">
        <f t="shared" si="196"/>
        <v>1</v>
      </c>
      <c r="V891">
        <f t="shared" si="199"/>
        <v>1</v>
      </c>
      <c r="W891">
        <f t="shared" si="200"/>
        <v>0</v>
      </c>
      <c r="X891">
        <f t="shared" si="209"/>
        <v>0</v>
      </c>
      <c r="Y891">
        <f t="shared" si="210"/>
        <v>0</v>
      </c>
      <c r="Z891">
        <f t="shared" si="201"/>
        <v>2</v>
      </c>
      <c r="AA891">
        <f t="shared" si="202"/>
        <v>2.5</v>
      </c>
      <c r="AB891">
        <f t="shared" si="203"/>
        <v>0</v>
      </c>
      <c r="AC891">
        <f t="shared" si="204"/>
        <v>0</v>
      </c>
      <c r="AD891" s="1">
        <f t="shared" si="205"/>
        <v>0</v>
      </c>
      <c r="AE891">
        <f t="shared" si="206"/>
        <v>0</v>
      </c>
      <c r="AF891">
        <f t="shared" si="207"/>
        <v>0</v>
      </c>
      <c r="AG891">
        <f t="shared" si="208"/>
        <v>0</v>
      </c>
    </row>
    <row r="892" spans="1:33" x14ac:dyDescent="0.25">
      <c r="A892" t="s">
        <v>1544</v>
      </c>
      <c r="B892" t="s">
        <v>1545</v>
      </c>
      <c r="C892">
        <v>165994</v>
      </c>
      <c r="D892">
        <v>165994</v>
      </c>
      <c r="E892">
        <v>10</v>
      </c>
      <c r="F892">
        <v>0</v>
      </c>
      <c r="G892">
        <v>30</v>
      </c>
      <c r="O892">
        <v>40</v>
      </c>
      <c r="S892">
        <f t="shared" si="197"/>
        <v>2.5</v>
      </c>
      <c r="T892">
        <f t="shared" si="198"/>
        <v>0</v>
      </c>
      <c r="U892">
        <f t="shared" si="196"/>
        <v>1</v>
      </c>
      <c r="V892">
        <f t="shared" si="199"/>
        <v>1</v>
      </c>
      <c r="W892">
        <f t="shared" si="200"/>
        <v>0</v>
      </c>
      <c r="X892">
        <f t="shared" si="209"/>
        <v>0</v>
      </c>
      <c r="Y892">
        <f t="shared" si="210"/>
        <v>0</v>
      </c>
      <c r="Z892">
        <f t="shared" si="201"/>
        <v>2</v>
      </c>
      <c r="AA892">
        <f t="shared" si="202"/>
        <v>0</v>
      </c>
      <c r="AB892">
        <f t="shared" si="203"/>
        <v>4.2857142857142856</v>
      </c>
      <c r="AC892">
        <f t="shared" si="204"/>
        <v>0</v>
      </c>
      <c r="AD892" s="1">
        <f t="shared" si="205"/>
        <v>0</v>
      </c>
      <c r="AE892">
        <f t="shared" si="206"/>
        <v>0</v>
      </c>
      <c r="AF892">
        <f t="shared" si="207"/>
        <v>0</v>
      </c>
      <c r="AG892">
        <f t="shared" si="208"/>
        <v>0</v>
      </c>
    </row>
    <row r="893" spans="1:33" x14ac:dyDescent="0.25">
      <c r="A893" t="s">
        <v>1546</v>
      </c>
      <c r="B893" t="s">
        <v>45</v>
      </c>
      <c r="C893">
        <v>168912</v>
      </c>
      <c r="D893">
        <v>168912</v>
      </c>
      <c r="E893">
        <v>40</v>
      </c>
      <c r="F893">
        <v>30</v>
      </c>
      <c r="G893">
        <v>20</v>
      </c>
      <c r="O893">
        <v>90</v>
      </c>
      <c r="S893">
        <f t="shared" si="197"/>
        <v>5.625</v>
      </c>
      <c r="T893">
        <f t="shared" si="198"/>
        <v>0</v>
      </c>
      <c r="U893">
        <f t="shared" si="196"/>
        <v>1</v>
      </c>
      <c r="V893">
        <f t="shared" si="199"/>
        <v>1</v>
      </c>
      <c r="W893">
        <f t="shared" si="200"/>
        <v>0</v>
      </c>
      <c r="X893">
        <f t="shared" si="209"/>
        <v>0</v>
      </c>
      <c r="Y893">
        <f t="shared" si="210"/>
        <v>0</v>
      </c>
      <c r="Z893">
        <f t="shared" si="201"/>
        <v>8</v>
      </c>
      <c r="AA893">
        <f t="shared" si="202"/>
        <v>7.5</v>
      </c>
      <c r="AB893">
        <f t="shared" si="203"/>
        <v>2.8571428571428572</v>
      </c>
      <c r="AC893">
        <f t="shared" si="204"/>
        <v>0</v>
      </c>
      <c r="AD893" s="1">
        <f t="shared" si="205"/>
        <v>0</v>
      </c>
      <c r="AE893">
        <f t="shared" si="206"/>
        <v>0</v>
      </c>
      <c r="AF893">
        <f t="shared" si="207"/>
        <v>0</v>
      </c>
      <c r="AG893">
        <f t="shared" si="208"/>
        <v>0</v>
      </c>
    </row>
    <row r="894" spans="1:33" x14ac:dyDescent="0.25">
      <c r="A894" t="s">
        <v>1547</v>
      </c>
      <c r="B894" t="s">
        <v>1548</v>
      </c>
      <c r="C894">
        <v>165449</v>
      </c>
      <c r="D894">
        <v>165449</v>
      </c>
      <c r="S894">
        <f t="shared" si="197"/>
        <v>0</v>
      </c>
      <c r="T894">
        <f t="shared" si="198"/>
        <v>0</v>
      </c>
      <c r="U894">
        <f t="shared" si="196"/>
        <v>0</v>
      </c>
      <c r="V894">
        <f t="shared" si="199"/>
        <v>0</v>
      </c>
      <c r="W894">
        <f t="shared" si="200"/>
        <v>0</v>
      </c>
      <c r="X894">
        <f t="shared" si="209"/>
        <v>0</v>
      </c>
      <c r="Y894">
        <f t="shared" si="210"/>
        <v>0</v>
      </c>
      <c r="Z894">
        <f t="shared" si="201"/>
        <v>0</v>
      </c>
      <c r="AA894">
        <f t="shared" si="202"/>
        <v>0</v>
      </c>
      <c r="AB894">
        <f t="shared" si="203"/>
        <v>0</v>
      </c>
      <c r="AC894">
        <f t="shared" si="204"/>
        <v>0</v>
      </c>
      <c r="AD894" s="1">
        <f t="shared" si="205"/>
        <v>0</v>
      </c>
      <c r="AE894">
        <f t="shared" si="206"/>
        <v>0</v>
      </c>
      <c r="AF894">
        <f t="shared" si="207"/>
        <v>0</v>
      </c>
      <c r="AG894">
        <f t="shared" si="208"/>
        <v>0</v>
      </c>
    </row>
    <row r="895" spans="1:33" x14ac:dyDescent="0.25">
      <c r="A895" t="s">
        <v>1549</v>
      </c>
      <c r="B895" t="s">
        <v>1550</v>
      </c>
      <c r="C895">
        <v>167086</v>
      </c>
      <c r="D895">
        <v>167086</v>
      </c>
      <c r="S895">
        <f t="shared" si="197"/>
        <v>0</v>
      </c>
      <c r="T895">
        <f t="shared" si="198"/>
        <v>0</v>
      </c>
      <c r="U895">
        <f t="shared" si="196"/>
        <v>0</v>
      </c>
      <c r="V895">
        <f t="shared" si="199"/>
        <v>0</v>
      </c>
      <c r="W895">
        <f t="shared" si="200"/>
        <v>0</v>
      </c>
      <c r="X895">
        <f t="shared" si="209"/>
        <v>0</v>
      </c>
      <c r="Y895">
        <f t="shared" si="210"/>
        <v>0</v>
      </c>
      <c r="Z895">
        <f t="shared" si="201"/>
        <v>0</v>
      </c>
      <c r="AA895">
        <f t="shared" si="202"/>
        <v>0</v>
      </c>
      <c r="AB895">
        <f t="shared" si="203"/>
        <v>0</v>
      </c>
      <c r="AC895">
        <f t="shared" si="204"/>
        <v>0</v>
      </c>
      <c r="AD895" s="1">
        <f t="shared" si="205"/>
        <v>0</v>
      </c>
      <c r="AE895">
        <f t="shared" si="206"/>
        <v>0</v>
      </c>
      <c r="AF895">
        <f t="shared" si="207"/>
        <v>0</v>
      </c>
      <c r="AG895">
        <f t="shared" si="208"/>
        <v>0</v>
      </c>
    </row>
    <row r="896" spans="1:33" x14ac:dyDescent="0.25">
      <c r="A896" t="s">
        <v>1551</v>
      </c>
      <c r="B896" t="s">
        <v>166</v>
      </c>
      <c r="C896">
        <v>167856</v>
      </c>
      <c r="D896">
        <v>167856</v>
      </c>
      <c r="E896">
        <v>10</v>
      </c>
      <c r="F896">
        <v>20</v>
      </c>
      <c r="G896">
        <v>40</v>
      </c>
      <c r="O896">
        <v>70</v>
      </c>
      <c r="S896">
        <f t="shared" si="197"/>
        <v>4.375</v>
      </c>
      <c r="T896">
        <f t="shared" si="198"/>
        <v>0</v>
      </c>
      <c r="U896">
        <f t="shared" si="196"/>
        <v>1</v>
      </c>
      <c r="V896">
        <f t="shared" si="199"/>
        <v>1</v>
      </c>
      <c r="W896">
        <f t="shared" si="200"/>
        <v>0</v>
      </c>
      <c r="X896">
        <f t="shared" si="209"/>
        <v>0</v>
      </c>
      <c r="Y896">
        <f t="shared" si="210"/>
        <v>0</v>
      </c>
      <c r="Z896">
        <f t="shared" si="201"/>
        <v>2</v>
      </c>
      <c r="AA896">
        <f t="shared" si="202"/>
        <v>5</v>
      </c>
      <c r="AB896">
        <f t="shared" si="203"/>
        <v>5.7142857142857144</v>
      </c>
      <c r="AC896">
        <f t="shared" si="204"/>
        <v>0</v>
      </c>
      <c r="AD896" s="1">
        <f t="shared" si="205"/>
        <v>0</v>
      </c>
      <c r="AE896">
        <f t="shared" si="206"/>
        <v>0</v>
      </c>
      <c r="AF896">
        <f t="shared" si="207"/>
        <v>0</v>
      </c>
      <c r="AG896">
        <f t="shared" si="208"/>
        <v>0</v>
      </c>
    </row>
    <row r="897" spans="1:33" x14ac:dyDescent="0.25">
      <c r="A897" t="s">
        <v>1551</v>
      </c>
      <c r="B897" t="s">
        <v>1552</v>
      </c>
      <c r="C897">
        <v>168744</v>
      </c>
      <c r="D897">
        <v>168744</v>
      </c>
      <c r="E897">
        <v>30</v>
      </c>
      <c r="F897">
        <v>30</v>
      </c>
      <c r="G897">
        <v>40</v>
      </c>
      <c r="O897">
        <v>100</v>
      </c>
      <c r="S897">
        <f t="shared" si="197"/>
        <v>6.25</v>
      </c>
      <c r="T897">
        <f t="shared" si="198"/>
        <v>0</v>
      </c>
      <c r="U897">
        <f t="shared" si="196"/>
        <v>1</v>
      </c>
      <c r="V897">
        <f t="shared" si="199"/>
        <v>1</v>
      </c>
      <c r="W897">
        <f t="shared" si="200"/>
        <v>0</v>
      </c>
      <c r="X897">
        <f t="shared" si="209"/>
        <v>1</v>
      </c>
      <c r="Y897">
        <f t="shared" si="210"/>
        <v>0</v>
      </c>
      <c r="Z897">
        <f t="shared" si="201"/>
        <v>6</v>
      </c>
      <c r="AA897">
        <f t="shared" si="202"/>
        <v>7.5</v>
      </c>
      <c r="AB897">
        <f t="shared" si="203"/>
        <v>5.7142857142857144</v>
      </c>
      <c r="AC897">
        <f t="shared" si="204"/>
        <v>0</v>
      </c>
      <c r="AD897" s="1">
        <f t="shared" si="205"/>
        <v>0</v>
      </c>
      <c r="AE897">
        <f t="shared" si="206"/>
        <v>0</v>
      </c>
      <c r="AF897">
        <f t="shared" si="207"/>
        <v>0</v>
      </c>
      <c r="AG897">
        <f t="shared" si="208"/>
        <v>0</v>
      </c>
    </row>
    <row r="898" spans="1:33" x14ac:dyDescent="0.25">
      <c r="A898" t="s">
        <v>1551</v>
      </c>
      <c r="B898" t="s">
        <v>1553</v>
      </c>
      <c r="C898">
        <v>165913</v>
      </c>
      <c r="D898">
        <v>165913</v>
      </c>
      <c r="S898">
        <f t="shared" si="197"/>
        <v>0</v>
      </c>
      <c r="T898">
        <f t="shared" si="198"/>
        <v>0</v>
      </c>
      <c r="U898">
        <f t="shared" ref="U898:U961" si="211">IF(AND(E898="",F898="",G898="",H898="",I898="",J898="",K898="",L898="",M898=""),0,1)</f>
        <v>0</v>
      </c>
      <c r="V898">
        <f t="shared" si="199"/>
        <v>0</v>
      </c>
      <c r="W898">
        <f t="shared" si="200"/>
        <v>0</v>
      </c>
      <c r="X898">
        <f t="shared" si="209"/>
        <v>0</v>
      </c>
      <c r="Y898">
        <f t="shared" si="210"/>
        <v>0</v>
      </c>
      <c r="Z898">
        <f t="shared" si="201"/>
        <v>0</v>
      </c>
      <c r="AA898">
        <f t="shared" si="202"/>
        <v>0</v>
      </c>
      <c r="AB898">
        <f t="shared" si="203"/>
        <v>0</v>
      </c>
      <c r="AC898">
        <f t="shared" si="204"/>
        <v>0</v>
      </c>
      <c r="AD898" s="1">
        <f t="shared" si="205"/>
        <v>0</v>
      </c>
      <c r="AE898">
        <f t="shared" si="206"/>
        <v>0</v>
      </c>
      <c r="AF898">
        <f t="shared" si="207"/>
        <v>0</v>
      </c>
      <c r="AG898">
        <f t="shared" si="208"/>
        <v>0</v>
      </c>
    </row>
    <row r="899" spans="1:33" x14ac:dyDescent="0.25">
      <c r="A899" t="s">
        <v>1554</v>
      </c>
      <c r="B899" t="s">
        <v>1555</v>
      </c>
      <c r="C899">
        <v>166135</v>
      </c>
      <c r="D899">
        <v>166135</v>
      </c>
      <c r="E899">
        <v>10</v>
      </c>
      <c r="F899">
        <v>10</v>
      </c>
      <c r="G899">
        <v>0</v>
      </c>
      <c r="O899">
        <v>20</v>
      </c>
      <c r="S899">
        <f t="shared" ref="S899:S962" si="212">O899/16</f>
        <v>1.25</v>
      </c>
      <c r="T899">
        <f t="shared" ref="T899:T962" si="213">M899/12</f>
        <v>0</v>
      </c>
      <c r="U899">
        <f t="shared" si="211"/>
        <v>1</v>
      </c>
      <c r="V899">
        <f t="shared" ref="V899:V962" si="214">IF(O899="",0,1)</f>
        <v>1</v>
      </c>
      <c r="W899">
        <f t="shared" ref="W899:W962" si="215">IF(M899="",0,1)</f>
        <v>0</v>
      </c>
      <c r="X899">
        <f t="shared" si="209"/>
        <v>0</v>
      </c>
      <c r="Y899">
        <f t="shared" si="210"/>
        <v>0</v>
      </c>
      <c r="Z899">
        <f t="shared" ref="Z899:Z962" si="216">E899/5</f>
        <v>2</v>
      </c>
      <c r="AA899">
        <f t="shared" ref="AA899:AA962" si="217">F899/4</f>
        <v>2.5</v>
      </c>
      <c r="AB899">
        <f t="shared" ref="AB899:AB962" si="218">G899/7</f>
        <v>0</v>
      </c>
      <c r="AC899">
        <f t="shared" ref="AC899:AC962" si="219">H899/2</f>
        <v>0</v>
      </c>
      <c r="AD899" s="1">
        <f t="shared" ref="AD899:AD962" si="220">I899/6</f>
        <v>0</v>
      </c>
      <c r="AE899">
        <f t="shared" ref="AE899:AE962" si="221">J899/2</f>
        <v>0</v>
      </c>
      <c r="AF899">
        <f t="shared" ref="AF899:AF962" si="222">K899</f>
        <v>0</v>
      </c>
      <c r="AG899">
        <f t="shared" ref="AG899:AG962" si="223">L899</f>
        <v>0</v>
      </c>
    </row>
    <row r="900" spans="1:33" x14ac:dyDescent="0.25">
      <c r="A900" t="s">
        <v>1556</v>
      </c>
      <c r="B900" t="s">
        <v>1557</v>
      </c>
      <c r="C900">
        <v>168080</v>
      </c>
      <c r="D900">
        <v>168080</v>
      </c>
      <c r="S900">
        <f t="shared" si="212"/>
        <v>0</v>
      </c>
      <c r="T900">
        <f t="shared" si="213"/>
        <v>0</v>
      </c>
      <c r="U900">
        <f t="shared" si="211"/>
        <v>0</v>
      </c>
      <c r="V900">
        <f t="shared" si="214"/>
        <v>0</v>
      </c>
      <c r="W900">
        <f t="shared" si="215"/>
        <v>0</v>
      </c>
      <c r="X900">
        <f t="shared" si="209"/>
        <v>0</v>
      </c>
      <c r="Y900">
        <f t="shared" si="210"/>
        <v>0</v>
      </c>
      <c r="Z900">
        <f t="shared" si="216"/>
        <v>0</v>
      </c>
      <c r="AA900">
        <f t="shared" si="217"/>
        <v>0</v>
      </c>
      <c r="AB900">
        <f t="shared" si="218"/>
        <v>0</v>
      </c>
      <c r="AC900">
        <f t="shared" si="219"/>
        <v>0</v>
      </c>
      <c r="AD900" s="1">
        <f t="shared" si="220"/>
        <v>0</v>
      </c>
      <c r="AE900">
        <f t="shared" si="221"/>
        <v>0</v>
      </c>
      <c r="AF900">
        <f t="shared" si="222"/>
        <v>0</v>
      </c>
      <c r="AG900">
        <f t="shared" si="223"/>
        <v>0</v>
      </c>
    </row>
    <row r="901" spans="1:33" x14ac:dyDescent="0.25">
      <c r="A901" t="s">
        <v>1558</v>
      </c>
      <c r="B901" t="s">
        <v>1559</v>
      </c>
      <c r="C901">
        <v>166078</v>
      </c>
      <c r="D901">
        <v>166078</v>
      </c>
      <c r="E901">
        <v>0</v>
      </c>
      <c r="F901">
        <v>20</v>
      </c>
      <c r="G901">
        <v>20</v>
      </c>
      <c r="O901">
        <v>40</v>
      </c>
      <c r="S901">
        <f t="shared" si="212"/>
        <v>2.5</v>
      </c>
      <c r="T901">
        <f t="shared" si="213"/>
        <v>0</v>
      </c>
      <c r="U901">
        <f t="shared" si="211"/>
        <v>1</v>
      </c>
      <c r="V901">
        <f t="shared" si="214"/>
        <v>1</v>
      </c>
      <c r="W901">
        <f t="shared" si="215"/>
        <v>0</v>
      </c>
      <c r="X901">
        <f t="shared" ref="X901:X964" si="224">IF(AND(V901=1,S901&gt;6),1,0)</f>
        <v>0</v>
      </c>
      <c r="Y901">
        <f t="shared" ref="Y901:Y964" si="225">IF(AND(W901=1,T901&gt;6),1,0)</f>
        <v>0</v>
      </c>
      <c r="Z901">
        <f t="shared" si="216"/>
        <v>0</v>
      </c>
      <c r="AA901">
        <f t="shared" si="217"/>
        <v>5</v>
      </c>
      <c r="AB901">
        <f t="shared" si="218"/>
        <v>2.8571428571428572</v>
      </c>
      <c r="AC901">
        <f t="shared" si="219"/>
        <v>0</v>
      </c>
      <c r="AD901" s="1">
        <f t="shared" si="220"/>
        <v>0</v>
      </c>
      <c r="AE901">
        <f t="shared" si="221"/>
        <v>0</v>
      </c>
      <c r="AF901">
        <f t="shared" si="222"/>
        <v>0</v>
      </c>
      <c r="AG901">
        <f t="shared" si="223"/>
        <v>0</v>
      </c>
    </row>
    <row r="902" spans="1:33" x14ac:dyDescent="0.25">
      <c r="A902" t="s">
        <v>1558</v>
      </c>
      <c r="B902" t="s">
        <v>99</v>
      </c>
      <c r="C902">
        <v>168853</v>
      </c>
      <c r="D902">
        <v>168853</v>
      </c>
      <c r="S902">
        <f t="shared" si="212"/>
        <v>0</v>
      </c>
      <c r="T902">
        <f t="shared" si="213"/>
        <v>0</v>
      </c>
      <c r="U902">
        <f t="shared" si="211"/>
        <v>0</v>
      </c>
      <c r="V902">
        <f t="shared" si="214"/>
        <v>0</v>
      </c>
      <c r="W902">
        <f t="shared" si="215"/>
        <v>0</v>
      </c>
      <c r="X902">
        <f t="shared" si="224"/>
        <v>0</v>
      </c>
      <c r="Y902">
        <f t="shared" si="225"/>
        <v>0</v>
      </c>
      <c r="Z902">
        <f t="shared" si="216"/>
        <v>0</v>
      </c>
      <c r="AA902">
        <f t="shared" si="217"/>
        <v>0</v>
      </c>
      <c r="AB902">
        <f t="shared" si="218"/>
        <v>0</v>
      </c>
      <c r="AC902">
        <f t="shared" si="219"/>
        <v>0</v>
      </c>
      <c r="AD902" s="1">
        <f t="shared" si="220"/>
        <v>0</v>
      </c>
      <c r="AE902">
        <f t="shared" si="221"/>
        <v>0</v>
      </c>
      <c r="AF902">
        <f t="shared" si="222"/>
        <v>0</v>
      </c>
      <c r="AG902">
        <f t="shared" si="223"/>
        <v>0</v>
      </c>
    </row>
    <row r="903" spans="1:33" x14ac:dyDescent="0.25">
      <c r="A903" t="s">
        <v>1558</v>
      </c>
      <c r="B903" t="s">
        <v>1560</v>
      </c>
      <c r="C903">
        <v>153582</v>
      </c>
      <c r="D903">
        <v>153582</v>
      </c>
      <c r="E903">
        <v>20</v>
      </c>
      <c r="F903">
        <v>10</v>
      </c>
      <c r="G903">
        <v>10</v>
      </c>
      <c r="O903">
        <v>40</v>
      </c>
      <c r="S903">
        <f t="shared" si="212"/>
        <v>2.5</v>
      </c>
      <c r="T903">
        <f t="shared" si="213"/>
        <v>0</v>
      </c>
      <c r="U903">
        <f t="shared" si="211"/>
        <v>1</v>
      </c>
      <c r="V903">
        <f t="shared" si="214"/>
        <v>1</v>
      </c>
      <c r="W903">
        <f t="shared" si="215"/>
        <v>0</v>
      </c>
      <c r="X903">
        <f t="shared" si="224"/>
        <v>0</v>
      </c>
      <c r="Y903">
        <f t="shared" si="225"/>
        <v>0</v>
      </c>
      <c r="Z903">
        <f t="shared" si="216"/>
        <v>4</v>
      </c>
      <c r="AA903">
        <f t="shared" si="217"/>
        <v>2.5</v>
      </c>
      <c r="AB903">
        <f t="shared" si="218"/>
        <v>1.4285714285714286</v>
      </c>
      <c r="AC903">
        <f t="shared" si="219"/>
        <v>0</v>
      </c>
      <c r="AD903" s="1">
        <f t="shared" si="220"/>
        <v>0</v>
      </c>
      <c r="AE903">
        <f t="shared" si="221"/>
        <v>0</v>
      </c>
      <c r="AF903">
        <f t="shared" si="222"/>
        <v>0</v>
      </c>
      <c r="AG903">
        <f t="shared" si="223"/>
        <v>0</v>
      </c>
    </row>
    <row r="904" spans="1:33" x14ac:dyDescent="0.25">
      <c r="A904" t="s">
        <v>1561</v>
      </c>
      <c r="B904" t="s">
        <v>43</v>
      </c>
      <c r="C904">
        <v>161845</v>
      </c>
      <c r="D904">
        <v>161845</v>
      </c>
      <c r="E904">
        <v>10</v>
      </c>
      <c r="F904">
        <v>20</v>
      </c>
      <c r="G904">
        <v>30</v>
      </c>
      <c r="O904">
        <v>60</v>
      </c>
      <c r="S904">
        <f t="shared" si="212"/>
        <v>3.75</v>
      </c>
      <c r="T904">
        <f t="shared" si="213"/>
        <v>0</v>
      </c>
      <c r="U904">
        <f t="shared" si="211"/>
        <v>1</v>
      </c>
      <c r="V904">
        <f t="shared" si="214"/>
        <v>1</v>
      </c>
      <c r="W904">
        <f t="shared" si="215"/>
        <v>0</v>
      </c>
      <c r="X904">
        <f t="shared" si="224"/>
        <v>0</v>
      </c>
      <c r="Y904">
        <f t="shared" si="225"/>
        <v>0</v>
      </c>
      <c r="Z904">
        <f t="shared" si="216"/>
        <v>2</v>
      </c>
      <c r="AA904">
        <f t="shared" si="217"/>
        <v>5</v>
      </c>
      <c r="AB904">
        <f t="shared" si="218"/>
        <v>4.2857142857142856</v>
      </c>
      <c r="AC904">
        <f t="shared" si="219"/>
        <v>0</v>
      </c>
      <c r="AD904" s="1">
        <f t="shared" si="220"/>
        <v>0</v>
      </c>
      <c r="AE904">
        <f t="shared" si="221"/>
        <v>0</v>
      </c>
      <c r="AF904">
        <f t="shared" si="222"/>
        <v>0</v>
      </c>
      <c r="AG904">
        <f t="shared" si="223"/>
        <v>0</v>
      </c>
    </row>
    <row r="905" spans="1:33" x14ac:dyDescent="0.25">
      <c r="A905" t="s">
        <v>1562</v>
      </c>
      <c r="B905" t="s">
        <v>830</v>
      </c>
      <c r="C905">
        <v>167213</v>
      </c>
      <c r="D905">
        <v>167213</v>
      </c>
      <c r="E905">
        <v>30</v>
      </c>
      <c r="F905">
        <v>30</v>
      </c>
      <c r="G905">
        <v>30</v>
      </c>
      <c r="O905">
        <v>90</v>
      </c>
      <c r="R905" t="s">
        <v>20</v>
      </c>
      <c r="S905">
        <f t="shared" si="212"/>
        <v>5.625</v>
      </c>
      <c r="T905">
        <f t="shared" si="213"/>
        <v>0</v>
      </c>
      <c r="U905">
        <f t="shared" si="211"/>
        <v>1</v>
      </c>
      <c r="V905">
        <f t="shared" si="214"/>
        <v>1</v>
      </c>
      <c r="W905">
        <f t="shared" si="215"/>
        <v>0</v>
      </c>
      <c r="X905">
        <f t="shared" si="224"/>
        <v>0</v>
      </c>
      <c r="Y905">
        <f t="shared" si="225"/>
        <v>0</v>
      </c>
      <c r="Z905">
        <f t="shared" si="216"/>
        <v>6</v>
      </c>
      <c r="AA905">
        <f t="shared" si="217"/>
        <v>7.5</v>
      </c>
      <c r="AB905">
        <f t="shared" si="218"/>
        <v>4.2857142857142856</v>
      </c>
      <c r="AC905">
        <f t="shared" si="219"/>
        <v>0</v>
      </c>
      <c r="AD905" s="1">
        <f t="shared" si="220"/>
        <v>0</v>
      </c>
      <c r="AE905">
        <f t="shared" si="221"/>
        <v>0</v>
      </c>
      <c r="AF905">
        <f t="shared" si="222"/>
        <v>0</v>
      </c>
      <c r="AG905">
        <f t="shared" si="223"/>
        <v>0</v>
      </c>
    </row>
    <row r="906" spans="1:33" x14ac:dyDescent="0.25">
      <c r="A906" t="s">
        <v>1563</v>
      </c>
      <c r="B906" t="s">
        <v>1564</v>
      </c>
      <c r="C906">
        <v>167847</v>
      </c>
      <c r="D906">
        <v>167847</v>
      </c>
      <c r="E906">
        <v>10</v>
      </c>
      <c r="F906">
        <v>0</v>
      </c>
      <c r="G906">
        <v>10</v>
      </c>
      <c r="O906">
        <v>20</v>
      </c>
      <c r="S906">
        <f t="shared" si="212"/>
        <v>1.25</v>
      </c>
      <c r="T906">
        <f t="shared" si="213"/>
        <v>0</v>
      </c>
      <c r="U906">
        <f t="shared" si="211"/>
        <v>1</v>
      </c>
      <c r="V906">
        <f t="shared" si="214"/>
        <v>1</v>
      </c>
      <c r="W906">
        <f t="shared" si="215"/>
        <v>0</v>
      </c>
      <c r="X906">
        <f t="shared" si="224"/>
        <v>0</v>
      </c>
      <c r="Y906">
        <f t="shared" si="225"/>
        <v>0</v>
      </c>
      <c r="Z906">
        <f t="shared" si="216"/>
        <v>2</v>
      </c>
      <c r="AA906">
        <f t="shared" si="217"/>
        <v>0</v>
      </c>
      <c r="AB906">
        <f t="shared" si="218"/>
        <v>1.4285714285714286</v>
      </c>
      <c r="AC906">
        <f t="shared" si="219"/>
        <v>0</v>
      </c>
      <c r="AD906" s="1">
        <f t="shared" si="220"/>
        <v>0</v>
      </c>
      <c r="AE906">
        <f t="shared" si="221"/>
        <v>0</v>
      </c>
      <c r="AF906">
        <f t="shared" si="222"/>
        <v>0</v>
      </c>
      <c r="AG906">
        <f t="shared" si="223"/>
        <v>0</v>
      </c>
    </row>
    <row r="907" spans="1:33" x14ac:dyDescent="0.25">
      <c r="A907" t="s">
        <v>1565</v>
      </c>
      <c r="B907" t="s">
        <v>1495</v>
      </c>
      <c r="C907">
        <v>162977</v>
      </c>
      <c r="D907">
        <v>162977</v>
      </c>
      <c r="E907">
        <v>50</v>
      </c>
      <c r="F907">
        <v>30</v>
      </c>
      <c r="G907">
        <v>40</v>
      </c>
      <c r="O907">
        <v>120</v>
      </c>
      <c r="S907">
        <f t="shared" si="212"/>
        <v>7.5</v>
      </c>
      <c r="T907">
        <f t="shared" si="213"/>
        <v>0</v>
      </c>
      <c r="U907">
        <f t="shared" si="211"/>
        <v>1</v>
      </c>
      <c r="V907">
        <f t="shared" si="214"/>
        <v>1</v>
      </c>
      <c r="W907">
        <f t="shared" si="215"/>
        <v>0</v>
      </c>
      <c r="X907">
        <f t="shared" si="224"/>
        <v>1</v>
      </c>
      <c r="Y907">
        <f t="shared" si="225"/>
        <v>0</v>
      </c>
      <c r="Z907">
        <f t="shared" si="216"/>
        <v>10</v>
      </c>
      <c r="AA907">
        <f t="shared" si="217"/>
        <v>7.5</v>
      </c>
      <c r="AB907">
        <f t="shared" si="218"/>
        <v>5.7142857142857144</v>
      </c>
      <c r="AC907">
        <f t="shared" si="219"/>
        <v>0</v>
      </c>
      <c r="AD907" s="1">
        <f t="shared" si="220"/>
        <v>0</v>
      </c>
      <c r="AE907">
        <f t="shared" si="221"/>
        <v>0</v>
      </c>
      <c r="AF907">
        <f t="shared" si="222"/>
        <v>0</v>
      </c>
      <c r="AG907">
        <f t="shared" si="223"/>
        <v>0</v>
      </c>
    </row>
    <row r="908" spans="1:33" x14ac:dyDescent="0.25">
      <c r="A908" t="s">
        <v>1566</v>
      </c>
      <c r="B908" t="s">
        <v>674</v>
      </c>
      <c r="C908">
        <v>166578</v>
      </c>
      <c r="D908">
        <v>166578</v>
      </c>
      <c r="H908">
        <v>10</v>
      </c>
      <c r="I908">
        <v>30</v>
      </c>
      <c r="J908">
        <v>20</v>
      </c>
      <c r="K908">
        <v>10</v>
      </c>
      <c r="L908">
        <v>0</v>
      </c>
      <c r="M908">
        <v>70</v>
      </c>
      <c r="S908">
        <f t="shared" si="212"/>
        <v>0</v>
      </c>
      <c r="T908">
        <f t="shared" si="213"/>
        <v>5.833333333333333</v>
      </c>
      <c r="U908">
        <f t="shared" si="211"/>
        <v>1</v>
      </c>
      <c r="V908">
        <f t="shared" si="214"/>
        <v>0</v>
      </c>
      <c r="W908">
        <f t="shared" si="215"/>
        <v>1</v>
      </c>
      <c r="X908">
        <f t="shared" si="224"/>
        <v>0</v>
      </c>
      <c r="Y908">
        <f t="shared" si="225"/>
        <v>0</v>
      </c>
      <c r="Z908">
        <f t="shared" si="216"/>
        <v>0</v>
      </c>
      <c r="AA908">
        <f t="shared" si="217"/>
        <v>0</v>
      </c>
      <c r="AB908">
        <f t="shared" si="218"/>
        <v>0</v>
      </c>
      <c r="AC908">
        <f t="shared" si="219"/>
        <v>5</v>
      </c>
      <c r="AD908" s="1">
        <f t="shared" si="220"/>
        <v>5</v>
      </c>
      <c r="AE908">
        <f t="shared" si="221"/>
        <v>10</v>
      </c>
      <c r="AF908">
        <f t="shared" si="222"/>
        <v>10</v>
      </c>
      <c r="AG908">
        <f t="shared" si="223"/>
        <v>0</v>
      </c>
    </row>
    <row r="909" spans="1:33" x14ac:dyDescent="0.25">
      <c r="A909" t="s">
        <v>1566</v>
      </c>
      <c r="B909" t="s">
        <v>1567</v>
      </c>
      <c r="C909">
        <v>167391</v>
      </c>
      <c r="D909">
        <v>167391</v>
      </c>
      <c r="H909">
        <v>10</v>
      </c>
      <c r="I909">
        <v>50</v>
      </c>
      <c r="J909">
        <v>20</v>
      </c>
      <c r="K909">
        <v>10</v>
      </c>
      <c r="L909">
        <v>10</v>
      </c>
      <c r="M909">
        <v>100</v>
      </c>
      <c r="S909">
        <f t="shared" si="212"/>
        <v>0</v>
      </c>
      <c r="T909">
        <f t="shared" si="213"/>
        <v>8.3333333333333339</v>
      </c>
      <c r="U909">
        <f t="shared" si="211"/>
        <v>1</v>
      </c>
      <c r="V909">
        <f t="shared" si="214"/>
        <v>0</v>
      </c>
      <c r="W909">
        <f t="shared" si="215"/>
        <v>1</v>
      </c>
      <c r="X909">
        <f t="shared" si="224"/>
        <v>0</v>
      </c>
      <c r="Y909">
        <f t="shared" si="225"/>
        <v>1</v>
      </c>
      <c r="Z909">
        <f t="shared" si="216"/>
        <v>0</v>
      </c>
      <c r="AA909">
        <f t="shared" si="217"/>
        <v>0</v>
      </c>
      <c r="AB909">
        <f t="shared" si="218"/>
        <v>0</v>
      </c>
      <c r="AC909">
        <f t="shared" si="219"/>
        <v>5</v>
      </c>
      <c r="AD909" s="1">
        <f t="shared" si="220"/>
        <v>8.3333333333333339</v>
      </c>
      <c r="AE909">
        <f t="shared" si="221"/>
        <v>10</v>
      </c>
      <c r="AF909">
        <f t="shared" si="222"/>
        <v>10</v>
      </c>
      <c r="AG909">
        <f t="shared" si="223"/>
        <v>10</v>
      </c>
    </row>
    <row r="910" spans="1:33" x14ac:dyDescent="0.25">
      <c r="A910" t="s">
        <v>1568</v>
      </c>
      <c r="B910" t="s">
        <v>367</v>
      </c>
      <c r="C910">
        <v>168863</v>
      </c>
      <c r="D910">
        <v>168863</v>
      </c>
      <c r="E910">
        <v>20</v>
      </c>
      <c r="F910">
        <v>10</v>
      </c>
      <c r="O910">
        <v>30</v>
      </c>
      <c r="S910">
        <f t="shared" si="212"/>
        <v>1.875</v>
      </c>
      <c r="T910">
        <f t="shared" si="213"/>
        <v>0</v>
      </c>
      <c r="U910">
        <f t="shared" si="211"/>
        <v>1</v>
      </c>
      <c r="V910">
        <f t="shared" si="214"/>
        <v>1</v>
      </c>
      <c r="W910">
        <f t="shared" si="215"/>
        <v>0</v>
      </c>
      <c r="X910">
        <f t="shared" si="224"/>
        <v>0</v>
      </c>
      <c r="Y910">
        <f t="shared" si="225"/>
        <v>0</v>
      </c>
      <c r="Z910">
        <f t="shared" si="216"/>
        <v>4</v>
      </c>
      <c r="AA910">
        <f t="shared" si="217"/>
        <v>2.5</v>
      </c>
      <c r="AB910">
        <f t="shared" si="218"/>
        <v>0</v>
      </c>
      <c r="AC910">
        <f t="shared" si="219"/>
        <v>0</v>
      </c>
      <c r="AD910" s="1">
        <f t="shared" si="220"/>
        <v>0</v>
      </c>
      <c r="AE910">
        <f t="shared" si="221"/>
        <v>0</v>
      </c>
      <c r="AF910">
        <f t="shared" si="222"/>
        <v>0</v>
      </c>
      <c r="AG910">
        <f t="shared" si="223"/>
        <v>0</v>
      </c>
    </row>
    <row r="911" spans="1:33" x14ac:dyDescent="0.25">
      <c r="A911" t="s">
        <v>1569</v>
      </c>
      <c r="B911" t="s">
        <v>228</v>
      </c>
      <c r="C911">
        <v>166285</v>
      </c>
      <c r="D911">
        <v>166285</v>
      </c>
      <c r="H911">
        <v>20</v>
      </c>
      <c r="I911">
        <v>30</v>
      </c>
      <c r="J911">
        <v>10</v>
      </c>
      <c r="K911">
        <v>10</v>
      </c>
      <c r="L911">
        <v>0</v>
      </c>
      <c r="M911">
        <v>70</v>
      </c>
      <c r="S911">
        <f t="shared" si="212"/>
        <v>0</v>
      </c>
      <c r="T911">
        <f t="shared" si="213"/>
        <v>5.833333333333333</v>
      </c>
      <c r="U911">
        <f t="shared" si="211"/>
        <v>1</v>
      </c>
      <c r="V911">
        <f t="shared" si="214"/>
        <v>0</v>
      </c>
      <c r="W911">
        <f t="shared" si="215"/>
        <v>1</v>
      </c>
      <c r="X911">
        <f t="shared" si="224"/>
        <v>0</v>
      </c>
      <c r="Y911">
        <f t="shared" si="225"/>
        <v>0</v>
      </c>
      <c r="Z911">
        <f t="shared" si="216"/>
        <v>0</v>
      </c>
      <c r="AA911">
        <f t="shared" si="217"/>
        <v>0</v>
      </c>
      <c r="AB911">
        <f t="shared" si="218"/>
        <v>0</v>
      </c>
      <c r="AC911">
        <f t="shared" si="219"/>
        <v>10</v>
      </c>
      <c r="AD911" s="1">
        <f t="shared" si="220"/>
        <v>5</v>
      </c>
      <c r="AE911">
        <f t="shared" si="221"/>
        <v>5</v>
      </c>
      <c r="AF911">
        <f t="shared" si="222"/>
        <v>10</v>
      </c>
      <c r="AG911">
        <f t="shared" si="223"/>
        <v>0</v>
      </c>
    </row>
    <row r="912" spans="1:33" x14ac:dyDescent="0.25">
      <c r="A912" t="s">
        <v>1570</v>
      </c>
      <c r="B912" t="s">
        <v>1308</v>
      </c>
      <c r="C912">
        <v>163835</v>
      </c>
      <c r="D912">
        <v>163835</v>
      </c>
      <c r="E912">
        <v>40</v>
      </c>
      <c r="F912">
        <v>30</v>
      </c>
      <c r="G912">
        <v>50</v>
      </c>
      <c r="O912">
        <v>120</v>
      </c>
      <c r="S912">
        <f t="shared" si="212"/>
        <v>7.5</v>
      </c>
      <c r="T912">
        <f t="shared" si="213"/>
        <v>0</v>
      </c>
      <c r="U912">
        <f t="shared" si="211"/>
        <v>1</v>
      </c>
      <c r="V912">
        <f t="shared" si="214"/>
        <v>1</v>
      </c>
      <c r="W912">
        <f t="shared" si="215"/>
        <v>0</v>
      </c>
      <c r="X912">
        <f t="shared" si="224"/>
        <v>1</v>
      </c>
      <c r="Y912">
        <f t="shared" si="225"/>
        <v>0</v>
      </c>
      <c r="Z912">
        <f t="shared" si="216"/>
        <v>8</v>
      </c>
      <c r="AA912">
        <f t="shared" si="217"/>
        <v>7.5</v>
      </c>
      <c r="AB912">
        <f t="shared" si="218"/>
        <v>7.1428571428571432</v>
      </c>
      <c r="AC912">
        <f t="shared" si="219"/>
        <v>0</v>
      </c>
      <c r="AD912" s="1">
        <f t="shared" si="220"/>
        <v>0</v>
      </c>
      <c r="AE912">
        <f t="shared" si="221"/>
        <v>0</v>
      </c>
      <c r="AF912">
        <f t="shared" si="222"/>
        <v>0</v>
      </c>
      <c r="AG912">
        <f t="shared" si="223"/>
        <v>0</v>
      </c>
    </row>
    <row r="913" spans="1:33" x14ac:dyDescent="0.25">
      <c r="A913" t="s">
        <v>1571</v>
      </c>
      <c r="B913" t="s">
        <v>1572</v>
      </c>
      <c r="C913">
        <v>168836</v>
      </c>
      <c r="D913">
        <v>168836</v>
      </c>
      <c r="S913">
        <f t="shared" si="212"/>
        <v>0</v>
      </c>
      <c r="T913">
        <f t="shared" si="213"/>
        <v>0</v>
      </c>
      <c r="U913">
        <f t="shared" si="211"/>
        <v>0</v>
      </c>
      <c r="V913">
        <f t="shared" si="214"/>
        <v>0</v>
      </c>
      <c r="W913">
        <f t="shared" si="215"/>
        <v>0</v>
      </c>
      <c r="X913">
        <f t="shared" si="224"/>
        <v>0</v>
      </c>
      <c r="Y913">
        <f t="shared" si="225"/>
        <v>0</v>
      </c>
      <c r="Z913">
        <f t="shared" si="216"/>
        <v>0</v>
      </c>
      <c r="AA913">
        <f t="shared" si="217"/>
        <v>0</v>
      </c>
      <c r="AB913">
        <f t="shared" si="218"/>
        <v>0</v>
      </c>
      <c r="AC913">
        <f t="shared" si="219"/>
        <v>0</v>
      </c>
      <c r="AD913" s="1">
        <f t="shared" si="220"/>
        <v>0</v>
      </c>
      <c r="AE913">
        <f t="shared" si="221"/>
        <v>0</v>
      </c>
      <c r="AF913">
        <f t="shared" si="222"/>
        <v>0</v>
      </c>
      <c r="AG913">
        <f t="shared" si="223"/>
        <v>0</v>
      </c>
    </row>
    <row r="914" spans="1:33" x14ac:dyDescent="0.25">
      <c r="A914" t="s">
        <v>1573</v>
      </c>
      <c r="B914" t="s">
        <v>367</v>
      </c>
      <c r="C914">
        <v>168892</v>
      </c>
      <c r="D914">
        <v>168892</v>
      </c>
      <c r="H914">
        <v>0</v>
      </c>
      <c r="I914">
        <v>40</v>
      </c>
      <c r="J914">
        <v>10</v>
      </c>
      <c r="K914">
        <v>10</v>
      </c>
      <c r="L914">
        <v>10</v>
      </c>
      <c r="M914">
        <v>70</v>
      </c>
      <c r="S914">
        <f t="shared" si="212"/>
        <v>0</v>
      </c>
      <c r="T914">
        <f t="shared" si="213"/>
        <v>5.833333333333333</v>
      </c>
      <c r="U914">
        <f t="shared" si="211"/>
        <v>1</v>
      </c>
      <c r="V914">
        <f t="shared" si="214"/>
        <v>0</v>
      </c>
      <c r="W914">
        <f t="shared" si="215"/>
        <v>1</v>
      </c>
      <c r="X914">
        <f t="shared" si="224"/>
        <v>0</v>
      </c>
      <c r="Y914">
        <f t="shared" si="225"/>
        <v>0</v>
      </c>
      <c r="Z914">
        <f t="shared" si="216"/>
        <v>0</v>
      </c>
      <c r="AA914">
        <f t="shared" si="217"/>
        <v>0</v>
      </c>
      <c r="AB914">
        <f t="shared" si="218"/>
        <v>0</v>
      </c>
      <c r="AC914">
        <f t="shared" si="219"/>
        <v>0</v>
      </c>
      <c r="AD914" s="1">
        <f t="shared" si="220"/>
        <v>6.666666666666667</v>
      </c>
      <c r="AE914">
        <f t="shared" si="221"/>
        <v>5</v>
      </c>
      <c r="AF914">
        <f t="shared" si="222"/>
        <v>10</v>
      </c>
      <c r="AG914">
        <f t="shared" si="223"/>
        <v>10</v>
      </c>
    </row>
    <row r="915" spans="1:33" x14ac:dyDescent="0.25">
      <c r="A915" t="s">
        <v>1574</v>
      </c>
      <c r="B915" t="s">
        <v>166</v>
      </c>
      <c r="C915">
        <v>166393</v>
      </c>
      <c r="D915">
        <v>166393</v>
      </c>
      <c r="E915">
        <v>40</v>
      </c>
      <c r="F915">
        <v>10</v>
      </c>
      <c r="G915">
        <v>30</v>
      </c>
      <c r="O915">
        <v>80</v>
      </c>
      <c r="S915">
        <f t="shared" si="212"/>
        <v>5</v>
      </c>
      <c r="T915">
        <f t="shared" si="213"/>
        <v>0</v>
      </c>
      <c r="U915">
        <f t="shared" si="211"/>
        <v>1</v>
      </c>
      <c r="V915">
        <f t="shared" si="214"/>
        <v>1</v>
      </c>
      <c r="W915">
        <f t="shared" si="215"/>
        <v>0</v>
      </c>
      <c r="X915">
        <f t="shared" si="224"/>
        <v>0</v>
      </c>
      <c r="Y915">
        <f t="shared" si="225"/>
        <v>0</v>
      </c>
      <c r="Z915">
        <f t="shared" si="216"/>
        <v>8</v>
      </c>
      <c r="AA915">
        <f t="shared" si="217"/>
        <v>2.5</v>
      </c>
      <c r="AB915">
        <f t="shared" si="218"/>
        <v>4.2857142857142856</v>
      </c>
      <c r="AC915">
        <f t="shared" si="219"/>
        <v>0</v>
      </c>
      <c r="AD915" s="1">
        <f t="shared" si="220"/>
        <v>0</v>
      </c>
      <c r="AE915">
        <f t="shared" si="221"/>
        <v>0</v>
      </c>
      <c r="AF915">
        <f t="shared" si="222"/>
        <v>0</v>
      </c>
      <c r="AG915">
        <f t="shared" si="223"/>
        <v>0</v>
      </c>
    </row>
    <row r="916" spans="1:33" x14ac:dyDescent="0.25">
      <c r="A916" t="s">
        <v>1574</v>
      </c>
      <c r="B916" t="s">
        <v>197</v>
      </c>
      <c r="C916">
        <v>166058</v>
      </c>
      <c r="D916">
        <v>166058</v>
      </c>
      <c r="H916">
        <v>10</v>
      </c>
      <c r="I916">
        <v>30</v>
      </c>
      <c r="J916">
        <v>0</v>
      </c>
      <c r="K916">
        <v>10</v>
      </c>
      <c r="L916">
        <v>0</v>
      </c>
      <c r="M916">
        <v>50</v>
      </c>
      <c r="S916">
        <f t="shared" si="212"/>
        <v>0</v>
      </c>
      <c r="T916">
        <f t="shared" si="213"/>
        <v>4.166666666666667</v>
      </c>
      <c r="U916">
        <f t="shared" si="211"/>
        <v>1</v>
      </c>
      <c r="V916">
        <f t="shared" si="214"/>
        <v>0</v>
      </c>
      <c r="W916">
        <f t="shared" si="215"/>
        <v>1</v>
      </c>
      <c r="X916">
        <f t="shared" si="224"/>
        <v>0</v>
      </c>
      <c r="Y916">
        <f t="shared" si="225"/>
        <v>0</v>
      </c>
      <c r="Z916">
        <f t="shared" si="216"/>
        <v>0</v>
      </c>
      <c r="AA916">
        <f t="shared" si="217"/>
        <v>0</v>
      </c>
      <c r="AB916">
        <f t="shared" si="218"/>
        <v>0</v>
      </c>
      <c r="AC916">
        <f t="shared" si="219"/>
        <v>5</v>
      </c>
      <c r="AD916" s="1">
        <f t="shared" si="220"/>
        <v>5</v>
      </c>
      <c r="AE916">
        <f t="shared" si="221"/>
        <v>0</v>
      </c>
      <c r="AF916">
        <f t="shared" si="222"/>
        <v>10</v>
      </c>
      <c r="AG916">
        <f t="shared" si="223"/>
        <v>0</v>
      </c>
    </row>
    <row r="917" spans="1:33" x14ac:dyDescent="0.25">
      <c r="A917" t="s">
        <v>1574</v>
      </c>
      <c r="B917" t="s">
        <v>1575</v>
      </c>
      <c r="C917">
        <v>168126</v>
      </c>
      <c r="D917">
        <v>168126</v>
      </c>
      <c r="E917">
        <v>20</v>
      </c>
      <c r="F917">
        <v>0</v>
      </c>
      <c r="G917">
        <v>30</v>
      </c>
      <c r="O917">
        <v>50</v>
      </c>
      <c r="S917">
        <f t="shared" si="212"/>
        <v>3.125</v>
      </c>
      <c r="T917">
        <f t="shared" si="213"/>
        <v>0</v>
      </c>
      <c r="U917">
        <f t="shared" si="211"/>
        <v>1</v>
      </c>
      <c r="V917">
        <f t="shared" si="214"/>
        <v>1</v>
      </c>
      <c r="W917">
        <f t="shared" si="215"/>
        <v>0</v>
      </c>
      <c r="X917">
        <f t="shared" si="224"/>
        <v>0</v>
      </c>
      <c r="Y917">
        <f t="shared" si="225"/>
        <v>0</v>
      </c>
      <c r="Z917">
        <f t="shared" si="216"/>
        <v>4</v>
      </c>
      <c r="AA917">
        <f t="shared" si="217"/>
        <v>0</v>
      </c>
      <c r="AB917">
        <f t="shared" si="218"/>
        <v>4.2857142857142856</v>
      </c>
      <c r="AC917">
        <f t="shared" si="219"/>
        <v>0</v>
      </c>
      <c r="AD917" s="1">
        <f t="shared" si="220"/>
        <v>0</v>
      </c>
      <c r="AE917">
        <f t="shared" si="221"/>
        <v>0</v>
      </c>
      <c r="AF917">
        <f t="shared" si="222"/>
        <v>0</v>
      </c>
      <c r="AG917">
        <f t="shared" si="223"/>
        <v>0</v>
      </c>
    </row>
    <row r="918" spans="1:33" x14ac:dyDescent="0.25">
      <c r="A918" t="s">
        <v>1576</v>
      </c>
      <c r="B918" t="s">
        <v>1577</v>
      </c>
      <c r="C918">
        <v>167162</v>
      </c>
      <c r="D918">
        <v>167162</v>
      </c>
      <c r="E918">
        <v>20</v>
      </c>
      <c r="F918">
        <v>0</v>
      </c>
      <c r="G918">
        <v>20</v>
      </c>
      <c r="O918">
        <v>40</v>
      </c>
      <c r="S918">
        <f t="shared" si="212"/>
        <v>2.5</v>
      </c>
      <c r="T918">
        <f t="shared" si="213"/>
        <v>0</v>
      </c>
      <c r="U918">
        <f t="shared" si="211"/>
        <v>1</v>
      </c>
      <c r="V918">
        <f t="shared" si="214"/>
        <v>1</v>
      </c>
      <c r="W918">
        <f t="shared" si="215"/>
        <v>0</v>
      </c>
      <c r="X918">
        <f t="shared" si="224"/>
        <v>0</v>
      </c>
      <c r="Y918">
        <f t="shared" si="225"/>
        <v>0</v>
      </c>
      <c r="Z918">
        <f t="shared" si="216"/>
        <v>4</v>
      </c>
      <c r="AA918">
        <f t="shared" si="217"/>
        <v>0</v>
      </c>
      <c r="AB918">
        <f t="shared" si="218"/>
        <v>2.8571428571428572</v>
      </c>
      <c r="AC918">
        <f t="shared" si="219"/>
        <v>0</v>
      </c>
      <c r="AD918" s="1">
        <f t="shared" si="220"/>
        <v>0</v>
      </c>
      <c r="AE918">
        <f t="shared" si="221"/>
        <v>0</v>
      </c>
      <c r="AF918">
        <f t="shared" si="222"/>
        <v>0</v>
      </c>
      <c r="AG918">
        <f t="shared" si="223"/>
        <v>0</v>
      </c>
    </row>
    <row r="919" spans="1:33" x14ac:dyDescent="0.25">
      <c r="A919" t="s">
        <v>1578</v>
      </c>
      <c r="B919" t="s">
        <v>1579</v>
      </c>
      <c r="C919">
        <v>167410</v>
      </c>
      <c r="D919">
        <v>167410</v>
      </c>
      <c r="E919">
        <v>30</v>
      </c>
      <c r="F919">
        <v>20</v>
      </c>
      <c r="G919">
        <v>40</v>
      </c>
      <c r="O919">
        <v>90</v>
      </c>
      <c r="S919">
        <f t="shared" si="212"/>
        <v>5.625</v>
      </c>
      <c r="T919">
        <f t="shared" si="213"/>
        <v>0</v>
      </c>
      <c r="U919">
        <f t="shared" si="211"/>
        <v>1</v>
      </c>
      <c r="V919">
        <f t="shared" si="214"/>
        <v>1</v>
      </c>
      <c r="W919">
        <f t="shared" si="215"/>
        <v>0</v>
      </c>
      <c r="X919">
        <f t="shared" si="224"/>
        <v>0</v>
      </c>
      <c r="Y919">
        <f t="shared" si="225"/>
        <v>0</v>
      </c>
      <c r="Z919">
        <f t="shared" si="216"/>
        <v>6</v>
      </c>
      <c r="AA919">
        <f t="shared" si="217"/>
        <v>5</v>
      </c>
      <c r="AB919">
        <f t="shared" si="218"/>
        <v>5.7142857142857144</v>
      </c>
      <c r="AC919">
        <f t="shared" si="219"/>
        <v>0</v>
      </c>
      <c r="AD919" s="1">
        <f t="shared" si="220"/>
        <v>0</v>
      </c>
      <c r="AE919">
        <f t="shared" si="221"/>
        <v>0</v>
      </c>
      <c r="AF919">
        <f t="shared" si="222"/>
        <v>0</v>
      </c>
      <c r="AG919">
        <f t="shared" si="223"/>
        <v>0</v>
      </c>
    </row>
    <row r="920" spans="1:33" x14ac:dyDescent="0.25">
      <c r="A920" t="s">
        <v>1580</v>
      </c>
      <c r="B920" t="s">
        <v>1581</v>
      </c>
      <c r="C920">
        <v>167223</v>
      </c>
      <c r="D920">
        <v>167223</v>
      </c>
      <c r="H920">
        <v>10</v>
      </c>
      <c r="I920">
        <v>60</v>
      </c>
      <c r="J920">
        <v>10</v>
      </c>
      <c r="K920">
        <v>0</v>
      </c>
      <c r="L920">
        <v>10</v>
      </c>
      <c r="M920">
        <v>90</v>
      </c>
      <c r="S920">
        <f t="shared" si="212"/>
        <v>0</v>
      </c>
      <c r="T920">
        <f t="shared" si="213"/>
        <v>7.5</v>
      </c>
      <c r="U920">
        <f t="shared" si="211"/>
        <v>1</v>
      </c>
      <c r="V920">
        <f t="shared" si="214"/>
        <v>0</v>
      </c>
      <c r="W920">
        <f t="shared" si="215"/>
        <v>1</v>
      </c>
      <c r="X920">
        <f t="shared" si="224"/>
        <v>0</v>
      </c>
      <c r="Y920">
        <f t="shared" si="225"/>
        <v>1</v>
      </c>
      <c r="Z920">
        <f t="shared" si="216"/>
        <v>0</v>
      </c>
      <c r="AA920">
        <f t="shared" si="217"/>
        <v>0</v>
      </c>
      <c r="AB920">
        <f t="shared" si="218"/>
        <v>0</v>
      </c>
      <c r="AC920">
        <f t="shared" si="219"/>
        <v>5</v>
      </c>
      <c r="AD920" s="1">
        <f t="shared" si="220"/>
        <v>10</v>
      </c>
      <c r="AE920">
        <f t="shared" si="221"/>
        <v>5</v>
      </c>
      <c r="AF920">
        <f t="shared" si="222"/>
        <v>0</v>
      </c>
      <c r="AG920">
        <f t="shared" si="223"/>
        <v>10</v>
      </c>
    </row>
    <row r="921" spans="1:33" x14ac:dyDescent="0.25">
      <c r="A921" t="s">
        <v>1582</v>
      </c>
      <c r="B921" t="s">
        <v>1583</v>
      </c>
      <c r="C921">
        <v>167805</v>
      </c>
      <c r="D921">
        <v>167805</v>
      </c>
      <c r="H921">
        <v>10</v>
      </c>
      <c r="I921">
        <v>30</v>
      </c>
      <c r="J921">
        <v>10</v>
      </c>
      <c r="K921">
        <v>0</v>
      </c>
      <c r="L921">
        <v>0</v>
      </c>
      <c r="M921">
        <v>50</v>
      </c>
      <c r="S921">
        <f t="shared" si="212"/>
        <v>0</v>
      </c>
      <c r="T921">
        <f t="shared" si="213"/>
        <v>4.166666666666667</v>
      </c>
      <c r="U921">
        <f t="shared" si="211"/>
        <v>1</v>
      </c>
      <c r="V921">
        <f t="shared" si="214"/>
        <v>0</v>
      </c>
      <c r="W921">
        <f t="shared" si="215"/>
        <v>1</v>
      </c>
      <c r="X921">
        <f t="shared" si="224"/>
        <v>0</v>
      </c>
      <c r="Y921">
        <f t="shared" si="225"/>
        <v>0</v>
      </c>
      <c r="Z921">
        <f t="shared" si="216"/>
        <v>0</v>
      </c>
      <c r="AA921">
        <f t="shared" si="217"/>
        <v>0</v>
      </c>
      <c r="AB921">
        <f t="shared" si="218"/>
        <v>0</v>
      </c>
      <c r="AC921">
        <f t="shared" si="219"/>
        <v>5</v>
      </c>
      <c r="AD921" s="1">
        <f t="shared" si="220"/>
        <v>5</v>
      </c>
      <c r="AE921">
        <f t="shared" si="221"/>
        <v>5</v>
      </c>
      <c r="AF921">
        <f t="shared" si="222"/>
        <v>0</v>
      </c>
      <c r="AG921">
        <f t="shared" si="223"/>
        <v>0</v>
      </c>
    </row>
    <row r="922" spans="1:33" x14ac:dyDescent="0.25">
      <c r="A922" t="s">
        <v>1584</v>
      </c>
      <c r="B922" t="s">
        <v>510</v>
      </c>
      <c r="C922">
        <v>167141</v>
      </c>
      <c r="D922">
        <v>167141</v>
      </c>
      <c r="E922">
        <v>40</v>
      </c>
      <c r="F922">
        <v>30</v>
      </c>
      <c r="G922">
        <v>20</v>
      </c>
      <c r="O922">
        <v>90</v>
      </c>
      <c r="S922">
        <f t="shared" si="212"/>
        <v>5.625</v>
      </c>
      <c r="T922">
        <f t="shared" si="213"/>
        <v>0</v>
      </c>
      <c r="U922">
        <f t="shared" si="211"/>
        <v>1</v>
      </c>
      <c r="V922">
        <f t="shared" si="214"/>
        <v>1</v>
      </c>
      <c r="W922">
        <f t="shared" si="215"/>
        <v>0</v>
      </c>
      <c r="X922">
        <f t="shared" si="224"/>
        <v>0</v>
      </c>
      <c r="Y922">
        <f t="shared" si="225"/>
        <v>0</v>
      </c>
      <c r="Z922">
        <f t="shared" si="216"/>
        <v>8</v>
      </c>
      <c r="AA922">
        <f t="shared" si="217"/>
        <v>7.5</v>
      </c>
      <c r="AB922">
        <f t="shared" si="218"/>
        <v>2.8571428571428572</v>
      </c>
      <c r="AC922">
        <f t="shared" si="219"/>
        <v>0</v>
      </c>
      <c r="AD922" s="1">
        <f t="shared" si="220"/>
        <v>0</v>
      </c>
      <c r="AE922">
        <f t="shared" si="221"/>
        <v>0</v>
      </c>
      <c r="AF922">
        <f t="shared" si="222"/>
        <v>0</v>
      </c>
      <c r="AG922">
        <f t="shared" si="223"/>
        <v>0</v>
      </c>
    </row>
    <row r="923" spans="1:33" x14ac:dyDescent="0.25">
      <c r="A923" t="s">
        <v>1585</v>
      </c>
      <c r="B923" t="s">
        <v>1586</v>
      </c>
      <c r="C923">
        <v>168283</v>
      </c>
      <c r="D923">
        <v>168283</v>
      </c>
      <c r="H923">
        <v>0</v>
      </c>
      <c r="I923">
        <v>30</v>
      </c>
      <c r="J923">
        <v>10</v>
      </c>
      <c r="K923">
        <v>10</v>
      </c>
      <c r="L923">
        <v>0</v>
      </c>
      <c r="M923">
        <v>50</v>
      </c>
      <c r="S923">
        <f t="shared" si="212"/>
        <v>0</v>
      </c>
      <c r="T923">
        <f t="shared" si="213"/>
        <v>4.166666666666667</v>
      </c>
      <c r="U923">
        <f t="shared" si="211"/>
        <v>1</v>
      </c>
      <c r="V923">
        <f t="shared" si="214"/>
        <v>0</v>
      </c>
      <c r="W923">
        <f t="shared" si="215"/>
        <v>1</v>
      </c>
      <c r="X923">
        <f t="shared" si="224"/>
        <v>0</v>
      </c>
      <c r="Y923">
        <f t="shared" si="225"/>
        <v>0</v>
      </c>
      <c r="Z923">
        <f t="shared" si="216"/>
        <v>0</v>
      </c>
      <c r="AA923">
        <f t="shared" si="217"/>
        <v>0</v>
      </c>
      <c r="AB923">
        <f t="shared" si="218"/>
        <v>0</v>
      </c>
      <c r="AC923">
        <f t="shared" si="219"/>
        <v>0</v>
      </c>
      <c r="AD923" s="1">
        <f t="shared" si="220"/>
        <v>5</v>
      </c>
      <c r="AE923">
        <f t="shared" si="221"/>
        <v>5</v>
      </c>
      <c r="AF923">
        <f t="shared" si="222"/>
        <v>10</v>
      </c>
      <c r="AG923">
        <f t="shared" si="223"/>
        <v>0</v>
      </c>
    </row>
    <row r="924" spans="1:33" x14ac:dyDescent="0.25">
      <c r="A924" t="s">
        <v>1587</v>
      </c>
      <c r="B924" t="s">
        <v>1588</v>
      </c>
      <c r="C924">
        <v>166958</v>
      </c>
      <c r="D924">
        <v>166958</v>
      </c>
      <c r="E924">
        <v>40</v>
      </c>
      <c r="F924">
        <v>20</v>
      </c>
      <c r="G924">
        <v>50</v>
      </c>
      <c r="N924" t="s">
        <v>20</v>
      </c>
      <c r="O924">
        <v>110</v>
      </c>
      <c r="S924">
        <f t="shared" si="212"/>
        <v>6.875</v>
      </c>
      <c r="T924">
        <f t="shared" si="213"/>
        <v>0</v>
      </c>
      <c r="U924">
        <f t="shared" si="211"/>
        <v>1</v>
      </c>
      <c r="V924">
        <f t="shared" si="214"/>
        <v>1</v>
      </c>
      <c r="W924">
        <f t="shared" si="215"/>
        <v>0</v>
      </c>
      <c r="X924">
        <f t="shared" si="224"/>
        <v>1</v>
      </c>
      <c r="Y924">
        <f t="shared" si="225"/>
        <v>0</v>
      </c>
      <c r="Z924">
        <f t="shared" si="216"/>
        <v>8</v>
      </c>
      <c r="AA924">
        <f t="shared" si="217"/>
        <v>5</v>
      </c>
      <c r="AB924">
        <f t="shared" si="218"/>
        <v>7.1428571428571432</v>
      </c>
      <c r="AC924">
        <f t="shared" si="219"/>
        <v>0</v>
      </c>
      <c r="AD924" s="1">
        <f t="shared" si="220"/>
        <v>0</v>
      </c>
      <c r="AE924">
        <f t="shared" si="221"/>
        <v>0</v>
      </c>
      <c r="AF924">
        <f t="shared" si="222"/>
        <v>0</v>
      </c>
      <c r="AG924">
        <f t="shared" si="223"/>
        <v>0</v>
      </c>
    </row>
    <row r="925" spans="1:33" x14ac:dyDescent="0.25">
      <c r="A925" t="s">
        <v>1589</v>
      </c>
      <c r="B925" t="s">
        <v>1590</v>
      </c>
      <c r="C925">
        <v>167132</v>
      </c>
      <c r="D925">
        <v>167132</v>
      </c>
      <c r="H925">
        <v>10</v>
      </c>
      <c r="I925">
        <v>30</v>
      </c>
      <c r="J925">
        <v>10</v>
      </c>
      <c r="K925">
        <v>10</v>
      </c>
      <c r="L925">
        <v>0</v>
      </c>
      <c r="M925">
        <v>60</v>
      </c>
      <c r="S925">
        <f t="shared" si="212"/>
        <v>0</v>
      </c>
      <c r="T925">
        <f t="shared" si="213"/>
        <v>5</v>
      </c>
      <c r="U925">
        <f t="shared" si="211"/>
        <v>1</v>
      </c>
      <c r="V925">
        <f t="shared" si="214"/>
        <v>0</v>
      </c>
      <c r="W925">
        <f t="shared" si="215"/>
        <v>1</v>
      </c>
      <c r="X925">
        <f t="shared" si="224"/>
        <v>0</v>
      </c>
      <c r="Y925">
        <f t="shared" si="225"/>
        <v>0</v>
      </c>
      <c r="Z925">
        <f t="shared" si="216"/>
        <v>0</v>
      </c>
      <c r="AA925">
        <f t="shared" si="217"/>
        <v>0</v>
      </c>
      <c r="AB925">
        <f t="shared" si="218"/>
        <v>0</v>
      </c>
      <c r="AC925">
        <f t="shared" si="219"/>
        <v>5</v>
      </c>
      <c r="AD925" s="1">
        <f t="shared" si="220"/>
        <v>5</v>
      </c>
      <c r="AE925">
        <f t="shared" si="221"/>
        <v>5</v>
      </c>
      <c r="AF925">
        <f t="shared" si="222"/>
        <v>10</v>
      </c>
      <c r="AG925">
        <f t="shared" si="223"/>
        <v>0</v>
      </c>
    </row>
    <row r="926" spans="1:33" x14ac:dyDescent="0.25">
      <c r="A926" t="s">
        <v>1591</v>
      </c>
      <c r="B926" t="s">
        <v>1592</v>
      </c>
      <c r="C926">
        <v>166923</v>
      </c>
      <c r="D926">
        <v>166923</v>
      </c>
      <c r="E926">
        <v>10</v>
      </c>
      <c r="F926">
        <v>20</v>
      </c>
      <c r="G926">
        <v>20</v>
      </c>
      <c r="O926">
        <v>50</v>
      </c>
      <c r="S926">
        <f t="shared" si="212"/>
        <v>3.125</v>
      </c>
      <c r="T926">
        <f t="shared" si="213"/>
        <v>0</v>
      </c>
      <c r="U926">
        <f t="shared" si="211"/>
        <v>1</v>
      </c>
      <c r="V926">
        <f t="shared" si="214"/>
        <v>1</v>
      </c>
      <c r="W926">
        <f t="shared" si="215"/>
        <v>0</v>
      </c>
      <c r="X926">
        <f t="shared" si="224"/>
        <v>0</v>
      </c>
      <c r="Y926">
        <f t="shared" si="225"/>
        <v>0</v>
      </c>
      <c r="Z926">
        <f t="shared" si="216"/>
        <v>2</v>
      </c>
      <c r="AA926">
        <f t="shared" si="217"/>
        <v>5</v>
      </c>
      <c r="AB926">
        <f t="shared" si="218"/>
        <v>2.8571428571428572</v>
      </c>
      <c r="AC926">
        <f t="shared" si="219"/>
        <v>0</v>
      </c>
      <c r="AD926" s="1">
        <f t="shared" si="220"/>
        <v>0</v>
      </c>
      <c r="AE926">
        <f t="shared" si="221"/>
        <v>0</v>
      </c>
      <c r="AF926">
        <f t="shared" si="222"/>
        <v>0</v>
      </c>
      <c r="AG926">
        <f t="shared" si="223"/>
        <v>0</v>
      </c>
    </row>
    <row r="927" spans="1:33" x14ac:dyDescent="0.25">
      <c r="A927" t="s">
        <v>1593</v>
      </c>
      <c r="B927" t="s">
        <v>1594</v>
      </c>
      <c r="C927">
        <v>167161</v>
      </c>
      <c r="D927">
        <v>167161</v>
      </c>
      <c r="E927">
        <v>20</v>
      </c>
      <c r="F927">
        <v>40</v>
      </c>
      <c r="G927">
        <v>50</v>
      </c>
      <c r="O927">
        <v>110</v>
      </c>
      <c r="S927">
        <f t="shared" si="212"/>
        <v>6.875</v>
      </c>
      <c r="T927">
        <f t="shared" si="213"/>
        <v>0</v>
      </c>
      <c r="U927">
        <f t="shared" si="211"/>
        <v>1</v>
      </c>
      <c r="V927">
        <f t="shared" si="214"/>
        <v>1</v>
      </c>
      <c r="W927">
        <f t="shared" si="215"/>
        <v>0</v>
      </c>
      <c r="X927">
        <f t="shared" si="224"/>
        <v>1</v>
      </c>
      <c r="Y927">
        <f t="shared" si="225"/>
        <v>0</v>
      </c>
      <c r="Z927">
        <f t="shared" si="216"/>
        <v>4</v>
      </c>
      <c r="AA927">
        <f t="shared" si="217"/>
        <v>10</v>
      </c>
      <c r="AB927">
        <f t="shared" si="218"/>
        <v>7.1428571428571432</v>
      </c>
      <c r="AC927">
        <f t="shared" si="219"/>
        <v>0</v>
      </c>
      <c r="AD927" s="1">
        <f t="shared" si="220"/>
        <v>0</v>
      </c>
      <c r="AE927">
        <f t="shared" si="221"/>
        <v>0</v>
      </c>
      <c r="AF927">
        <f t="shared" si="222"/>
        <v>0</v>
      </c>
      <c r="AG927">
        <f t="shared" si="223"/>
        <v>0</v>
      </c>
    </row>
    <row r="928" spans="1:33" x14ac:dyDescent="0.25">
      <c r="A928" t="s">
        <v>1595</v>
      </c>
      <c r="B928" t="s">
        <v>1171</v>
      </c>
      <c r="C928">
        <v>168852</v>
      </c>
      <c r="D928">
        <v>168852</v>
      </c>
      <c r="H928">
        <v>20</v>
      </c>
      <c r="I928">
        <v>10</v>
      </c>
      <c r="J928">
        <v>20</v>
      </c>
      <c r="K928">
        <v>10</v>
      </c>
      <c r="L928">
        <v>0</v>
      </c>
      <c r="M928">
        <v>60</v>
      </c>
      <c r="S928">
        <f t="shared" si="212"/>
        <v>0</v>
      </c>
      <c r="T928">
        <f t="shared" si="213"/>
        <v>5</v>
      </c>
      <c r="U928">
        <f t="shared" si="211"/>
        <v>1</v>
      </c>
      <c r="V928">
        <f t="shared" si="214"/>
        <v>0</v>
      </c>
      <c r="W928">
        <f t="shared" si="215"/>
        <v>1</v>
      </c>
      <c r="X928">
        <f t="shared" si="224"/>
        <v>0</v>
      </c>
      <c r="Y928">
        <f t="shared" si="225"/>
        <v>0</v>
      </c>
      <c r="Z928">
        <f t="shared" si="216"/>
        <v>0</v>
      </c>
      <c r="AA928">
        <f t="shared" si="217"/>
        <v>0</v>
      </c>
      <c r="AB928">
        <f t="shared" si="218"/>
        <v>0</v>
      </c>
      <c r="AC928">
        <f t="shared" si="219"/>
        <v>10</v>
      </c>
      <c r="AD928" s="1">
        <f t="shared" si="220"/>
        <v>1.6666666666666667</v>
      </c>
      <c r="AE928">
        <f t="shared" si="221"/>
        <v>10</v>
      </c>
      <c r="AF928">
        <f t="shared" si="222"/>
        <v>10</v>
      </c>
      <c r="AG928">
        <f t="shared" si="223"/>
        <v>0</v>
      </c>
    </row>
    <row r="929" spans="1:33" x14ac:dyDescent="0.25">
      <c r="A929" t="s">
        <v>1596</v>
      </c>
      <c r="B929" t="s">
        <v>460</v>
      </c>
      <c r="C929">
        <v>164516</v>
      </c>
      <c r="D929">
        <v>164516</v>
      </c>
      <c r="S929">
        <f t="shared" si="212"/>
        <v>0</v>
      </c>
      <c r="T929">
        <f t="shared" si="213"/>
        <v>0</v>
      </c>
      <c r="U929">
        <f t="shared" si="211"/>
        <v>0</v>
      </c>
      <c r="V929">
        <f t="shared" si="214"/>
        <v>0</v>
      </c>
      <c r="W929">
        <f t="shared" si="215"/>
        <v>0</v>
      </c>
      <c r="X929">
        <f t="shared" si="224"/>
        <v>0</v>
      </c>
      <c r="Y929">
        <f t="shared" si="225"/>
        <v>0</v>
      </c>
      <c r="Z929">
        <f t="shared" si="216"/>
        <v>0</v>
      </c>
      <c r="AA929">
        <f t="shared" si="217"/>
        <v>0</v>
      </c>
      <c r="AB929">
        <f t="shared" si="218"/>
        <v>0</v>
      </c>
      <c r="AC929">
        <f t="shared" si="219"/>
        <v>0</v>
      </c>
      <c r="AD929" s="1">
        <f t="shared" si="220"/>
        <v>0</v>
      </c>
      <c r="AE929">
        <f t="shared" si="221"/>
        <v>0</v>
      </c>
      <c r="AF929">
        <f t="shared" si="222"/>
        <v>0</v>
      </c>
      <c r="AG929">
        <f t="shared" si="223"/>
        <v>0</v>
      </c>
    </row>
    <row r="930" spans="1:33" x14ac:dyDescent="0.25">
      <c r="A930" t="s">
        <v>1597</v>
      </c>
      <c r="B930" t="s">
        <v>43</v>
      </c>
      <c r="C930">
        <v>168178</v>
      </c>
      <c r="D930">
        <v>168178</v>
      </c>
      <c r="E930">
        <v>10</v>
      </c>
      <c r="F930">
        <v>30</v>
      </c>
      <c r="G930">
        <v>50</v>
      </c>
      <c r="O930">
        <v>90</v>
      </c>
      <c r="S930">
        <f t="shared" si="212"/>
        <v>5.625</v>
      </c>
      <c r="T930">
        <f t="shared" si="213"/>
        <v>0</v>
      </c>
      <c r="U930">
        <f t="shared" si="211"/>
        <v>1</v>
      </c>
      <c r="V930">
        <f t="shared" si="214"/>
        <v>1</v>
      </c>
      <c r="W930">
        <f t="shared" si="215"/>
        <v>0</v>
      </c>
      <c r="X930">
        <f t="shared" si="224"/>
        <v>0</v>
      </c>
      <c r="Y930">
        <f t="shared" si="225"/>
        <v>0</v>
      </c>
      <c r="Z930">
        <f t="shared" si="216"/>
        <v>2</v>
      </c>
      <c r="AA930">
        <f t="shared" si="217"/>
        <v>7.5</v>
      </c>
      <c r="AB930">
        <f t="shared" si="218"/>
        <v>7.1428571428571432</v>
      </c>
      <c r="AC930">
        <f t="shared" si="219"/>
        <v>0</v>
      </c>
      <c r="AD930" s="1">
        <f t="shared" si="220"/>
        <v>0</v>
      </c>
      <c r="AE930">
        <f t="shared" si="221"/>
        <v>0</v>
      </c>
      <c r="AF930">
        <f t="shared" si="222"/>
        <v>0</v>
      </c>
      <c r="AG930">
        <f t="shared" si="223"/>
        <v>0</v>
      </c>
    </row>
    <row r="931" spans="1:33" x14ac:dyDescent="0.25">
      <c r="A931" t="s">
        <v>1598</v>
      </c>
      <c r="B931" t="s">
        <v>67</v>
      </c>
      <c r="C931">
        <v>167113</v>
      </c>
      <c r="D931">
        <v>167113</v>
      </c>
      <c r="E931">
        <v>30</v>
      </c>
      <c r="F931">
        <v>40</v>
      </c>
      <c r="G931">
        <v>50</v>
      </c>
      <c r="N931" t="s">
        <v>549</v>
      </c>
      <c r="O931">
        <v>120</v>
      </c>
      <c r="S931">
        <f t="shared" si="212"/>
        <v>7.5</v>
      </c>
      <c r="T931">
        <f t="shared" si="213"/>
        <v>0</v>
      </c>
      <c r="U931">
        <f t="shared" si="211"/>
        <v>1</v>
      </c>
      <c r="V931">
        <f t="shared" si="214"/>
        <v>1</v>
      </c>
      <c r="W931">
        <f t="shared" si="215"/>
        <v>0</v>
      </c>
      <c r="X931">
        <f t="shared" si="224"/>
        <v>1</v>
      </c>
      <c r="Y931">
        <f t="shared" si="225"/>
        <v>0</v>
      </c>
      <c r="Z931">
        <f t="shared" si="216"/>
        <v>6</v>
      </c>
      <c r="AA931">
        <f t="shared" si="217"/>
        <v>10</v>
      </c>
      <c r="AB931">
        <f t="shared" si="218"/>
        <v>7.1428571428571432</v>
      </c>
      <c r="AC931">
        <f t="shared" si="219"/>
        <v>0</v>
      </c>
      <c r="AD931" s="1">
        <f t="shared" si="220"/>
        <v>0</v>
      </c>
      <c r="AE931">
        <f t="shared" si="221"/>
        <v>0</v>
      </c>
      <c r="AF931">
        <f t="shared" si="222"/>
        <v>0</v>
      </c>
      <c r="AG931">
        <f t="shared" si="223"/>
        <v>0</v>
      </c>
    </row>
    <row r="932" spans="1:33" x14ac:dyDescent="0.25">
      <c r="A932" t="s">
        <v>1599</v>
      </c>
      <c r="B932" t="s">
        <v>546</v>
      </c>
      <c r="C932">
        <v>167714</v>
      </c>
      <c r="D932">
        <v>167714</v>
      </c>
      <c r="E932">
        <v>20</v>
      </c>
      <c r="F932">
        <v>10</v>
      </c>
      <c r="G932">
        <v>20</v>
      </c>
      <c r="O932">
        <v>50</v>
      </c>
      <c r="S932">
        <f t="shared" si="212"/>
        <v>3.125</v>
      </c>
      <c r="T932">
        <f t="shared" si="213"/>
        <v>0</v>
      </c>
      <c r="U932">
        <f t="shared" si="211"/>
        <v>1</v>
      </c>
      <c r="V932">
        <f t="shared" si="214"/>
        <v>1</v>
      </c>
      <c r="W932">
        <f t="shared" si="215"/>
        <v>0</v>
      </c>
      <c r="X932">
        <f t="shared" si="224"/>
        <v>0</v>
      </c>
      <c r="Y932">
        <f t="shared" si="225"/>
        <v>0</v>
      </c>
      <c r="Z932">
        <f t="shared" si="216"/>
        <v>4</v>
      </c>
      <c r="AA932">
        <f t="shared" si="217"/>
        <v>2.5</v>
      </c>
      <c r="AB932">
        <f t="shared" si="218"/>
        <v>2.8571428571428572</v>
      </c>
      <c r="AC932">
        <f t="shared" si="219"/>
        <v>0</v>
      </c>
      <c r="AD932" s="1">
        <f t="shared" si="220"/>
        <v>0</v>
      </c>
      <c r="AE932">
        <f t="shared" si="221"/>
        <v>0</v>
      </c>
      <c r="AF932">
        <f t="shared" si="222"/>
        <v>0</v>
      </c>
      <c r="AG932">
        <f t="shared" si="223"/>
        <v>0</v>
      </c>
    </row>
    <row r="933" spans="1:33" x14ac:dyDescent="0.25">
      <c r="A933" t="s">
        <v>1600</v>
      </c>
      <c r="B933" t="s">
        <v>1601</v>
      </c>
      <c r="C933">
        <v>168802</v>
      </c>
      <c r="D933">
        <v>168802</v>
      </c>
      <c r="H933">
        <v>0</v>
      </c>
      <c r="I933">
        <v>30</v>
      </c>
      <c r="J933">
        <v>0</v>
      </c>
      <c r="K933">
        <v>10</v>
      </c>
      <c r="L933">
        <v>0</v>
      </c>
      <c r="M933">
        <v>40</v>
      </c>
      <c r="S933">
        <f t="shared" si="212"/>
        <v>0</v>
      </c>
      <c r="T933">
        <f t="shared" si="213"/>
        <v>3.3333333333333335</v>
      </c>
      <c r="U933">
        <f t="shared" si="211"/>
        <v>1</v>
      </c>
      <c r="V933">
        <f t="shared" si="214"/>
        <v>0</v>
      </c>
      <c r="W933">
        <f t="shared" si="215"/>
        <v>1</v>
      </c>
      <c r="X933">
        <f t="shared" si="224"/>
        <v>0</v>
      </c>
      <c r="Y933">
        <f t="shared" si="225"/>
        <v>0</v>
      </c>
      <c r="Z933">
        <f t="shared" si="216"/>
        <v>0</v>
      </c>
      <c r="AA933">
        <f t="shared" si="217"/>
        <v>0</v>
      </c>
      <c r="AB933">
        <f t="shared" si="218"/>
        <v>0</v>
      </c>
      <c r="AC933">
        <f t="shared" si="219"/>
        <v>0</v>
      </c>
      <c r="AD933" s="1">
        <f t="shared" si="220"/>
        <v>5</v>
      </c>
      <c r="AE933">
        <f t="shared" si="221"/>
        <v>0</v>
      </c>
      <c r="AF933">
        <f t="shared" si="222"/>
        <v>10</v>
      </c>
      <c r="AG933">
        <f t="shared" si="223"/>
        <v>0</v>
      </c>
    </row>
    <row r="934" spans="1:33" x14ac:dyDescent="0.25">
      <c r="A934" t="s">
        <v>1602</v>
      </c>
      <c r="B934" t="s">
        <v>1225</v>
      </c>
      <c r="C934">
        <v>162825</v>
      </c>
      <c r="D934">
        <v>162825</v>
      </c>
      <c r="E934">
        <v>20</v>
      </c>
      <c r="F934">
        <v>30</v>
      </c>
      <c r="G934">
        <v>60</v>
      </c>
      <c r="O934">
        <v>110</v>
      </c>
      <c r="S934">
        <f t="shared" si="212"/>
        <v>6.875</v>
      </c>
      <c r="T934">
        <f t="shared" si="213"/>
        <v>0</v>
      </c>
      <c r="U934">
        <f t="shared" si="211"/>
        <v>1</v>
      </c>
      <c r="V934">
        <f t="shared" si="214"/>
        <v>1</v>
      </c>
      <c r="W934">
        <f t="shared" si="215"/>
        <v>0</v>
      </c>
      <c r="X934">
        <f t="shared" si="224"/>
        <v>1</v>
      </c>
      <c r="Y934">
        <f t="shared" si="225"/>
        <v>0</v>
      </c>
      <c r="Z934">
        <f t="shared" si="216"/>
        <v>4</v>
      </c>
      <c r="AA934">
        <f t="shared" si="217"/>
        <v>7.5</v>
      </c>
      <c r="AB934">
        <f t="shared" si="218"/>
        <v>8.5714285714285712</v>
      </c>
      <c r="AC934">
        <f t="shared" si="219"/>
        <v>0</v>
      </c>
      <c r="AD934" s="1">
        <f t="shared" si="220"/>
        <v>0</v>
      </c>
      <c r="AE934">
        <f t="shared" si="221"/>
        <v>0</v>
      </c>
      <c r="AF934">
        <f t="shared" si="222"/>
        <v>0</v>
      </c>
      <c r="AG934">
        <f t="shared" si="223"/>
        <v>0</v>
      </c>
    </row>
    <row r="935" spans="1:33" x14ac:dyDescent="0.25">
      <c r="A935" t="s">
        <v>1603</v>
      </c>
      <c r="B935" t="s">
        <v>1604</v>
      </c>
      <c r="C935">
        <v>166950</v>
      </c>
      <c r="D935">
        <v>166950</v>
      </c>
      <c r="H935">
        <v>0</v>
      </c>
      <c r="I935">
        <v>30</v>
      </c>
      <c r="J935">
        <v>0</v>
      </c>
      <c r="K935">
        <v>10</v>
      </c>
      <c r="L935">
        <v>10</v>
      </c>
      <c r="M935">
        <v>50</v>
      </c>
      <c r="S935">
        <f t="shared" si="212"/>
        <v>0</v>
      </c>
      <c r="T935">
        <f t="shared" si="213"/>
        <v>4.166666666666667</v>
      </c>
      <c r="U935">
        <f t="shared" si="211"/>
        <v>1</v>
      </c>
      <c r="V935">
        <f t="shared" si="214"/>
        <v>0</v>
      </c>
      <c r="W935">
        <f t="shared" si="215"/>
        <v>1</v>
      </c>
      <c r="X935">
        <f t="shared" si="224"/>
        <v>0</v>
      </c>
      <c r="Y935">
        <f t="shared" si="225"/>
        <v>0</v>
      </c>
      <c r="Z935">
        <f t="shared" si="216"/>
        <v>0</v>
      </c>
      <c r="AA935">
        <f t="shared" si="217"/>
        <v>0</v>
      </c>
      <c r="AB935">
        <f t="shared" si="218"/>
        <v>0</v>
      </c>
      <c r="AC935">
        <f t="shared" si="219"/>
        <v>0</v>
      </c>
      <c r="AD935" s="1">
        <f t="shared" si="220"/>
        <v>5</v>
      </c>
      <c r="AE935">
        <f t="shared" si="221"/>
        <v>0</v>
      </c>
      <c r="AF935">
        <f t="shared" si="222"/>
        <v>10</v>
      </c>
      <c r="AG935">
        <f t="shared" si="223"/>
        <v>10</v>
      </c>
    </row>
    <row r="936" spans="1:33" x14ac:dyDescent="0.25">
      <c r="A936" t="s">
        <v>1605</v>
      </c>
      <c r="B936" t="s">
        <v>209</v>
      </c>
      <c r="C936">
        <v>168557</v>
      </c>
      <c r="D936">
        <v>168557</v>
      </c>
      <c r="H936">
        <v>10</v>
      </c>
      <c r="I936">
        <v>40</v>
      </c>
      <c r="J936">
        <v>20</v>
      </c>
      <c r="K936">
        <v>10</v>
      </c>
      <c r="L936">
        <v>10</v>
      </c>
      <c r="M936">
        <v>90</v>
      </c>
      <c r="S936">
        <f t="shared" si="212"/>
        <v>0</v>
      </c>
      <c r="T936">
        <f t="shared" si="213"/>
        <v>7.5</v>
      </c>
      <c r="U936">
        <f t="shared" si="211"/>
        <v>1</v>
      </c>
      <c r="V936">
        <f t="shared" si="214"/>
        <v>0</v>
      </c>
      <c r="W936">
        <f t="shared" si="215"/>
        <v>1</v>
      </c>
      <c r="X936">
        <f t="shared" si="224"/>
        <v>0</v>
      </c>
      <c r="Y936">
        <f t="shared" si="225"/>
        <v>1</v>
      </c>
      <c r="Z936">
        <f t="shared" si="216"/>
        <v>0</v>
      </c>
      <c r="AA936">
        <f t="shared" si="217"/>
        <v>0</v>
      </c>
      <c r="AB936">
        <f t="shared" si="218"/>
        <v>0</v>
      </c>
      <c r="AC936">
        <f t="shared" si="219"/>
        <v>5</v>
      </c>
      <c r="AD936" s="1">
        <f t="shared" si="220"/>
        <v>6.666666666666667</v>
      </c>
      <c r="AE936">
        <f t="shared" si="221"/>
        <v>10</v>
      </c>
      <c r="AF936">
        <f t="shared" si="222"/>
        <v>10</v>
      </c>
      <c r="AG936">
        <f t="shared" si="223"/>
        <v>10</v>
      </c>
    </row>
    <row r="937" spans="1:33" x14ac:dyDescent="0.25">
      <c r="A937" t="s">
        <v>1606</v>
      </c>
      <c r="B937" t="s">
        <v>1607</v>
      </c>
      <c r="C937">
        <v>167682</v>
      </c>
      <c r="D937">
        <v>167682</v>
      </c>
      <c r="H937">
        <v>10</v>
      </c>
      <c r="I937">
        <v>50</v>
      </c>
      <c r="J937">
        <v>20</v>
      </c>
      <c r="K937">
        <v>10</v>
      </c>
      <c r="L937">
        <v>10</v>
      </c>
      <c r="M937">
        <v>100</v>
      </c>
      <c r="S937">
        <f t="shared" si="212"/>
        <v>0</v>
      </c>
      <c r="T937">
        <f t="shared" si="213"/>
        <v>8.3333333333333339</v>
      </c>
      <c r="U937">
        <f t="shared" si="211"/>
        <v>1</v>
      </c>
      <c r="V937">
        <f t="shared" si="214"/>
        <v>0</v>
      </c>
      <c r="W937">
        <f t="shared" si="215"/>
        <v>1</v>
      </c>
      <c r="X937">
        <f t="shared" si="224"/>
        <v>0</v>
      </c>
      <c r="Y937">
        <f t="shared" si="225"/>
        <v>1</v>
      </c>
      <c r="Z937">
        <f t="shared" si="216"/>
        <v>0</v>
      </c>
      <c r="AA937">
        <f t="shared" si="217"/>
        <v>0</v>
      </c>
      <c r="AB937">
        <f t="shared" si="218"/>
        <v>0</v>
      </c>
      <c r="AC937">
        <f t="shared" si="219"/>
        <v>5</v>
      </c>
      <c r="AD937" s="1">
        <f t="shared" si="220"/>
        <v>8.3333333333333339</v>
      </c>
      <c r="AE937">
        <f t="shared" si="221"/>
        <v>10</v>
      </c>
      <c r="AF937">
        <f t="shared" si="222"/>
        <v>10</v>
      </c>
      <c r="AG937">
        <f t="shared" si="223"/>
        <v>10</v>
      </c>
    </row>
    <row r="938" spans="1:33" x14ac:dyDescent="0.25">
      <c r="A938" t="s">
        <v>1608</v>
      </c>
      <c r="B938" t="s">
        <v>1609</v>
      </c>
      <c r="C938">
        <v>168748</v>
      </c>
      <c r="D938">
        <v>168748</v>
      </c>
      <c r="S938">
        <f t="shared" si="212"/>
        <v>0</v>
      </c>
      <c r="T938">
        <f t="shared" si="213"/>
        <v>0</v>
      </c>
      <c r="U938">
        <f t="shared" si="211"/>
        <v>0</v>
      </c>
      <c r="V938">
        <f t="shared" si="214"/>
        <v>0</v>
      </c>
      <c r="W938">
        <f t="shared" si="215"/>
        <v>0</v>
      </c>
      <c r="X938">
        <f t="shared" si="224"/>
        <v>0</v>
      </c>
      <c r="Y938">
        <f t="shared" si="225"/>
        <v>0</v>
      </c>
      <c r="Z938">
        <f t="shared" si="216"/>
        <v>0</v>
      </c>
      <c r="AA938">
        <f t="shared" si="217"/>
        <v>0</v>
      </c>
      <c r="AB938">
        <f t="shared" si="218"/>
        <v>0</v>
      </c>
      <c r="AC938">
        <f t="shared" si="219"/>
        <v>0</v>
      </c>
      <c r="AD938" s="1">
        <f t="shared" si="220"/>
        <v>0</v>
      </c>
      <c r="AE938">
        <f t="shared" si="221"/>
        <v>0</v>
      </c>
      <c r="AF938">
        <f t="shared" si="222"/>
        <v>0</v>
      </c>
      <c r="AG938">
        <f t="shared" si="223"/>
        <v>0</v>
      </c>
    </row>
    <row r="939" spans="1:33" x14ac:dyDescent="0.25">
      <c r="A939" t="s">
        <v>1610</v>
      </c>
      <c r="B939" t="s">
        <v>1611</v>
      </c>
      <c r="C939">
        <v>166726</v>
      </c>
      <c r="D939">
        <v>166726</v>
      </c>
      <c r="E939">
        <v>50</v>
      </c>
      <c r="F939">
        <v>20</v>
      </c>
      <c r="G939">
        <v>40</v>
      </c>
      <c r="O939">
        <v>110</v>
      </c>
      <c r="S939">
        <f t="shared" si="212"/>
        <v>6.875</v>
      </c>
      <c r="T939">
        <f t="shared" si="213"/>
        <v>0</v>
      </c>
      <c r="U939">
        <f t="shared" si="211"/>
        <v>1</v>
      </c>
      <c r="V939">
        <f t="shared" si="214"/>
        <v>1</v>
      </c>
      <c r="W939">
        <f t="shared" si="215"/>
        <v>0</v>
      </c>
      <c r="X939">
        <f t="shared" si="224"/>
        <v>1</v>
      </c>
      <c r="Y939">
        <f t="shared" si="225"/>
        <v>0</v>
      </c>
      <c r="Z939">
        <f t="shared" si="216"/>
        <v>10</v>
      </c>
      <c r="AA939">
        <f t="shared" si="217"/>
        <v>5</v>
      </c>
      <c r="AB939">
        <f t="shared" si="218"/>
        <v>5.7142857142857144</v>
      </c>
      <c r="AC939">
        <f t="shared" si="219"/>
        <v>0</v>
      </c>
      <c r="AD939" s="1">
        <f t="shared" si="220"/>
        <v>0</v>
      </c>
      <c r="AE939">
        <f t="shared" si="221"/>
        <v>0</v>
      </c>
      <c r="AF939">
        <f t="shared" si="222"/>
        <v>0</v>
      </c>
      <c r="AG939">
        <f t="shared" si="223"/>
        <v>0</v>
      </c>
    </row>
    <row r="940" spans="1:33" x14ac:dyDescent="0.25">
      <c r="A940" t="s">
        <v>1612</v>
      </c>
      <c r="B940" t="s">
        <v>396</v>
      </c>
      <c r="C940">
        <v>166468</v>
      </c>
      <c r="D940">
        <v>166468</v>
      </c>
      <c r="H940">
        <v>10</v>
      </c>
      <c r="I940">
        <v>30</v>
      </c>
      <c r="J940">
        <v>10</v>
      </c>
      <c r="K940">
        <v>0</v>
      </c>
      <c r="L940">
        <v>0</v>
      </c>
      <c r="M940">
        <v>50</v>
      </c>
      <c r="S940">
        <f t="shared" si="212"/>
        <v>0</v>
      </c>
      <c r="T940">
        <f t="shared" si="213"/>
        <v>4.166666666666667</v>
      </c>
      <c r="U940">
        <f t="shared" si="211"/>
        <v>1</v>
      </c>
      <c r="V940">
        <f t="shared" si="214"/>
        <v>0</v>
      </c>
      <c r="W940">
        <f t="shared" si="215"/>
        <v>1</v>
      </c>
      <c r="X940">
        <f t="shared" si="224"/>
        <v>0</v>
      </c>
      <c r="Y940">
        <f t="shared" si="225"/>
        <v>0</v>
      </c>
      <c r="Z940">
        <f t="shared" si="216"/>
        <v>0</v>
      </c>
      <c r="AA940">
        <f t="shared" si="217"/>
        <v>0</v>
      </c>
      <c r="AB940">
        <f t="shared" si="218"/>
        <v>0</v>
      </c>
      <c r="AC940">
        <f t="shared" si="219"/>
        <v>5</v>
      </c>
      <c r="AD940" s="1">
        <f t="shared" si="220"/>
        <v>5</v>
      </c>
      <c r="AE940">
        <f t="shared" si="221"/>
        <v>5</v>
      </c>
      <c r="AF940">
        <f t="shared" si="222"/>
        <v>0</v>
      </c>
      <c r="AG940">
        <f t="shared" si="223"/>
        <v>0</v>
      </c>
    </row>
    <row r="941" spans="1:33" x14ac:dyDescent="0.25">
      <c r="A941" t="s">
        <v>1613</v>
      </c>
      <c r="B941" t="s">
        <v>1614</v>
      </c>
      <c r="C941">
        <v>168572</v>
      </c>
      <c r="D941">
        <v>168572</v>
      </c>
      <c r="E941">
        <v>20</v>
      </c>
      <c r="F941">
        <v>40</v>
      </c>
      <c r="G941">
        <v>30</v>
      </c>
      <c r="O941">
        <v>90</v>
      </c>
      <c r="S941">
        <f t="shared" si="212"/>
        <v>5.625</v>
      </c>
      <c r="T941">
        <f t="shared" si="213"/>
        <v>0</v>
      </c>
      <c r="U941">
        <f t="shared" si="211"/>
        <v>1</v>
      </c>
      <c r="V941">
        <f t="shared" si="214"/>
        <v>1</v>
      </c>
      <c r="W941">
        <f t="shared" si="215"/>
        <v>0</v>
      </c>
      <c r="X941">
        <f t="shared" si="224"/>
        <v>0</v>
      </c>
      <c r="Y941">
        <f t="shared" si="225"/>
        <v>0</v>
      </c>
      <c r="Z941">
        <f t="shared" si="216"/>
        <v>4</v>
      </c>
      <c r="AA941">
        <f t="shared" si="217"/>
        <v>10</v>
      </c>
      <c r="AB941">
        <f t="shared" si="218"/>
        <v>4.2857142857142856</v>
      </c>
      <c r="AC941">
        <f t="shared" si="219"/>
        <v>0</v>
      </c>
      <c r="AD941" s="1">
        <f t="shared" si="220"/>
        <v>0</v>
      </c>
      <c r="AE941">
        <f t="shared" si="221"/>
        <v>0</v>
      </c>
      <c r="AF941">
        <f t="shared" si="222"/>
        <v>0</v>
      </c>
      <c r="AG941">
        <f t="shared" si="223"/>
        <v>0</v>
      </c>
    </row>
    <row r="942" spans="1:33" x14ac:dyDescent="0.25">
      <c r="A942" t="s">
        <v>1615</v>
      </c>
      <c r="B942" t="s">
        <v>1616</v>
      </c>
      <c r="C942">
        <v>167742</v>
      </c>
      <c r="D942">
        <v>167742</v>
      </c>
      <c r="E942">
        <v>50</v>
      </c>
      <c r="F942">
        <v>20</v>
      </c>
      <c r="G942">
        <v>60</v>
      </c>
      <c r="O942">
        <v>130</v>
      </c>
      <c r="S942">
        <f t="shared" si="212"/>
        <v>8.125</v>
      </c>
      <c r="T942">
        <f t="shared" si="213"/>
        <v>0</v>
      </c>
      <c r="U942">
        <f t="shared" si="211"/>
        <v>1</v>
      </c>
      <c r="V942">
        <f t="shared" si="214"/>
        <v>1</v>
      </c>
      <c r="W942">
        <f t="shared" si="215"/>
        <v>0</v>
      </c>
      <c r="X942">
        <f t="shared" si="224"/>
        <v>1</v>
      </c>
      <c r="Y942">
        <f t="shared" si="225"/>
        <v>0</v>
      </c>
      <c r="Z942">
        <f t="shared" si="216"/>
        <v>10</v>
      </c>
      <c r="AA942">
        <f t="shared" si="217"/>
        <v>5</v>
      </c>
      <c r="AB942">
        <f t="shared" si="218"/>
        <v>8.5714285714285712</v>
      </c>
      <c r="AC942">
        <f t="shared" si="219"/>
        <v>0</v>
      </c>
      <c r="AD942" s="1">
        <f t="shared" si="220"/>
        <v>0</v>
      </c>
      <c r="AE942">
        <f t="shared" si="221"/>
        <v>0</v>
      </c>
      <c r="AF942">
        <f t="shared" si="222"/>
        <v>0</v>
      </c>
      <c r="AG942">
        <f t="shared" si="223"/>
        <v>0</v>
      </c>
    </row>
    <row r="943" spans="1:33" x14ac:dyDescent="0.25">
      <c r="A943" t="s">
        <v>1617</v>
      </c>
      <c r="B943" t="s">
        <v>1618</v>
      </c>
      <c r="C943">
        <v>168726</v>
      </c>
      <c r="D943">
        <v>168726</v>
      </c>
      <c r="H943">
        <v>20</v>
      </c>
      <c r="I943">
        <v>40</v>
      </c>
      <c r="J943">
        <v>20</v>
      </c>
      <c r="K943">
        <v>10</v>
      </c>
      <c r="L943">
        <v>0</v>
      </c>
      <c r="M943">
        <v>90</v>
      </c>
      <c r="S943">
        <f t="shared" si="212"/>
        <v>0</v>
      </c>
      <c r="T943">
        <f t="shared" si="213"/>
        <v>7.5</v>
      </c>
      <c r="U943">
        <f t="shared" si="211"/>
        <v>1</v>
      </c>
      <c r="V943">
        <f t="shared" si="214"/>
        <v>0</v>
      </c>
      <c r="W943">
        <f t="shared" si="215"/>
        <v>1</v>
      </c>
      <c r="X943">
        <f t="shared" si="224"/>
        <v>0</v>
      </c>
      <c r="Y943">
        <f t="shared" si="225"/>
        <v>1</v>
      </c>
      <c r="Z943">
        <f t="shared" si="216"/>
        <v>0</v>
      </c>
      <c r="AA943">
        <f t="shared" si="217"/>
        <v>0</v>
      </c>
      <c r="AB943">
        <f t="shared" si="218"/>
        <v>0</v>
      </c>
      <c r="AC943">
        <f t="shared" si="219"/>
        <v>10</v>
      </c>
      <c r="AD943" s="1">
        <f t="shared" si="220"/>
        <v>6.666666666666667</v>
      </c>
      <c r="AE943">
        <f t="shared" si="221"/>
        <v>10</v>
      </c>
      <c r="AF943">
        <f t="shared" si="222"/>
        <v>10</v>
      </c>
      <c r="AG943">
        <f t="shared" si="223"/>
        <v>0</v>
      </c>
    </row>
    <row r="944" spans="1:33" x14ac:dyDescent="0.25">
      <c r="A944" t="s">
        <v>1619</v>
      </c>
      <c r="B944" t="s">
        <v>1620</v>
      </c>
      <c r="C944">
        <v>163270</v>
      </c>
      <c r="D944">
        <v>163270</v>
      </c>
      <c r="S944">
        <f t="shared" si="212"/>
        <v>0</v>
      </c>
      <c r="T944">
        <f t="shared" si="213"/>
        <v>0</v>
      </c>
      <c r="U944">
        <f t="shared" si="211"/>
        <v>0</v>
      </c>
      <c r="V944">
        <f t="shared" si="214"/>
        <v>0</v>
      </c>
      <c r="W944">
        <f t="shared" si="215"/>
        <v>0</v>
      </c>
      <c r="X944">
        <f t="shared" si="224"/>
        <v>0</v>
      </c>
      <c r="Y944">
        <f t="shared" si="225"/>
        <v>0</v>
      </c>
      <c r="Z944">
        <f t="shared" si="216"/>
        <v>0</v>
      </c>
      <c r="AA944">
        <f t="shared" si="217"/>
        <v>0</v>
      </c>
      <c r="AB944">
        <f t="shared" si="218"/>
        <v>0</v>
      </c>
      <c r="AC944">
        <f t="shared" si="219"/>
        <v>0</v>
      </c>
      <c r="AD944" s="1">
        <f t="shared" si="220"/>
        <v>0</v>
      </c>
      <c r="AE944">
        <f t="shared" si="221"/>
        <v>0</v>
      </c>
      <c r="AF944">
        <f t="shared" si="222"/>
        <v>0</v>
      </c>
      <c r="AG944">
        <f t="shared" si="223"/>
        <v>0</v>
      </c>
    </row>
    <row r="945" spans="1:33" x14ac:dyDescent="0.25">
      <c r="A945" t="s">
        <v>1621</v>
      </c>
      <c r="B945" t="s">
        <v>1622</v>
      </c>
      <c r="C945">
        <v>163809</v>
      </c>
      <c r="D945">
        <v>163809</v>
      </c>
      <c r="S945">
        <f t="shared" si="212"/>
        <v>0</v>
      </c>
      <c r="T945">
        <f t="shared" si="213"/>
        <v>0</v>
      </c>
      <c r="U945">
        <f t="shared" si="211"/>
        <v>0</v>
      </c>
      <c r="V945">
        <f t="shared" si="214"/>
        <v>0</v>
      </c>
      <c r="W945">
        <f t="shared" si="215"/>
        <v>0</v>
      </c>
      <c r="X945">
        <f t="shared" si="224"/>
        <v>0</v>
      </c>
      <c r="Y945">
        <f t="shared" si="225"/>
        <v>0</v>
      </c>
      <c r="Z945">
        <f t="shared" si="216"/>
        <v>0</v>
      </c>
      <c r="AA945">
        <f t="shared" si="217"/>
        <v>0</v>
      </c>
      <c r="AB945">
        <f t="shared" si="218"/>
        <v>0</v>
      </c>
      <c r="AC945">
        <f t="shared" si="219"/>
        <v>0</v>
      </c>
      <c r="AD945" s="1">
        <f t="shared" si="220"/>
        <v>0</v>
      </c>
      <c r="AE945">
        <f t="shared" si="221"/>
        <v>0</v>
      </c>
      <c r="AF945">
        <f t="shared" si="222"/>
        <v>0</v>
      </c>
      <c r="AG945">
        <f t="shared" si="223"/>
        <v>0</v>
      </c>
    </row>
    <row r="946" spans="1:33" x14ac:dyDescent="0.25">
      <c r="A946" t="s">
        <v>1623</v>
      </c>
      <c r="B946" t="s">
        <v>1624</v>
      </c>
      <c r="C946">
        <v>167195</v>
      </c>
      <c r="D946">
        <v>167195</v>
      </c>
      <c r="E946">
        <v>20</v>
      </c>
      <c r="F946">
        <v>10</v>
      </c>
      <c r="G946">
        <v>20</v>
      </c>
      <c r="O946">
        <v>50</v>
      </c>
      <c r="S946">
        <f t="shared" si="212"/>
        <v>3.125</v>
      </c>
      <c r="T946">
        <f t="shared" si="213"/>
        <v>0</v>
      </c>
      <c r="U946">
        <f t="shared" si="211"/>
        <v>1</v>
      </c>
      <c r="V946">
        <f t="shared" si="214"/>
        <v>1</v>
      </c>
      <c r="W946">
        <f t="shared" si="215"/>
        <v>0</v>
      </c>
      <c r="X946">
        <f t="shared" si="224"/>
        <v>0</v>
      </c>
      <c r="Y946">
        <f t="shared" si="225"/>
        <v>0</v>
      </c>
      <c r="Z946">
        <f t="shared" si="216"/>
        <v>4</v>
      </c>
      <c r="AA946">
        <f t="shared" si="217"/>
        <v>2.5</v>
      </c>
      <c r="AB946">
        <f t="shared" si="218"/>
        <v>2.8571428571428572</v>
      </c>
      <c r="AC946">
        <f t="shared" si="219"/>
        <v>0</v>
      </c>
      <c r="AD946" s="1">
        <f t="shared" si="220"/>
        <v>0</v>
      </c>
      <c r="AE946">
        <f t="shared" si="221"/>
        <v>0</v>
      </c>
      <c r="AF946">
        <f t="shared" si="222"/>
        <v>0</v>
      </c>
      <c r="AG946">
        <f t="shared" si="223"/>
        <v>0</v>
      </c>
    </row>
    <row r="947" spans="1:33" x14ac:dyDescent="0.25">
      <c r="A947" t="s">
        <v>1625</v>
      </c>
      <c r="B947" t="s">
        <v>551</v>
      </c>
      <c r="C947">
        <v>167495</v>
      </c>
      <c r="D947">
        <v>167495</v>
      </c>
      <c r="H947">
        <v>20</v>
      </c>
      <c r="I947">
        <v>50</v>
      </c>
      <c r="J947">
        <v>20</v>
      </c>
      <c r="K947">
        <v>10</v>
      </c>
      <c r="L947">
        <v>10</v>
      </c>
      <c r="M947">
        <v>110</v>
      </c>
      <c r="S947">
        <f t="shared" si="212"/>
        <v>0</v>
      </c>
      <c r="T947">
        <f t="shared" si="213"/>
        <v>9.1666666666666661</v>
      </c>
      <c r="U947">
        <f t="shared" si="211"/>
        <v>1</v>
      </c>
      <c r="V947">
        <f t="shared" si="214"/>
        <v>0</v>
      </c>
      <c r="W947">
        <f t="shared" si="215"/>
        <v>1</v>
      </c>
      <c r="X947">
        <f t="shared" si="224"/>
        <v>0</v>
      </c>
      <c r="Y947">
        <f t="shared" si="225"/>
        <v>1</v>
      </c>
      <c r="Z947">
        <f t="shared" si="216"/>
        <v>0</v>
      </c>
      <c r="AA947">
        <f t="shared" si="217"/>
        <v>0</v>
      </c>
      <c r="AB947">
        <f t="shared" si="218"/>
        <v>0</v>
      </c>
      <c r="AC947">
        <f t="shared" si="219"/>
        <v>10</v>
      </c>
      <c r="AD947" s="1">
        <f t="shared" si="220"/>
        <v>8.3333333333333339</v>
      </c>
      <c r="AE947">
        <f t="shared" si="221"/>
        <v>10</v>
      </c>
      <c r="AF947">
        <f t="shared" si="222"/>
        <v>10</v>
      </c>
      <c r="AG947">
        <f t="shared" si="223"/>
        <v>10</v>
      </c>
    </row>
    <row r="948" spans="1:33" x14ac:dyDescent="0.25">
      <c r="A948" t="s">
        <v>1626</v>
      </c>
      <c r="B948" t="s">
        <v>510</v>
      </c>
      <c r="C948">
        <v>162443</v>
      </c>
      <c r="D948">
        <v>162443</v>
      </c>
      <c r="E948">
        <v>20</v>
      </c>
      <c r="F948">
        <v>40</v>
      </c>
      <c r="G948">
        <v>40</v>
      </c>
      <c r="O948">
        <v>100</v>
      </c>
      <c r="S948">
        <f t="shared" si="212"/>
        <v>6.25</v>
      </c>
      <c r="T948">
        <f t="shared" si="213"/>
        <v>0</v>
      </c>
      <c r="U948">
        <f t="shared" si="211"/>
        <v>1</v>
      </c>
      <c r="V948">
        <f t="shared" si="214"/>
        <v>1</v>
      </c>
      <c r="W948">
        <f t="shared" si="215"/>
        <v>0</v>
      </c>
      <c r="X948">
        <f t="shared" si="224"/>
        <v>1</v>
      </c>
      <c r="Y948">
        <f t="shared" si="225"/>
        <v>0</v>
      </c>
      <c r="Z948">
        <f t="shared" si="216"/>
        <v>4</v>
      </c>
      <c r="AA948">
        <f t="shared" si="217"/>
        <v>10</v>
      </c>
      <c r="AB948">
        <f t="shared" si="218"/>
        <v>5.7142857142857144</v>
      </c>
      <c r="AC948">
        <f t="shared" si="219"/>
        <v>0</v>
      </c>
      <c r="AD948" s="1">
        <f t="shared" si="220"/>
        <v>0</v>
      </c>
      <c r="AE948">
        <f t="shared" si="221"/>
        <v>0</v>
      </c>
      <c r="AF948">
        <f t="shared" si="222"/>
        <v>0</v>
      </c>
      <c r="AG948">
        <f t="shared" si="223"/>
        <v>0</v>
      </c>
    </row>
    <row r="949" spans="1:33" x14ac:dyDescent="0.25">
      <c r="A949" t="s">
        <v>1627</v>
      </c>
      <c r="B949" t="s">
        <v>49</v>
      </c>
      <c r="C949">
        <v>167212</v>
      </c>
      <c r="D949">
        <v>167212</v>
      </c>
      <c r="H949">
        <v>0</v>
      </c>
      <c r="J949">
        <v>10</v>
      </c>
      <c r="M949">
        <v>10</v>
      </c>
      <c r="S949">
        <f t="shared" si="212"/>
        <v>0</v>
      </c>
      <c r="T949">
        <f t="shared" si="213"/>
        <v>0.83333333333333337</v>
      </c>
      <c r="U949">
        <f t="shared" si="211"/>
        <v>1</v>
      </c>
      <c r="V949">
        <f t="shared" si="214"/>
        <v>0</v>
      </c>
      <c r="W949">
        <f t="shared" si="215"/>
        <v>1</v>
      </c>
      <c r="X949">
        <f t="shared" si="224"/>
        <v>0</v>
      </c>
      <c r="Y949">
        <f t="shared" si="225"/>
        <v>0</v>
      </c>
      <c r="Z949">
        <f t="shared" si="216"/>
        <v>0</v>
      </c>
      <c r="AA949">
        <f t="shared" si="217"/>
        <v>0</v>
      </c>
      <c r="AB949">
        <f t="shared" si="218"/>
        <v>0</v>
      </c>
      <c r="AC949">
        <f t="shared" si="219"/>
        <v>0</v>
      </c>
      <c r="AD949" s="1">
        <f t="shared" si="220"/>
        <v>0</v>
      </c>
      <c r="AE949">
        <f t="shared" si="221"/>
        <v>5</v>
      </c>
      <c r="AF949">
        <f t="shared" si="222"/>
        <v>0</v>
      </c>
      <c r="AG949">
        <f t="shared" si="223"/>
        <v>0</v>
      </c>
    </row>
    <row r="950" spans="1:33" x14ac:dyDescent="0.25">
      <c r="A950" t="s">
        <v>1628</v>
      </c>
      <c r="B950" t="s">
        <v>1629</v>
      </c>
      <c r="C950">
        <v>165906</v>
      </c>
      <c r="D950">
        <v>165906</v>
      </c>
      <c r="S950">
        <f t="shared" si="212"/>
        <v>0</v>
      </c>
      <c r="T950">
        <f t="shared" si="213"/>
        <v>0</v>
      </c>
      <c r="U950">
        <f t="shared" si="211"/>
        <v>0</v>
      </c>
      <c r="V950">
        <f t="shared" si="214"/>
        <v>0</v>
      </c>
      <c r="W950">
        <f t="shared" si="215"/>
        <v>0</v>
      </c>
      <c r="X950">
        <f t="shared" si="224"/>
        <v>0</v>
      </c>
      <c r="Y950">
        <f t="shared" si="225"/>
        <v>0</v>
      </c>
      <c r="Z950">
        <f t="shared" si="216"/>
        <v>0</v>
      </c>
      <c r="AA950">
        <f t="shared" si="217"/>
        <v>0</v>
      </c>
      <c r="AB950">
        <f t="shared" si="218"/>
        <v>0</v>
      </c>
      <c r="AC950">
        <f t="shared" si="219"/>
        <v>0</v>
      </c>
      <c r="AD950" s="1">
        <f t="shared" si="220"/>
        <v>0</v>
      </c>
      <c r="AE950">
        <f t="shared" si="221"/>
        <v>0</v>
      </c>
      <c r="AF950">
        <f t="shared" si="222"/>
        <v>0</v>
      </c>
      <c r="AG950">
        <f t="shared" si="223"/>
        <v>0</v>
      </c>
    </row>
    <row r="951" spans="1:33" x14ac:dyDescent="0.25">
      <c r="A951" t="s">
        <v>1630</v>
      </c>
      <c r="B951" t="s">
        <v>1631</v>
      </c>
      <c r="C951">
        <v>165048</v>
      </c>
      <c r="D951">
        <v>165048</v>
      </c>
      <c r="E951">
        <v>20</v>
      </c>
      <c r="F951">
        <v>20</v>
      </c>
      <c r="G951">
        <v>30</v>
      </c>
      <c r="O951">
        <v>70</v>
      </c>
      <c r="S951">
        <f t="shared" si="212"/>
        <v>4.375</v>
      </c>
      <c r="T951">
        <f t="shared" si="213"/>
        <v>0</v>
      </c>
      <c r="U951">
        <f t="shared" si="211"/>
        <v>1</v>
      </c>
      <c r="V951">
        <f t="shared" si="214"/>
        <v>1</v>
      </c>
      <c r="W951">
        <f t="shared" si="215"/>
        <v>0</v>
      </c>
      <c r="X951">
        <f t="shared" si="224"/>
        <v>0</v>
      </c>
      <c r="Y951">
        <f t="shared" si="225"/>
        <v>0</v>
      </c>
      <c r="Z951">
        <f t="shared" si="216"/>
        <v>4</v>
      </c>
      <c r="AA951">
        <f t="shared" si="217"/>
        <v>5</v>
      </c>
      <c r="AB951">
        <f t="shared" si="218"/>
        <v>4.2857142857142856</v>
      </c>
      <c r="AC951">
        <f t="shared" si="219"/>
        <v>0</v>
      </c>
      <c r="AD951" s="1">
        <f t="shared" si="220"/>
        <v>0</v>
      </c>
      <c r="AE951">
        <f t="shared" si="221"/>
        <v>0</v>
      </c>
      <c r="AF951">
        <f t="shared" si="222"/>
        <v>0</v>
      </c>
      <c r="AG951">
        <f t="shared" si="223"/>
        <v>0</v>
      </c>
    </row>
    <row r="952" spans="1:33" x14ac:dyDescent="0.25">
      <c r="A952" t="s">
        <v>1632</v>
      </c>
      <c r="B952" t="s">
        <v>1633</v>
      </c>
      <c r="C952">
        <v>166495</v>
      </c>
      <c r="D952">
        <v>166495</v>
      </c>
      <c r="H952">
        <v>0</v>
      </c>
      <c r="I952">
        <v>30</v>
      </c>
      <c r="J952">
        <v>20</v>
      </c>
      <c r="K952">
        <v>0</v>
      </c>
      <c r="L952">
        <v>0</v>
      </c>
      <c r="M952">
        <v>50</v>
      </c>
      <c r="S952">
        <f t="shared" si="212"/>
        <v>0</v>
      </c>
      <c r="T952">
        <f t="shared" si="213"/>
        <v>4.166666666666667</v>
      </c>
      <c r="U952">
        <f t="shared" si="211"/>
        <v>1</v>
      </c>
      <c r="V952">
        <f t="shared" si="214"/>
        <v>0</v>
      </c>
      <c r="W952">
        <f t="shared" si="215"/>
        <v>1</v>
      </c>
      <c r="X952">
        <f t="shared" si="224"/>
        <v>0</v>
      </c>
      <c r="Y952">
        <f t="shared" si="225"/>
        <v>0</v>
      </c>
      <c r="Z952">
        <f t="shared" si="216"/>
        <v>0</v>
      </c>
      <c r="AA952">
        <f t="shared" si="217"/>
        <v>0</v>
      </c>
      <c r="AB952">
        <f t="shared" si="218"/>
        <v>0</v>
      </c>
      <c r="AC952">
        <f t="shared" si="219"/>
        <v>0</v>
      </c>
      <c r="AD952" s="1">
        <f t="shared" si="220"/>
        <v>5</v>
      </c>
      <c r="AE952">
        <f t="shared" si="221"/>
        <v>10</v>
      </c>
      <c r="AF952">
        <f t="shared" si="222"/>
        <v>0</v>
      </c>
      <c r="AG952">
        <f t="shared" si="223"/>
        <v>0</v>
      </c>
    </row>
    <row r="953" spans="1:33" x14ac:dyDescent="0.25">
      <c r="A953" t="s">
        <v>1634</v>
      </c>
      <c r="B953" t="s">
        <v>1635</v>
      </c>
      <c r="C953">
        <v>168633</v>
      </c>
      <c r="D953">
        <v>168633</v>
      </c>
      <c r="E953">
        <v>10</v>
      </c>
      <c r="F953">
        <v>30</v>
      </c>
      <c r="G953">
        <v>10</v>
      </c>
      <c r="O953">
        <v>50</v>
      </c>
      <c r="S953">
        <f t="shared" si="212"/>
        <v>3.125</v>
      </c>
      <c r="T953">
        <f t="shared" si="213"/>
        <v>0</v>
      </c>
      <c r="U953">
        <f t="shared" si="211"/>
        <v>1</v>
      </c>
      <c r="V953">
        <f t="shared" si="214"/>
        <v>1</v>
      </c>
      <c r="W953">
        <f t="shared" si="215"/>
        <v>0</v>
      </c>
      <c r="X953">
        <f t="shared" si="224"/>
        <v>0</v>
      </c>
      <c r="Y953">
        <f t="shared" si="225"/>
        <v>0</v>
      </c>
      <c r="Z953">
        <f t="shared" si="216"/>
        <v>2</v>
      </c>
      <c r="AA953">
        <f t="shared" si="217"/>
        <v>7.5</v>
      </c>
      <c r="AB953">
        <f t="shared" si="218"/>
        <v>1.4285714285714286</v>
      </c>
      <c r="AC953">
        <f t="shared" si="219"/>
        <v>0</v>
      </c>
      <c r="AD953" s="1">
        <f t="shared" si="220"/>
        <v>0</v>
      </c>
      <c r="AE953">
        <f t="shared" si="221"/>
        <v>0</v>
      </c>
      <c r="AF953">
        <f t="shared" si="222"/>
        <v>0</v>
      </c>
      <c r="AG953">
        <f t="shared" si="223"/>
        <v>0</v>
      </c>
    </row>
    <row r="954" spans="1:33" x14ac:dyDescent="0.25">
      <c r="A954" t="s">
        <v>1636</v>
      </c>
      <c r="B954" t="s">
        <v>1637</v>
      </c>
      <c r="C954">
        <v>168386</v>
      </c>
      <c r="D954">
        <v>168386</v>
      </c>
      <c r="E954">
        <v>10</v>
      </c>
      <c r="F954">
        <v>10</v>
      </c>
      <c r="G954">
        <v>20</v>
      </c>
      <c r="O954">
        <v>40</v>
      </c>
      <c r="S954">
        <f t="shared" si="212"/>
        <v>2.5</v>
      </c>
      <c r="T954">
        <f t="shared" si="213"/>
        <v>0</v>
      </c>
      <c r="U954">
        <f t="shared" si="211"/>
        <v>1</v>
      </c>
      <c r="V954">
        <f t="shared" si="214"/>
        <v>1</v>
      </c>
      <c r="W954">
        <f t="shared" si="215"/>
        <v>0</v>
      </c>
      <c r="X954">
        <f t="shared" si="224"/>
        <v>0</v>
      </c>
      <c r="Y954">
        <f t="shared" si="225"/>
        <v>0</v>
      </c>
      <c r="Z954">
        <f t="shared" si="216"/>
        <v>2</v>
      </c>
      <c r="AA954">
        <f t="shared" si="217"/>
        <v>2.5</v>
      </c>
      <c r="AB954">
        <f t="shared" si="218"/>
        <v>2.8571428571428572</v>
      </c>
      <c r="AC954">
        <f t="shared" si="219"/>
        <v>0</v>
      </c>
      <c r="AD954" s="1">
        <f t="shared" si="220"/>
        <v>0</v>
      </c>
      <c r="AE954">
        <f t="shared" si="221"/>
        <v>0</v>
      </c>
      <c r="AF954">
        <f t="shared" si="222"/>
        <v>0</v>
      </c>
      <c r="AG954">
        <f t="shared" si="223"/>
        <v>0</v>
      </c>
    </row>
    <row r="955" spans="1:33" x14ac:dyDescent="0.25">
      <c r="A955" t="s">
        <v>1638</v>
      </c>
      <c r="B955" t="s">
        <v>1639</v>
      </c>
      <c r="C955">
        <v>164987</v>
      </c>
      <c r="D955">
        <v>164987</v>
      </c>
      <c r="E955">
        <v>20</v>
      </c>
      <c r="F955">
        <v>30</v>
      </c>
      <c r="G955">
        <v>30</v>
      </c>
      <c r="O955">
        <v>80</v>
      </c>
      <c r="S955">
        <f t="shared" si="212"/>
        <v>5</v>
      </c>
      <c r="T955">
        <f t="shared" si="213"/>
        <v>0</v>
      </c>
      <c r="U955">
        <f t="shared" si="211"/>
        <v>1</v>
      </c>
      <c r="V955">
        <f t="shared" si="214"/>
        <v>1</v>
      </c>
      <c r="W955">
        <f t="shared" si="215"/>
        <v>0</v>
      </c>
      <c r="X955">
        <f t="shared" si="224"/>
        <v>0</v>
      </c>
      <c r="Y955">
        <f t="shared" si="225"/>
        <v>0</v>
      </c>
      <c r="Z955">
        <f t="shared" si="216"/>
        <v>4</v>
      </c>
      <c r="AA955">
        <f t="shared" si="217"/>
        <v>7.5</v>
      </c>
      <c r="AB955">
        <f t="shared" si="218"/>
        <v>4.2857142857142856</v>
      </c>
      <c r="AC955">
        <f t="shared" si="219"/>
        <v>0</v>
      </c>
      <c r="AD955" s="1">
        <f t="shared" si="220"/>
        <v>0</v>
      </c>
      <c r="AE955">
        <f t="shared" si="221"/>
        <v>0</v>
      </c>
      <c r="AF955">
        <f t="shared" si="222"/>
        <v>0</v>
      </c>
      <c r="AG955">
        <f t="shared" si="223"/>
        <v>0</v>
      </c>
    </row>
    <row r="956" spans="1:33" x14ac:dyDescent="0.25">
      <c r="A956" t="s">
        <v>1640</v>
      </c>
      <c r="B956" t="s">
        <v>1219</v>
      </c>
      <c r="C956">
        <v>166232</v>
      </c>
      <c r="D956">
        <v>166232</v>
      </c>
      <c r="H956">
        <v>10</v>
      </c>
      <c r="I956">
        <v>10</v>
      </c>
      <c r="J956">
        <v>0</v>
      </c>
      <c r="K956">
        <v>0</v>
      </c>
      <c r="L956">
        <v>10</v>
      </c>
      <c r="M956">
        <v>30</v>
      </c>
      <c r="S956">
        <f t="shared" si="212"/>
        <v>0</v>
      </c>
      <c r="T956">
        <f t="shared" si="213"/>
        <v>2.5</v>
      </c>
      <c r="U956">
        <f t="shared" si="211"/>
        <v>1</v>
      </c>
      <c r="V956">
        <f t="shared" si="214"/>
        <v>0</v>
      </c>
      <c r="W956">
        <f t="shared" si="215"/>
        <v>1</v>
      </c>
      <c r="X956">
        <f t="shared" si="224"/>
        <v>0</v>
      </c>
      <c r="Y956">
        <f t="shared" si="225"/>
        <v>0</v>
      </c>
      <c r="Z956">
        <f t="shared" si="216"/>
        <v>0</v>
      </c>
      <c r="AA956">
        <f t="shared" si="217"/>
        <v>0</v>
      </c>
      <c r="AB956">
        <f t="shared" si="218"/>
        <v>0</v>
      </c>
      <c r="AC956">
        <f t="shared" si="219"/>
        <v>5</v>
      </c>
      <c r="AD956" s="1">
        <f t="shared" si="220"/>
        <v>1.6666666666666667</v>
      </c>
      <c r="AE956">
        <f t="shared" si="221"/>
        <v>0</v>
      </c>
      <c r="AF956">
        <f t="shared" si="222"/>
        <v>0</v>
      </c>
      <c r="AG956">
        <f t="shared" si="223"/>
        <v>10</v>
      </c>
    </row>
    <row r="957" spans="1:33" x14ac:dyDescent="0.25">
      <c r="A957" t="s">
        <v>1641</v>
      </c>
      <c r="B957" t="s">
        <v>1642</v>
      </c>
      <c r="C957">
        <v>166182</v>
      </c>
      <c r="D957">
        <v>166182</v>
      </c>
      <c r="H957">
        <v>20</v>
      </c>
      <c r="I957">
        <v>30</v>
      </c>
      <c r="J957">
        <v>10</v>
      </c>
      <c r="K957">
        <v>0</v>
      </c>
      <c r="L957">
        <v>0</v>
      </c>
      <c r="M957">
        <v>60</v>
      </c>
      <c r="S957">
        <f t="shared" si="212"/>
        <v>0</v>
      </c>
      <c r="T957">
        <f t="shared" si="213"/>
        <v>5</v>
      </c>
      <c r="U957">
        <f t="shared" si="211"/>
        <v>1</v>
      </c>
      <c r="V957">
        <f t="shared" si="214"/>
        <v>0</v>
      </c>
      <c r="W957">
        <f t="shared" si="215"/>
        <v>1</v>
      </c>
      <c r="X957">
        <f t="shared" si="224"/>
        <v>0</v>
      </c>
      <c r="Y957">
        <f t="shared" si="225"/>
        <v>0</v>
      </c>
      <c r="Z957">
        <f t="shared" si="216"/>
        <v>0</v>
      </c>
      <c r="AA957">
        <f t="shared" si="217"/>
        <v>0</v>
      </c>
      <c r="AB957">
        <f t="shared" si="218"/>
        <v>0</v>
      </c>
      <c r="AC957">
        <f t="shared" si="219"/>
        <v>10</v>
      </c>
      <c r="AD957" s="1">
        <f t="shared" si="220"/>
        <v>5</v>
      </c>
      <c r="AE957">
        <f t="shared" si="221"/>
        <v>5</v>
      </c>
      <c r="AF957">
        <f t="shared" si="222"/>
        <v>0</v>
      </c>
      <c r="AG957">
        <f t="shared" si="223"/>
        <v>0</v>
      </c>
    </row>
    <row r="958" spans="1:33" x14ac:dyDescent="0.25">
      <c r="A958" t="s">
        <v>1643</v>
      </c>
      <c r="B958" t="s">
        <v>1644</v>
      </c>
      <c r="C958">
        <v>165921</v>
      </c>
      <c r="D958">
        <v>165921</v>
      </c>
      <c r="E958">
        <v>40</v>
      </c>
      <c r="F958">
        <v>0</v>
      </c>
      <c r="G958">
        <v>40</v>
      </c>
      <c r="O958">
        <v>80</v>
      </c>
      <c r="S958">
        <f t="shared" si="212"/>
        <v>5</v>
      </c>
      <c r="T958">
        <f t="shared" si="213"/>
        <v>0</v>
      </c>
      <c r="U958">
        <f t="shared" si="211"/>
        <v>1</v>
      </c>
      <c r="V958">
        <f t="shared" si="214"/>
        <v>1</v>
      </c>
      <c r="W958">
        <f t="shared" si="215"/>
        <v>0</v>
      </c>
      <c r="X958">
        <f t="shared" si="224"/>
        <v>0</v>
      </c>
      <c r="Y958">
        <f t="shared" si="225"/>
        <v>0</v>
      </c>
      <c r="Z958">
        <f t="shared" si="216"/>
        <v>8</v>
      </c>
      <c r="AA958">
        <f t="shared" si="217"/>
        <v>0</v>
      </c>
      <c r="AB958">
        <f t="shared" si="218"/>
        <v>5.7142857142857144</v>
      </c>
      <c r="AC958">
        <f t="shared" si="219"/>
        <v>0</v>
      </c>
      <c r="AD958" s="1">
        <f t="shared" si="220"/>
        <v>0</v>
      </c>
      <c r="AE958">
        <f t="shared" si="221"/>
        <v>0</v>
      </c>
      <c r="AF958">
        <f t="shared" si="222"/>
        <v>0</v>
      </c>
      <c r="AG958">
        <f t="shared" si="223"/>
        <v>0</v>
      </c>
    </row>
    <row r="959" spans="1:33" x14ac:dyDescent="0.25">
      <c r="A959" t="s">
        <v>1645</v>
      </c>
      <c r="B959" t="s">
        <v>1646</v>
      </c>
      <c r="C959">
        <v>166245</v>
      </c>
      <c r="D959">
        <v>166245</v>
      </c>
      <c r="H959">
        <v>10</v>
      </c>
      <c r="I959">
        <v>40</v>
      </c>
      <c r="J959">
        <v>10</v>
      </c>
      <c r="K959">
        <v>10</v>
      </c>
      <c r="L959">
        <v>10</v>
      </c>
      <c r="M959">
        <v>80</v>
      </c>
      <c r="S959">
        <f t="shared" si="212"/>
        <v>0</v>
      </c>
      <c r="T959">
        <f t="shared" si="213"/>
        <v>6.666666666666667</v>
      </c>
      <c r="U959">
        <f t="shared" si="211"/>
        <v>1</v>
      </c>
      <c r="V959">
        <f t="shared" si="214"/>
        <v>0</v>
      </c>
      <c r="W959">
        <f t="shared" si="215"/>
        <v>1</v>
      </c>
      <c r="X959">
        <f t="shared" si="224"/>
        <v>0</v>
      </c>
      <c r="Y959">
        <f t="shared" si="225"/>
        <v>1</v>
      </c>
      <c r="Z959">
        <f t="shared" si="216"/>
        <v>0</v>
      </c>
      <c r="AA959">
        <f t="shared" si="217"/>
        <v>0</v>
      </c>
      <c r="AB959">
        <f t="shared" si="218"/>
        <v>0</v>
      </c>
      <c r="AC959">
        <f t="shared" si="219"/>
        <v>5</v>
      </c>
      <c r="AD959" s="1">
        <f t="shared" si="220"/>
        <v>6.666666666666667</v>
      </c>
      <c r="AE959">
        <f t="shared" si="221"/>
        <v>5</v>
      </c>
      <c r="AF959">
        <f t="shared" si="222"/>
        <v>10</v>
      </c>
      <c r="AG959">
        <f t="shared" si="223"/>
        <v>10</v>
      </c>
    </row>
    <row r="960" spans="1:33" x14ac:dyDescent="0.25">
      <c r="A960" t="s">
        <v>1647</v>
      </c>
      <c r="B960" t="s">
        <v>174</v>
      </c>
      <c r="C960">
        <v>168458</v>
      </c>
      <c r="D960">
        <v>168458</v>
      </c>
      <c r="E960">
        <v>40</v>
      </c>
      <c r="F960">
        <v>30</v>
      </c>
      <c r="G960">
        <v>20</v>
      </c>
      <c r="O960">
        <v>90</v>
      </c>
      <c r="S960">
        <f t="shared" si="212"/>
        <v>5.625</v>
      </c>
      <c r="T960">
        <f t="shared" si="213"/>
        <v>0</v>
      </c>
      <c r="U960">
        <f t="shared" si="211"/>
        <v>1</v>
      </c>
      <c r="V960">
        <f t="shared" si="214"/>
        <v>1</v>
      </c>
      <c r="W960">
        <f t="shared" si="215"/>
        <v>0</v>
      </c>
      <c r="X960">
        <f t="shared" si="224"/>
        <v>0</v>
      </c>
      <c r="Y960">
        <f t="shared" si="225"/>
        <v>0</v>
      </c>
      <c r="Z960">
        <f t="shared" si="216"/>
        <v>8</v>
      </c>
      <c r="AA960">
        <f t="shared" si="217"/>
        <v>7.5</v>
      </c>
      <c r="AB960">
        <f t="shared" si="218"/>
        <v>2.8571428571428572</v>
      </c>
      <c r="AC960">
        <f t="shared" si="219"/>
        <v>0</v>
      </c>
      <c r="AD960" s="1">
        <f t="shared" si="220"/>
        <v>0</v>
      </c>
      <c r="AE960">
        <f t="shared" si="221"/>
        <v>0</v>
      </c>
      <c r="AF960">
        <f t="shared" si="222"/>
        <v>0</v>
      </c>
      <c r="AG960">
        <f t="shared" si="223"/>
        <v>0</v>
      </c>
    </row>
    <row r="961" spans="1:33" x14ac:dyDescent="0.25">
      <c r="A961" t="s">
        <v>1648</v>
      </c>
      <c r="B961" t="s">
        <v>1649</v>
      </c>
      <c r="C961">
        <v>167819</v>
      </c>
      <c r="D961">
        <v>167819</v>
      </c>
      <c r="S961">
        <f t="shared" si="212"/>
        <v>0</v>
      </c>
      <c r="T961">
        <f t="shared" si="213"/>
        <v>0</v>
      </c>
      <c r="U961">
        <f t="shared" si="211"/>
        <v>0</v>
      </c>
      <c r="V961">
        <f t="shared" si="214"/>
        <v>0</v>
      </c>
      <c r="W961">
        <f t="shared" si="215"/>
        <v>0</v>
      </c>
      <c r="X961">
        <f t="shared" si="224"/>
        <v>0</v>
      </c>
      <c r="Y961">
        <f t="shared" si="225"/>
        <v>0</v>
      </c>
      <c r="Z961">
        <f t="shared" si="216"/>
        <v>0</v>
      </c>
      <c r="AA961">
        <f t="shared" si="217"/>
        <v>0</v>
      </c>
      <c r="AB961">
        <f t="shared" si="218"/>
        <v>0</v>
      </c>
      <c r="AC961">
        <f t="shared" si="219"/>
        <v>0</v>
      </c>
      <c r="AD961" s="1">
        <f t="shared" si="220"/>
        <v>0</v>
      </c>
      <c r="AE961">
        <f t="shared" si="221"/>
        <v>0</v>
      </c>
      <c r="AF961">
        <f t="shared" si="222"/>
        <v>0</v>
      </c>
      <c r="AG961">
        <f t="shared" si="223"/>
        <v>0</v>
      </c>
    </row>
    <row r="962" spans="1:33" x14ac:dyDescent="0.25">
      <c r="A962" t="s">
        <v>1650</v>
      </c>
      <c r="B962" t="s">
        <v>1651</v>
      </c>
      <c r="C962">
        <v>165876</v>
      </c>
      <c r="D962">
        <v>165876</v>
      </c>
      <c r="H962">
        <v>10</v>
      </c>
      <c r="I962">
        <v>50</v>
      </c>
      <c r="J962">
        <v>20</v>
      </c>
      <c r="K962">
        <v>10</v>
      </c>
      <c r="L962">
        <v>10</v>
      </c>
      <c r="M962">
        <v>100</v>
      </c>
      <c r="S962">
        <f t="shared" si="212"/>
        <v>0</v>
      </c>
      <c r="T962">
        <f t="shared" si="213"/>
        <v>8.3333333333333339</v>
      </c>
      <c r="U962">
        <f t="shared" ref="U962:U1025" si="226">IF(AND(E962="",F962="",G962="",H962="",I962="",J962="",K962="",L962="",M962=""),0,1)</f>
        <v>1</v>
      </c>
      <c r="V962">
        <f t="shared" si="214"/>
        <v>0</v>
      </c>
      <c r="W962">
        <f t="shared" si="215"/>
        <v>1</v>
      </c>
      <c r="X962">
        <f t="shared" si="224"/>
        <v>0</v>
      </c>
      <c r="Y962">
        <f t="shared" si="225"/>
        <v>1</v>
      </c>
      <c r="Z962">
        <f t="shared" si="216"/>
        <v>0</v>
      </c>
      <c r="AA962">
        <f t="shared" si="217"/>
        <v>0</v>
      </c>
      <c r="AB962">
        <f t="shared" si="218"/>
        <v>0</v>
      </c>
      <c r="AC962">
        <f t="shared" si="219"/>
        <v>5</v>
      </c>
      <c r="AD962" s="1">
        <f t="shared" si="220"/>
        <v>8.3333333333333339</v>
      </c>
      <c r="AE962">
        <f t="shared" si="221"/>
        <v>10</v>
      </c>
      <c r="AF962">
        <f t="shared" si="222"/>
        <v>10</v>
      </c>
      <c r="AG962">
        <f t="shared" si="223"/>
        <v>10</v>
      </c>
    </row>
    <row r="963" spans="1:33" x14ac:dyDescent="0.25">
      <c r="A963" t="s">
        <v>1652</v>
      </c>
      <c r="B963" t="s">
        <v>808</v>
      </c>
      <c r="C963">
        <v>165537</v>
      </c>
      <c r="D963">
        <v>165537</v>
      </c>
      <c r="S963">
        <f t="shared" ref="S963:S1026" si="227">O963/16</f>
        <v>0</v>
      </c>
      <c r="T963">
        <f t="shared" ref="T963:T1026" si="228">M963/12</f>
        <v>0</v>
      </c>
      <c r="U963">
        <f t="shared" si="226"/>
        <v>0</v>
      </c>
      <c r="V963">
        <f t="shared" ref="V963:V1026" si="229">IF(O963="",0,1)</f>
        <v>0</v>
      </c>
      <c r="W963">
        <f t="shared" ref="W963:W1026" si="230">IF(M963="",0,1)</f>
        <v>0</v>
      </c>
      <c r="X963">
        <f t="shared" si="224"/>
        <v>0</v>
      </c>
      <c r="Y963">
        <f t="shared" si="225"/>
        <v>0</v>
      </c>
      <c r="Z963">
        <f t="shared" ref="Z963:Z1026" si="231">E963/5</f>
        <v>0</v>
      </c>
      <c r="AA963">
        <f t="shared" ref="AA963:AA1026" si="232">F963/4</f>
        <v>0</v>
      </c>
      <c r="AB963">
        <f t="shared" ref="AB963:AB1026" si="233">G963/7</f>
        <v>0</v>
      </c>
      <c r="AC963">
        <f t="shared" ref="AC963:AC1026" si="234">H963/2</f>
        <v>0</v>
      </c>
      <c r="AD963" s="1">
        <f t="shared" ref="AD963:AD1026" si="235">I963/6</f>
        <v>0</v>
      </c>
      <c r="AE963">
        <f t="shared" ref="AE963:AE1026" si="236">J963/2</f>
        <v>0</v>
      </c>
      <c r="AF963">
        <f t="shared" ref="AF963:AF1026" si="237">K963</f>
        <v>0</v>
      </c>
      <c r="AG963">
        <f t="shared" ref="AG963:AG1026" si="238">L963</f>
        <v>0</v>
      </c>
    </row>
    <row r="964" spans="1:33" x14ac:dyDescent="0.25">
      <c r="A964" t="s">
        <v>1653</v>
      </c>
      <c r="B964" t="s">
        <v>1240</v>
      </c>
      <c r="C964">
        <v>167370</v>
      </c>
      <c r="D964">
        <v>167370</v>
      </c>
      <c r="E964">
        <v>0</v>
      </c>
      <c r="F964">
        <v>20</v>
      </c>
      <c r="G964">
        <v>30</v>
      </c>
      <c r="O964">
        <v>50</v>
      </c>
      <c r="S964">
        <f t="shared" si="227"/>
        <v>3.125</v>
      </c>
      <c r="T964">
        <f t="shared" si="228"/>
        <v>0</v>
      </c>
      <c r="U964">
        <f t="shared" si="226"/>
        <v>1</v>
      </c>
      <c r="V964">
        <f t="shared" si="229"/>
        <v>1</v>
      </c>
      <c r="W964">
        <f t="shared" si="230"/>
        <v>0</v>
      </c>
      <c r="X964">
        <f t="shared" si="224"/>
        <v>0</v>
      </c>
      <c r="Y964">
        <f t="shared" si="225"/>
        <v>0</v>
      </c>
      <c r="Z964">
        <f t="shared" si="231"/>
        <v>0</v>
      </c>
      <c r="AA964">
        <f t="shared" si="232"/>
        <v>5</v>
      </c>
      <c r="AB964">
        <f t="shared" si="233"/>
        <v>4.2857142857142856</v>
      </c>
      <c r="AC964">
        <f t="shared" si="234"/>
        <v>0</v>
      </c>
      <c r="AD964" s="1">
        <f t="shared" si="235"/>
        <v>0</v>
      </c>
      <c r="AE964">
        <f t="shared" si="236"/>
        <v>0</v>
      </c>
      <c r="AF964">
        <f t="shared" si="237"/>
        <v>0</v>
      </c>
      <c r="AG964">
        <f t="shared" si="238"/>
        <v>0</v>
      </c>
    </row>
    <row r="965" spans="1:33" x14ac:dyDescent="0.25">
      <c r="A965" t="s">
        <v>1654</v>
      </c>
      <c r="B965" t="s">
        <v>1043</v>
      </c>
      <c r="C965">
        <v>165693</v>
      </c>
      <c r="D965">
        <v>165693</v>
      </c>
      <c r="H965">
        <v>20</v>
      </c>
      <c r="I965">
        <v>50</v>
      </c>
      <c r="J965">
        <v>10</v>
      </c>
      <c r="K965">
        <v>10</v>
      </c>
      <c r="L965">
        <v>10</v>
      </c>
      <c r="M965">
        <v>100</v>
      </c>
      <c r="S965">
        <f t="shared" si="227"/>
        <v>0</v>
      </c>
      <c r="T965">
        <f t="shared" si="228"/>
        <v>8.3333333333333339</v>
      </c>
      <c r="U965">
        <f t="shared" si="226"/>
        <v>1</v>
      </c>
      <c r="V965">
        <f t="shared" si="229"/>
        <v>0</v>
      </c>
      <c r="W965">
        <f t="shared" si="230"/>
        <v>1</v>
      </c>
      <c r="X965">
        <f t="shared" ref="X965:X1028" si="239">IF(AND(V965=1,S965&gt;6),1,0)</f>
        <v>0</v>
      </c>
      <c r="Y965">
        <f t="shared" ref="Y965:Y1028" si="240">IF(AND(W965=1,T965&gt;6),1,0)</f>
        <v>1</v>
      </c>
      <c r="Z965">
        <f t="shared" si="231"/>
        <v>0</v>
      </c>
      <c r="AA965">
        <f t="shared" si="232"/>
        <v>0</v>
      </c>
      <c r="AB965">
        <f t="shared" si="233"/>
        <v>0</v>
      </c>
      <c r="AC965">
        <f t="shared" si="234"/>
        <v>10</v>
      </c>
      <c r="AD965" s="1">
        <f t="shared" si="235"/>
        <v>8.3333333333333339</v>
      </c>
      <c r="AE965">
        <f t="shared" si="236"/>
        <v>5</v>
      </c>
      <c r="AF965">
        <f t="shared" si="237"/>
        <v>10</v>
      </c>
      <c r="AG965">
        <f t="shared" si="238"/>
        <v>10</v>
      </c>
    </row>
    <row r="966" spans="1:33" x14ac:dyDescent="0.25">
      <c r="A966" t="s">
        <v>1655</v>
      </c>
      <c r="B966" t="s">
        <v>1656</v>
      </c>
      <c r="C966">
        <v>165987</v>
      </c>
      <c r="D966">
        <v>165987</v>
      </c>
      <c r="S966">
        <f t="shared" si="227"/>
        <v>0</v>
      </c>
      <c r="T966">
        <f t="shared" si="228"/>
        <v>0</v>
      </c>
      <c r="U966">
        <f t="shared" si="226"/>
        <v>0</v>
      </c>
      <c r="V966">
        <f t="shared" si="229"/>
        <v>0</v>
      </c>
      <c r="W966">
        <f t="shared" si="230"/>
        <v>0</v>
      </c>
      <c r="X966">
        <f t="shared" si="239"/>
        <v>0</v>
      </c>
      <c r="Y966">
        <f t="shared" si="240"/>
        <v>0</v>
      </c>
      <c r="Z966">
        <f t="shared" si="231"/>
        <v>0</v>
      </c>
      <c r="AA966">
        <f t="shared" si="232"/>
        <v>0</v>
      </c>
      <c r="AB966">
        <f t="shared" si="233"/>
        <v>0</v>
      </c>
      <c r="AC966">
        <f t="shared" si="234"/>
        <v>0</v>
      </c>
      <c r="AD966" s="1">
        <f t="shared" si="235"/>
        <v>0</v>
      </c>
      <c r="AE966">
        <f t="shared" si="236"/>
        <v>0</v>
      </c>
      <c r="AF966">
        <f t="shared" si="237"/>
        <v>0</v>
      </c>
      <c r="AG966">
        <f t="shared" si="238"/>
        <v>0</v>
      </c>
    </row>
    <row r="967" spans="1:33" x14ac:dyDescent="0.25">
      <c r="A967" t="s">
        <v>1657</v>
      </c>
      <c r="B967" t="s">
        <v>1658</v>
      </c>
      <c r="C967">
        <v>168664</v>
      </c>
      <c r="D967">
        <v>168664</v>
      </c>
      <c r="H967">
        <v>10</v>
      </c>
      <c r="I967">
        <v>10</v>
      </c>
      <c r="J967">
        <v>0</v>
      </c>
      <c r="K967">
        <v>10</v>
      </c>
      <c r="L967">
        <v>10</v>
      </c>
      <c r="M967">
        <v>40</v>
      </c>
      <c r="S967">
        <f t="shared" si="227"/>
        <v>0</v>
      </c>
      <c r="T967">
        <f t="shared" si="228"/>
        <v>3.3333333333333335</v>
      </c>
      <c r="U967">
        <f t="shared" si="226"/>
        <v>1</v>
      </c>
      <c r="V967">
        <f t="shared" si="229"/>
        <v>0</v>
      </c>
      <c r="W967">
        <f t="shared" si="230"/>
        <v>1</v>
      </c>
      <c r="X967">
        <f t="shared" si="239"/>
        <v>0</v>
      </c>
      <c r="Y967">
        <f t="shared" si="240"/>
        <v>0</v>
      </c>
      <c r="Z967">
        <f t="shared" si="231"/>
        <v>0</v>
      </c>
      <c r="AA967">
        <f t="shared" si="232"/>
        <v>0</v>
      </c>
      <c r="AB967">
        <f t="shared" si="233"/>
        <v>0</v>
      </c>
      <c r="AC967">
        <f t="shared" si="234"/>
        <v>5</v>
      </c>
      <c r="AD967" s="1">
        <f t="shared" si="235"/>
        <v>1.6666666666666667</v>
      </c>
      <c r="AE967">
        <f t="shared" si="236"/>
        <v>0</v>
      </c>
      <c r="AF967">
        <f t="shared" si="237"/>
        <v>10</v>
      </c>
      <c r="AG967">
        <f t="shared" si="238"/>
        <v>10</v>
      </c>
    </row>
    <row r="968" spans="1:33" x14ac:dyDescent="0.25">
      <c r="A968" t="s">
        <v>1659</v>
      </c>
      <c r="B968" t="s">
        <v>1660</v>
      </c>
      <c r="C968">
        <v>168163</v>
      </c>
      <c r="D968">
        <v>168163</v>
      </c>
      <c r="E968">
        <v>30</v>
      </c>
      <c r="F968">
        <v>10</v>
      </c>
      <c r="G968">
        <v>10</v>
      </c>
      <c r="O968">
        <v>50</v>
      </c>
      <c r="S968">
        <f t="shared" si="227"/>
        <v>3.125</v>
      </c>
      <c r="T968">
        <f t="shared" si="228"/>
        <v>0</v>
      </c>
      <c r="U968">
        <f t="shared" si="226"/>
        <v>1</v>
      </c>
      <c r="V968">
        <f t="shared" si="229"/>
        <v>1</v>
      </c>
      <c r="W968">
        <f t="shared" si="230"/>
        <v>0</v>
      </c>
      <c r="X968">
        <f t="shared" si="239"/>
        <v>0</v>
      </c>
      <c r="Y968">
        <f t="shared" si="240"/>
        <v>0</v>
      </c>
      <c r="Z968">
        <f t="shared" si="231"/>
        <v>6</v>
      </c>
      <c r="AA968">
        <f t="shared" si="232"/>
        <v>2.5</v>
      </c>
      <c r="AB968">
        <f t="shared" si="233"/>
        <v>1.4285714285714286</v>
      </c>
      <c r="AC968">
        <f t="shared" si="234"/>
        <v>0</v>
      </c>
      <c r="AD968" s="1">
        <f t="shared" si="235"/>
        <v>0</v>
      </c>
      <c r="AE968">
        <f t="shared" si="236"/>
        <v>0</v>
      </c>
      <c r="AF968">
        <f t="shared" si="237"/>
        <v>0</v>
      </c>
      <c r="AG968">
        <f t="shared" si="238"/>
        <v>0</v>
      </c>
    </row>
    <row r="969" spans="1:33" x14ac:dyDescent="0.25">
      <c r="A969" t="s">
        <v>1661</v>
      </c>
      <c r="B969" t="s">
        <v>1662</v>
      </c>
      <c r="C969">
        <v>166991</v>
      </c>
      <c r="D969">
        <v>166991</v>
      </c>
      <c r="H969">
        <v>20</v>
      </c>
      <c r="I969">
        <v>30</v>
      </c>
      <c r="J969">
        <v>10</v>
      </c>
      <c r="K969">
        <v>10</v>
      </c>
      <c r="L969">
        <v>10</v>
      </c>
      <c r="M969">
        <v>80</v>
      </c>
      <c r="S969">
        <f t="shared" si="227"/>
        <v>0</v>
      </c>
      <c r="T969">
        <f t="shared" si="228"/>
        <v>6.666666666666667</v>
      </c>
      <c r="U969">
        <f t="shared" si="226"/>
        <v>1</v>
      </c>
      <c r="V969">
        <f t="shared" si="229"/>
        <v>0</v>
      </c>
      <c r="W969">
        <f t="shared" si="230"/>
        <v>1</v>
      </c>
      <c r="X969">
        <f t="shared" si="239"/>
        <v>0</v>
      </c>
      <c r="Y969">
        <f t="shared" si="240"/>
        <v>1</v>
      </c>
      <c r="Z969">
        <f t="shared" si="231"/>
        <v>0</v>
      </c>
      <c r="AA969">
        <f t="shared" si="232"/>
        <v>0</v>
      </c>
      <c r="AB969">
        <f t="shared" si="233"/>
        <v>0</v>
      </c>
      <c r="AC969">
        <f t="shared" si="234"/>
        <v>10</v>
      </c>
      <c r="AD969" s="1">
        <f t="shared" si="235"/>
        <v>5</v>
      </c>
      <c r="AE969">
        <f t="shared" si="236"/>
        <v>5</v>
      </c>
      <c r="AF969">
        <f t="shared" si="237"/>
        <v>10</v>
      </c>
      <c r="AG969">
        <f t="shared" si="238"/>
        <v>10</v>
      </c>
    </row>
    <row r="970" spans="1:33" x14ac:dyDescent="0.25">
      <c r="A970" t="s">
        <v>1663</v>
      </c>
      <c r="B970" t="s">
        <v>1664</v>
      </c>
      <c r="C970">
        <v>166380</v>
      </c>
      <c r="D970">
        <v>166380</v>
      </c>
      <c r="E970">
        <v>40</v>
      </c>
      <c r="F970">
        <v>30</v>
      </c>
      <c r="G970">
        <v>40</v>
      </c>
      <c r="O970">
        <v>110</v>
      </c>
      <c r="S970">
        <f t="shared" si="227"/>
        <v>6.875</v>
      </c>
      <c r="T970">
        <f t="shared" si="228"/>
        <v>0</v>
      </c>
      <c r="U970">
        <f t="shared" si="226"/>
        <v>1</v>
      </c>
      <c r="V970">
        <f t="shared" si="229"/>
        <v>1</v>
      </c>
      <c r="W970">
        <f t="shared" si="230"/>
        <v>0</v>
      </c>
      <c r="X970">
        <f t="shared" si="239"/>
        <v>1</v>
      </c>
      <c r="Y970">
        <f t="shared" si="240"/>
        <v>0</v>
      </c>
      <c r="Z970">
        <f t="shared" si="231"/>
        <v>8</v>
      </c>
      <c r="AA970">
        <f t="shared" si="232"/>
        <v>7.5</v>
      </c>
      <c r="AB970">
        <f t="shared" si="233"/>
        <v>5.7142857142857144</v>
      </c>
      <c r="AC970">
        <f t="shared" si="234"/>
        <v>0</v>
      </c>
      <c r="AD970" s="1">
        <f t="shared" si="235"/>
        <v>0</v>
      </c>
      <c r="AE970">
        <f t="shared" si="236"/>
        <v>0</v>
      </c>
      <c r="AF970">
        <f t="shared" si="237"/>
        <v>0</v>
      </c>
      <c r="AG970">
        <f t="shared" si="238"/>
        <v>0</v>
      </c>
    </row>
    <row r="971" spans="1:33" x14ac:dyDescent="0.25">
      <c r="A971" t="s">
        <v>1665</v>
      </c>
      <c r="B971" t="s">
        <v>1075</v>
      </c>
      <c r="C971">
        <v>166031</v>
      </c>
      <c r="D971">
        <v>166031</v>
      </c>
      <c r="E971">
        <v>0</v>
      </c>
      <c r="F971">
        <v>20</v>
      </c>
      <c r="O971">
        <v>20</v>
      </c>
      <c r="S971">
        <f t="shared" si="227"/>
        <v>1.25</v>
      </c>
      <c r="T971">
        <f t="shared" si="228"/>
        <v>0</v>
      </c>
      <c r="U971">
        <f t="shared" si="226"/>
        <v>1</v>
      </c>
      <c r="V971">
        <f t="shared" si="229"/>
        <v>1</v>
      </c>
      <c r="W971">
        <f t="shared" si="230"/>
        <v>0</v>
      </c>
      <c r="X971">
        <f t="shared" si="239"/>
        <v>0</v>
      </c>
      <c r="Y971">
        <f t="shared" si="240"/>
        <v>0</v>
      </c>
      <c r="Z971">
        <f t="shared" si="231"/>
        <v>0</v>
      </c>
      <c r="AA971">
        <f t="shared" si="232"/>
        <v>5</v>
      </c>
      <c r="AB971">
        <f t="shared" si="233"/>
        <v>0</v>
      </c>
      <c r="AC971">
        <f t="shared" si="234"/>
        <v>0</v>
      </c>
      <c r="AD971" s="1">
        <f t="shared" si="235"/>
        <v>0</v>
      </c>
      <c r="AE971">
        <f t="shared" si="236"/>
        <v>0</v>
      </c>
      <c r="AF971">
        <f t="shared" si="237"/>
        <v>0</v>
      </c>
      <c r="AG971">
        <f t="shared" si="238"/>
        <v>0</v>
      </c>
    </row>
    <row r="972" spans="1:33" x14ac:dyDescent="0.25">
      <c r="A972" t="s">
        <v>1666</v>
      </c>
      <c r="B972" t="s">
        <v>890</v>
      </c>
      <c r="C972">
        <v>168104</v>
      </c>
      <c r="D972">
        <v>168104</v>
      </c>
      <c r="E972">
        <v>50</v>
      </c>
      <c r="F972">
        <v>30</v>
      </c>
      <c r="G972">
        <v>40</v>
      </c>
      <c r="O972">
        <v>120</v>
      </c>
      <c r="S972">
        <f t="shared" si="227"/>
        <v>7.5</v>
      </c>
      <c r="T972">
        <f t="shared" si="228"/>
        <v>0</v>
      </c>
      <c r="U972">
        <f t="shared" si="226"/>
        <v>1</v>
      </c>
      <c r="V972">
        <f t="shared" si="229"/>
        <v>1</v>
      </c>
      <c r="W972">
        <f t="shared" si="230"/>
        <v>0</v>
      </c>
      <c r="X972">
        <f t="shared" si="239"/>
        <v>1</v>
      </c>
      <c r="Y972">
        <f t="shared" si="240"/>
        <v>0</v>
      </c>
      <c r="Z972">
        <f t="shared" si="231"/>
        <v>10</v>
      </c>
      <c r="AA972">
        <f t="shared" si="232"/>
        <v>7.5</v>
      </c>
      <c r="AB972">
        <f t="shared" si="233"/>
        <v>5.7142857142857144</v>
      </c>
      <c r="AC972">
        <f t="shared" si="234"/>
        <v>0</v>
      </c>
      <c r="AD972" s="1">
        <f t="shared" si="235"/>
        <v>0</v>
      </c>
      <c r="AE972">
        <f t="shared" si="236"/>
        <v>0</v>
      </c>
      <c r="AF972">
        <f t="shared" si="237"/>
        <v>0</v>
      </c>
      <c r="AG972">
        <f t="shared" si="238"/>
        <v>0</v>
      </c>
    </row>
    <row r="973" spans="1:33" x14ac:dyDescent="0.25">
      <c r="A973" t="s">
        <v>1667</v>
      </c>
      <c r="B973" t="s">
        <v>495</v>
      </c>
      <c r="C973">
        <v>164626</v>
      </c>
      <c r="D973">
        <v>164626</v>
      </c>
      <c r="S973">
        <f t="shared" si="227"/>
        <v>0</v>
      </c>
      <c r="T973">
        <f t="shared" si="228"/>
        <v>0</v>
      </c>
      <c r="U973">
        <f t="shared" si="226"/>
        <v>0</v>
      </c>
      <c r="V973">
        <f t="shared" si="229"/>
        <v>0</v>
      </c>
      <c r="W973">
        <f t="shared" si="230"/>
        <v>0</v>
      </c>
      <c r="X973">
        <f t="shared" si="239"/>
        <v>0</v>
      </c>
      <c r="Y973">
        <f t="shared" si="240"/>
        <v>0</v>
      </c>
      <c r="Z973">
        <f t="shared" si="231"/>
        <v>0</v>
      </c>
      <c r="AA973">
        <f t="shared" si="232"/>
        <v>0</v>
      </c>
      <c r="AB973">
        <f t="shared" si="233"/>
        <v>0</v>
      </c>
      <c r="AC973">
        <f t="shared" si="234"/>
        <v>0</v>
      </c>
      <c r="AD973" s="1">
        <f t="shared" si="235"/>
        <v>0</v>
      </c>
      <c r="AE973">
        <f t="shared" si="236"/>
        <v>0</v>
      </c>
      <c r="AF973">
        <f t="shared" si="237"/>
        <v>0</v>
      </c>
      <c r="AG973">
        <f t="shared" si="238"/>
        <v>0</v>
      </c>
    </row>
    <row r="974" spans="1:33" x14ac:dyDescent="0.25">
      <c r="A974" t="s">
        <v>1668</v>
      </c>
      <c r="B974" t="s">
        <v>1669</v>
      </c>
      <c r="C974">
        <v>168406</v>
      </c>
      <c r="D974">
        <v>168406</v>
      </c>
      <c r="H974">
        <v>20</v>
      </c>
      <c r="I974">
        <v>40</v>
      </c>
      <c r="J974">
        <v>20</v>
      </c>
      <c r="K974">
        <v>10</v>
      </c>
      <c r="L974">
        <v>0</v>
      </c>
      <c r="M974">
        <v>90</v>
      </c>
      <c r="S974">
        <f t="shared" si="227"/>
        <v>0</v>
      </c>
      <c r="T974">
        <f t="shared" si="228"/>
        <v>7.5</v>
      </c>
      <c r="U974">
        <f t="shared" si="226"/>
        <v>1</v>
      </c>
      <c r="V974">
        <f t="shared" si="229"/>
        <v>0</v>
      </c>
      <c r="W974">
        <f t="shared" si="230"/>
        <v>1</v>
      </c>
      <c r="X974">
        <f t="shared" si="239"/>
        <v>0</v>
      </c>
      <c r="Y974">
        <f t="shared" si="240"/>
        <v>1</v>
      </c>
      <c r="Z974">
        <f t="shared" si="231"/>
        <v>0</v>
      </c>
      <c r="AA974">
        <f t="shared" si="232"/>
        <v>0</v>
      </c>
      <c r="AB974">
        <f t="shared" si="233"/>
        <v>0</v>
      </c>
      <c r="AC974">
        <f t="shared" si="234"/>
        <v>10</v>
      </c>
      <c r="AD974" s="1">
        <f t="shared" si="235"/>
        <v>6.666666666666667</v>
      </c>
      <c r="AE974">
        <f t="shared" si="236"/>
        <v>10</v>
      </c>
      <c r="AF974">
        <f t="shared" si="237"/>
        <v>10</v>
      </c>
      <c r="AG974">
        <f t="shared" si="238"/>
        <v>0</v>
      </c>
    </row>
    <row r="975" spans="1:33" x14ac:dyDescent="0.25">
      <c r="A975" t="s">
        <v>1670</v>
      </c>
      <c r="B975" t="s">
        <v>1671</v>
      </c>
      <c r="C975">
        <v>166279</v>
      </c>
      <c r="D975">
        <v>166279</v>
      </c>
      <c r="H975">
        <v>20</v>
      </c>
      <c r="I975">
        <v>40</v>
      </c>
      <c r="J975">
        <v>0</v>
      </c>
      <c r="K975">
        <v>10</v>
      </c>
      <c r="L975">
        <v>0</v>
      </c>
      <c r="M975">
        <v>70</v>
      </c>
      <c r="S975">
        <f t="shared" si="227"/>
        <v>0</v>
      </c>
      <c r="T975">
        <f t="shared" si="228"/>
        <v>5.833333333333333</v>
      </c>
      <c r="U975">
        <f t="shared" si="226"/>
        <v>1</v>
      </c>
      <c r="V975">
        <f t="shared" si="229"/>
        <v>0</v>
      </c>
      <c r="W975">
        <f t="shared" si="230"/>
        <v>1</v>
      </c>
      <c r="X975">
        <f t="shared" si="239"/>
        <v>0</v>
      </c>
      <c r="Y975">
        <f t="shared" si="240"/>
        <v>0</v>
      </c>
      <c r="Z975">
        <f t="shared" si="231"/>
        <v>0</v>
      </c>
      <c r="AA975">
        <f t="shared" si="232"/>
        <v>0</v>
      </c>
      <c r="AB975">
        <f t="shared" si="233"/>
        <v>0</v>
      </c>
      <c r="AC975">
        <f t="shared" si="234"/>
        <v>10</v>
      </c>
      <c r="AD975" s="1">
        <f t="shared" si="235"/>
        <v>6.666666666666667</v>
      </c>
      <c r="AE975">
        <f t="shared" si="236"/>
        <v>0</v>
      </c>
      <c r="AF975">
        <f t="shared" si="237"/>
        <v>10</v>
      </c>
      <c r="AG975">
        <f t="shared" si="238"/>
        <v>0</v>
      </c>
    </row>
    <row r="976" spans="1:33" x14ac:dyDescent="0.25">
      <c r="A976" t="s">
        <v>1672</v>
      </c>
      <c r="B976" t="s">
        <v>1673</v>
      </c>
      <c r="C976">
        <v>168161</v>
      </c>
      <c r="D976">
        <v>168161</v>
      </c>
      <c r="H976">
        <v>0</v>
      </c>
      <c r="I976">
        <v>40</v>
      </c>
      <c r="J976">
        <v>10</v>
      </c>
      <c r="K976">
        <v>0</v>
      </c>
      <c r="L976">
        <v>0</v>
      </c>
      <c r="M976">
        <v>50</v>
      </c>
      <c r="S976">
        <f t="shared" si="227"/>
        <v>0</v>
      </c>
      <c r="T976">
        <f t="shared" si="228"/>
        <v>4.166666666666667</v>
      </c>
      <c r="U976">
        <f t="shared" si="226"/>
        <v>1</v>
      </c>
      <c r="V976">
        <f t="shared" si="229"/>
        <v>0</v>
      </c>
      <c r="W976">
        <f t="shared" si="230"/>
        <v>1</v>
      </c>
      <c r="X976">
        <f t="shared" si="239"/>
        <v>0</v>
      </c>
      <c r="Y976">
        <f t="shared" si="240"/>
        <v>0</v>
      </c>
      <c r="Z976">
        <f t="shared" si="231"/>
        <v>0</v>
      </c>
      <c r="AA976">
        <f t="shared" si="232"/>
        <v>0</v>
      </c>
      <c r="AB976">
        <f t="shared" si="233"/>
        <v>0</v>
      </c>
      <c r="AC976">
        <f t="shared" si="234"/>
        <v>0</v>
      </c>
      <c r="AD976" s="1">
        <f t="shared" si="235"/>
        <v>6.666666666666667</v>
      </c>
      <c r="AE976">
        <f t="shared" si="236"/>
        <v>5</v>
      </c>
      <c r="AF976">
        <f t="shared" si="237"/>
        <v>0</v>
      </c>
      <c r="AG976">
        <f t="shared" si="238"/>
        <v>0</v>
      </c>
    </row>
    <row r="977" spans="1:33" x14ac:dyDescent="0.25">
      <c r="A977" t="s">
        <v>1674</v>
      </c>
      <c r="B977" t="s">
        <v>1675</v>
      </c>
      <c r="C977">
        <v>166851</v>
      </c>
      <c r="D977">
        <v>166851</v>
      </c>
      <c r="H977">
        <v>20</v>
      </c>
      <c r="I977">
        <v>30</v>
      </c>
      <c r="J977">
        <v>10</v>
      </c>
      <c r="K977">
        <v>10</v>
      </c>
      <c r="L977">
        <v>0</v>
      </c>
      <c r="M977">
        <v>70</v>
      </c>
      <c r="S977">
        <f t="shared" si="227"/>
        <v>0</v>
      </c>
      <c r="T977">
        <f t="shared" si="228"/>
        <v>5.833333333333333</v>
      </c>
      <c r="U977">
        <f t="shared" si="226"/>
        <v>1</v>
      </c>
      <c r="V977">
        <f t="shared" si="229"/>
        <v>0</v>
      </c>
      <c r="W977">
        <f t="shared" si="230"/>
        <v>1</v>
      </c>
      <c r="X977">
        <f t="shared" si="239"/>
        <v>0</v>
      </c>
      <c r="Y977">
        <f t="shared" si="240"/>
        <v>0</v>
      </c>
      <c r="Z977">
        <f t="shared" si="231"/>
        <v>0</v>
      </c>
      <c r="AA977">
        <f t="shared" si="232"/>
        <v>0</v>
      </c>
      <c r="AB977">
        <f t="shared" si="233"/>
        <v>0</v>
      </c>
      <c r="AC977">
        <f t="shared" si="234"/>
        <v>10</v>
      </c>
      <c r="AD977" s="1">
        <f t="shared" si="235"/>
        <v>5</v>
      </c>
      <c r="AE977">
        <f t="shared" si="236"/>
        <v>5</v>
      </c>
      <c r="AF977">
        <f t="shared" si="237"/>
        <v>10</v>
      </c>
      <c r="AG977">
        <f t="shared" si="238"/>
        <v>0</v>
      </c>
    </row>
    <row r="978" spans="1:33" x14ac:dyDescent="0.25">
      <c r="A978" t="s">
        <v>1676</v>
      </c>
      <c r="B978" t="s">
        <v>1677</v>
      </c>
      <c r="C978">
        <v>165351</v>
      </c>
      <c r="D978">
        <v>165351</v>
      </c>
      <c r="H978">
        <v>10</v>
      </c>
      <c r="I978">
        <v>50</v>
      </c>
      <c r="J978">
        <v>10</v>
      </c>
      <c r="K978">
        <v>10</v>
      </c>
      <c r="L978">
        <v>10</v>
      </c>
      <c r="M978">
        <v>90</v>
      </c>
      <c r="S978">
        <f t="shared" si="227"/>
        <v>0</v>
      </c>
      <c r="T978">
        <f t="shared" si="228"/>
        <v>7.5</v>
      </c>
      <c r="U978">
        <f t="shared" si="226"/>
        <v>1</v>
      </c>
      <c r="V978">
        <f t="shared" si="229"/>
        <v>0</v>
      </c>
      <c r="W978">
        <f t="shared" si="230"/>
        <v>1</v>
      </c>
      <c r="X978">
        <f t="shared" si="239"/>
        <v>0</v>
      </c>
      <c r="Y978">
        <f t="shared" si="240"/>
        <v>1</v>
      </c>
      <c r="Z978">
        <f t="shared" si="231"/>
        <v>0</v>
      </c>
      <c r="AA978">
        <f t="shared" si="232"/>
        <v>0</v>
      </c>
      <c r="AB978">
        <f t="shared" si="233"/>
        <v>0</v>
      </c>
      <c r="AC978">
        <f t="shared" si="234"/>
        <v>5</v>
      </c>
      <c r="AD978" s="1">
        <f t="shared" si="235"/>
        <v>8.3333333333333339</v>
      </c>
      <c r="AE978">
        <f t="shared" si="236"/>
        <v>5</v>
      </c>
      <c r="AF978">
        <f t="shared" si="237"/>
        <v>10</v>
      </c>
      <c r="AG978">
        <f t="shared" si="238"/>
        <v>10</v>
      </c>
    </row>
    <row r="979" spans="1:33" x14ac:dyDescent="0.25">
      <c r="A979" t="s">
        <v>1678</v>
      </c>
      <c r="B979" t="s">
        <v>455</v>
      </c>
      <c r="C979">
        <v>166576</v>
      </c>
      <c r="D979">
        <v>166576</v>
      </c>
      <c r="E979">
        <v>0</v>
      </c>
      <c r="F979">
        <v>20</v>
      </c>
      <c r="G979">
        <v>10</v>
      </c>
      <c r="O979">
        <v>30</v>
      </c>
      <c r="S979">
        <f t="shared" si="227"/>
        <v>1.875</v>
      </c>
      <c r="T979">
        <f t="shared" si="228"/>
        <v>0</v>
      </c>
      <c r="U979">
        <f t="shared" si="226"/>
        <v>1</v>
      </c>
      <c r="V979">
        <f t="shared" si="229"/>
        <v>1</v>
      </c>
      <c r="W979">
        <f t="shared" si="230"/>
        <v>0</v>
      </c>
      <c r="X979">
        <f t="shared" si="239"/>
        <v>0</v>
      </c>
      <c r="Y979">
        <f t="shared" si="240"/>
        <v>0</v>
      </c>
      <c r="Z979">
        <f t="shared" si="231"/>
        <v>0</v>
      </c>
      <c r="AA979">
        <f t="shared" si="232"/>
        <v>5</v>
      </c>
      <c r="AB979">
        <f t="shared" si="233"/>
        <v>1.4285714285714286</v>
      </c>
      <c r="AC979">
        <f t="shared" si="234"/>
        <v>0</v>
      </c>
      <c r="AD979" s="1">
        <f t="shared" si="235"/>
        <v>0</v>
      </c>
      <c r="AE979">
        <f t="shared" si="236"/>
        <v>0</v>
      </c>
      <c r="AF979">
        <f t="shared" si="237"/>
        <v>0</v>
      </c>
      <c r="AG979">
        <f t="shared" si="238"/>
        <v>0</v>
      </c>
    </row>
    <row r="980" spans="1:33" x14ac:dyDescent="0.25">
      <c r="A980" t="s">
        <v>1679</v>
      </c>
      <c r="B980" t="s">
        <v>1680</v>
      </c>
      <c r="C980">
        <v>168493</v>
      </c>
      <c r="D980">
        <v>168493</v>
      </c>
      <c r="H980">
        <v>10</v>
      </c>
      <c r="I980">
        <v>40</v>
      </c>
      <c r="J980">
        <v>10</v>
      </c>
      <c r="K980">
        <v>10</v>
      </c>
      <c r="L980">
        <v>0</v>
      </c>
      <c r="M980">
        <v>70</v>
      </c>
      <c r="S980">
        <f t="shared" si="227"/>
        <v>0</v>
      </c>
      <c r="T980">
        <f t="shared" si="228"/>
        <v>5.833333333333333</v>
      </c>
      <c r="U980">
        <f t="shared" si="226"/>
        <v>1</v>
      </c>
      <c r="V980">
        <f t="shared" si="229"/>
        <v>0</v>
      </c>
      <c r="W980">
        <f t="shared" si="230"/>
        <v>1</v>
      </c>
      <c r="X980">
        <f t="shared" si="239"/>
        <v>0</v>
      </c>
      <c r="Y980">
        <f t="shared" si="240"/>
        <v>0</v>
      </c>
      <c r="Z980">
        <f t="shared" si="231"/>
        <v>0</v>
      </c>
      <c r="AA980">
        <f t="shared" si="232"/>
        <v>0</v>
      </c>
      <c r="AB980">
        <f t="shared" si="233"/>
        <v>0</v>
      </c>
      <c r="AC980">
        <f t="shared" si="234"/>
        <v>5</v>
      </c>
      <c r="AD980" s="1">
        <f t="shared" si="235"/>
        <v>6.666666666666667</v>
      </c>
      <c r="AE980">
        <f t="shared" si="236"/>
        <v>5</v>
      </c>
      <c r="AF980">
        <f t="shared" si="237"/>
        <v>10</v>
      </c>
      <c r="AG980">
        <f t="shared" si="238"/>
        <v>0</v>
      </c>
    </row>
    <row r="981" spans="1:33" x14ac:dyDescent="0.25">
      <c r="A981" t="s">
        <v>1681</v>
      </c>
      <c r="B981" t="s">
        <v>352</v>
      </c>
      <c r="C981">
        <v>167635</v>
      </c>
      <c r="D981">
        <v>167635</v>
      </c>
      <c r="H981">
        <v>10</v>
      </c>
      <c r="I981">
        <v>30</v>
      </c>
      <c r="J981">
        <v>20</v>
      </c>
      <c r="K981">
        <v>0</v>
      </c>
      <c r="L981">
        <v>10</v>
      </c>
      <c r="M981">
        <v>70</v>
      </c>
      <c r="S981">
        <f t="shared" si="227"/>
        <v>0</v>
      </c>
      <c r="T981">
        <f t="shared" si="228"/>
        <v>5.833333333333333</v>
      </c>
      <c r="U981">
        <f t="shared" si="226"/>
        <v>1</v>
      </c>
      <c r="V981">
        <f t="shared" si="229"/>
        <v>0</v>
      </c>
      <c r="W981">
        <f t="shared" si="230"/>
        <v>1</v>
      </c>
      <c r="X981">
        <f t="shared" si="239"/>
        <v>0</v>
      </c>
      <c r="Y981">
        <f t="shared" si="240"/>
        <v>0</v>
      </c>
      <c r="Z981">
        <f t="shared" si="231"/>
        <v>0</v>
      </c>
      <c r="AA981">
        <f t="shared" si="232"/>
        <v>0</v>
      </c>
      <c r="AB981">
        <f t="shared" si="233"/>
        <v>0</v>
      </c>
      <c r="AC981">
        <f t="shared" si="234"/>
        <v>5</v>
      </c>
      <c r="AD981" s="1">
        <f t="shared" si="235"/>
        <v>5</v>
      </c>
      <c r="AE981">
        <f t="shared" si="236"/>
        <v>10</v>
      </c>
      <c r="AF981">
        <f t="shared" si="237"/>
        <v>0</v>
      </c>
      <c r="AG981">
        <f t="shared" si="238"/>
        <v>10</v>
      </c>
    </row>
    <row r="982" spans="1:33" x14ac:dyDescent="0.25">
      <c r="A982" t="s">
        <v>1682</v>
      </c>
      <c r="B982" t="s">
        <v>1683</v>
      </c>
      <c r="C982">
        <v>166318</v>
      </c>
      <c r="D982">
        <v>166318</v>
      </c>
      <c r="E982">
        <v>40</v>
      </c>
      <c r="F982">
        <v>30</v>
      </c>
      <c r="G982">
        <v>30</v>
      </c>
      <c r="O982">
        <v>100</v>
      </c>
      <c r="S982">
        <f t="shared" si="227"/>
        <v>6.25</v>
      </c>
      <c r="T982">
        <f t="shared" si="228"/>
        <v>0</v>
      </c>
      <c r="U982">
        <f t="shared" si="226"/>
        <v>1</v>
      </c>
      <c r="V982">
        <f t="shared" si="229"/>
        <v>1</v>
      </c>
      <c r="W982">
        <f t="shared" si="230"/>
        <v>0</v>
      </c>
      <c r="X982">
        <f t="shared" si="239"/>
        <v>1</v>
      </c>
      <c r="Y982">
        <f t="shared" si="240"/>
        <v>0</v>
      </c>
      <c r="Z982">
        <f t="shared" si="231"/>
        <v>8</v>
      </c>
      <c r="AA982">
        <f t="shared" si="232"/>
        <v>7.5</v>
      </c>
      <c r="AB982">
        <f t="shared" si="233"/>
        <v>4.2857142857142856</v>
      </c>
      <c r="AC982">
        <f t="shared" si="234"/>
        <v>0</v>
      </c>
      <c r="AD982" s="1">
        <f t="shared" si="235"/>
        <v>0</v>
      </c>
      <c r="AE982">
        <f t="shared" si="236"/>
        <v>0</v>
      </c>
      <c r="AF982">
        <f t="shared" si="237"/>
        <v>0</v>
      </c>
      <c r="AG982">
        <f t="shared" si="238"/>
        <v>0</v>
      </c>
    </row>
    <row r="983" spans="1:33" x14ac:dyDescent="0.25">
      <c r="A983" t="s">
        <v>1684</v>
      </c>
      <c r="B983" t="s">
        <v>1043</v>
      </c>
      <c r="C983">
        <v>168496</v>
      </c>
      <c r="D983">
        <v>168496</v>
      </c>
      <c r="H983">
        <v>10</v>
      </c>
      <c r="I983">
        <v>50</v>
      </c>
      <c r="J983">
        <v>20</v>
      </c>
      <c r="K983">
        <v>10</v>
      </c>
      <c r="L983">
        <v>0</v>
      </c>
      <c r="M983">
        <v>90</v>
      </c>
      <c r="S983">
        <f t="shared" si="227"/>
        <v>0</v>
      </c>
      <c r="T983">
        <f t="shared" si="228"/>
        <v>7.5</v>
      </c>
      <c r="U983">
        <f t="shared" si="226"/>
        <v>1</v>
      </c>
      <c r="V983">
        <f t="shared" si="229"/>
        <v>0</v>
      </c>
      <c r="W983">
        <f t="shared" si="230"/>
        <v>1</v>
      </c>
      <c r="X983">
        <f t="shared" si="239"/>
        <v>0</v>
      </c>
      <c r="Y983">
        <f t="shared" si="240"/>
        <v>1</v>
      </c>
      <c r="Z983">
        <f t="shared" si="231"/>
        <v>0</v>
      </c>
      <c r="AA983">
        <f t="shared" si="232"/>
        <v>0</v>
      </c>
      <c r="AB983">
        <f t="shared" si="233"/>
        <v>0</v>
      </c>
      <c r="AC983">
        <f t="shared" si="234"/>
        <v>5</v>
      </c>
      <c r="AD983" s="1">
        <f t="shared" si="235"/>
        <v>8.3333333333333339</v>
      </c>
      <c r="AE983">
        <f t="shared" si="236"/>
        <v>10</v>
      </c>
      <c r="AF983">
        <f t="shared" si="237"/>
        <v>10</v>
      </c>
      <c r="AG983">
        <f t="shared" si="238"/>
        <v>0</v>
      </c>
    </row>
    <row r="984" spans="1:33" x14ac:dyDescent="0.25">
      <c r="A984" t="s">
        <v>1685</v>
      </c>
      <c r="B984" t="s">
        <v>1686</v>
      </c>
      <c r="C984">
        <v>166957</v>
      </c>
      <c r="D984">
        <v>166957</v>
      </c>
      <c r="H984">
        <v>10</v>
      </c>
      <c r="I984">
        <v>10</v>
      </c>
      <c r="J984">
        <v>10</v>
      </c>
      <c r="K984">
        <v>0</v>
      </c>
      <c r="L984">
        <v>10</v>
      </c>
      <c r="M984">
        <v>40</v>
      </c>
      <c r="S984">
        <f t="shared" si="227"/>
        <v>0</v>
      </c>
      <c r="T984">
        <f t="shared" si="228"/>
        <v>3.3333333333333335</v>
      </c>
      <c r="U984">
        <f t="shared" si="226"/>
        <v>1</v>
      </c>
      <c r="V984">
        <f t="shared" si="229"/>
        <v>0</v>
      </c>
      <c r="W984">
        <f t="shared" si="230"/>
        <v>1</v>
      </c>
      <c r="X984">
        <f t="shared" si="239"/>
        <v>0</v>
      </c>
      <c r="Y984">
        <f t="shared" si="240"/>
        <v>0</v>
      </c>
      <c r="Z984">
        <f t="shared" si="231"/>
        <v>0</v>
      </c>
      <c r="AA984">
        <f t="shared" si="232"/>
        <v>0</v>
      </c>
      <c r="AB984">
        <f t="shared" si="233"/>
        <v>0</v>
      </c>
      <c r="AC984">
        <f t="shared" si="234"/>
        <v>5</v>
      </c>
      <c r="AD984" s="1">
        <f t="shared" si="235"/>
        <v>1.6666666666666667</v>
      </c>
      <c r="AE984">
        <f t="shared" si="236"/>
        <v>5</v>
      </c>
      <c r="AF984">
        <f t="shared" si="237"/>
        <v>0</v>
      </c>
      <c r="AG984">
        <f t="shared" si="238"/>
        <v>10</v>
      </c>
    </row>
    <row r="985" spans="1:33" x14ac:dyDescent="0.25">
      <c r="A985" t="s">
        <v>1687</v>
      </c>
      <c r="B985" t="s">
        <v>1688</v>
      </c>
      <c r="C985">
        <v>166351</v>
      </c>
      <c r="D985">
        <v>166351</v>
      </c>
      <c r="E985">
        <v>50</v>
      </c>
      <c r="F985">
        <v>30</v>
      </c>
      <c r="G985">
        <v>30</v>
      </c>
      <c r="O985">
        <v>110</v>
      </c>
      <c r="S985">
        <f t="shared" si="227"/>
        <v>6.875</v>
      </c>
      <c r="T985">
        <f t="shared" si="228"/>
        <v>0</v>
      </c>
      <c r="U985">
        <f t="shared" si="226"/>
        <v>1</v>
      </c>
      <c r="V985">
        <f t="shared" si="229"/>
        <v>1</v>
      </c>
      <c r="W985">
        <f t="shared" si="230"/>
        <v>0</v>
      </c>
      <c r="X985">
        <f t="shared" si="239"/>
        <v>1</v>
      </c>
      <c r="Y985">
        <f t="shared" si="240"/>
        <v>0</v>
      </c>
      <c r="Z985">
        <f t="shared" si="231"/>
        <v>10</v>
      </c>
      <c r="AA985">
        <f t="shared" si="232"/>
        <v>7.5</v>
      </c>
      <c r="AB985">
        <f t="shared" si="233"/>
        <v>4.2857142857142856</v>
      </c>
      <c r="AC985">
        <f t="shared" si="234"/>
        <v>0</v>
      </c>
      <c r="AD985" s="1">
        <f t="shared" si="235"/>
        <v>0</v>
      </c>
      <c r="AE985">
        <f t="shared" si="236"/>
        <v>0</v>
      </c>
      <c r="AF985">
        <f t="shared" si="237"/>
        <v>0</v>
      </c>
      <c r="AG985">
        <f t="shared" si="238"/>
        <v>0</v>
      </c>
    </row>
    <row r="986" spans="1:33" x14ac:dyDescent="0.25">
      <c r="A986" t="s">
        <v>1689</v>
      </c>
      <c r="B986" t="s">
        <v>1690</v>
      </c>
      <c r="C986">
        <v>167843</v>
      </c>
      <c r="D986">
        <v>167843</v>
      </c>
      <c r="E986">
        <v>50</v>
      </c>
      <c r="F986">
        <v>40</v>
      </c>
      <c r="G986">
        <v>40</v>
      </c>
      <c r="O986">
        <v>130</v>
      </c>
      <c r="S986">
        <f t="shared" si="227"/>
        <v>8.125</v>
      </c>
      <c r="T986">
        <f t="shared" si="228"/>
        <v>0</v>
      </c>
      <c r="U986">
        <f t="shared" si="226"/>
        <v>1</v>
      </c>
      <c r="V986">
        <f t="shared" si="229"/>
        <v>1</v>
      </c>
      <c r="W986">
        <f t="shared" si="230"/>
        <v>0</v>
      </c>
      <c r="X986">
        <f t="shared" si="239"/>
        <v>1</v>
      </c>
      <c r="Y986">
        <f t="shared" si="240"/>
        <v>0</v>
      </c>
      <c r="Z986">
        <f t="shared" si="231"/>
        <v>10</v>
      </c>
      <c r="AA986">
        <f t="shared" si="232"/>
        <v>10</v>
      </c>
      <c r="AB986">
        <f t="shared" si="233"/>
        <v>5.7142857142857144</v>
      </c>
      <c r="AC986">
        <f t="shared" si="234"/>
        <v>0</v>
      </c>
      <c r="AD986" s="1">
        <f t="shared" si="235"/>
        <v>0</v>
      </c>
      <c r="AE986">
        <f t="shared" si="236"/>
        <v>0</v>
      </c>
      <c r="AF986">
        <f t="shared" si="237"/>
        <v>0</v>
      </c>
      <c r="AG986">
        <f t="shared" si="238"/>
        <v>0</v>
      </c>
    </row>
    <row r="987" spans="1:33" x14ac:dyDescent="0.25">
      <c r="A987" t="s">
        <v>1691</v>
      </c>
      <c r="B987" t="s">
        <v>1692</v>
      </c>
      <c r="C987">
        <v>168324</v>
      </c>
      <c r="D987">
        <v>168324</v>
      </c>
      <c r="E987">
        <v>30</v>
      </c>
      <c r="F987">
        <v>0</v>
      </c>
      <c r="G987">
        <v>20</v>
      </c>
      <c r="O987">
        <v>50</v>
      </c>
      <c r="S987">
        <f t="shared" si="227"/>
        <v>3.125</v>
      </c>
      <c r="T987">
        <f t="shared" si="228"/>
        <v>0</v>
      </c>
      <c r="U987">
        <f t="shared" si="226"/>
        <v>1</v>
      </c>
      <c r="V987">
        <f t="shared" si="229"/>
        <v>1</v>
      </c>
      <c r="W987">
        <f t="shared" si="230"/>
        <v>0</v>
      </c>
      <c r="X987">
        <f t="shared" si="239"/>
        <v>0</v>
      </c>
      <c r="Y987">
        <f t="shared" si="240"/>
        <v>0</v>
      </c>
      <c r="Z987">
        <f t="shared" si="231"/>
        <v>6</v>
      </c>
      <c r="AA987">
        <f t="shared" si="232"/>
        <v>0</v>
      </c>
      <c r="AB987">
        <f t="shared" si="233"/>
        <v>2.8571428571428572</v>
      </c>
      <c r="AC987">
        <f t="shared" si="234"/>
        <v>0</v>
      </c>
      <c r="AD987" s="1">
        <f t="shared" si="235"/>
        <v>0</v>
      </c>
      <c r="AE987">
        <f t="shared" si="236"/>
        <v>0</v>
      </c>
      <c r="AF987">
        <f t="shared" si="237"/>
        <v>0</v>
      </c>
      <c r="AG987">
        <f t="shared" si="238"/>
        <v>0</v>
      </c>
    </row>
    <row r="988" spans="1:33" x14ac:dyDescent="0.25">
      <c r="A988" t="s">
        <v>1693</v>
      </c>
      <c r="B988" t="s">
        <v>1694</v>
      </c>
      <c r="C988">
        <v>165355</v>
      </c>
      <c r="D988">
        <v>165355</v>
      </c>
      <c r="H988">
        <v>0</v>
      </c>
      <c r="I988">
        <v>10</v>
      </c>
      <c r="J988">
        <v>20</v>
      </c>
      <c r="K988">
        <v>10</v>
      </c>
      <c r="L988">
        <v>0</v>
      </c>
      <c r="M988">
        <v>40</v>
      </c>
      <c r="S988">
        <f t="shared" si="227"/>
        <v>0</v>
      </c>
      <c r="T988">
        <f t="shared" si="228"/>
        <v>3.3333333333333335</v>
      </c>
      <c r="U988">
        <f t="shared" si="226"/>
        <v>1</v>
      </c>
      <c r="V988">
        <f t="shared" si="229"/>
        <v>0</v>
      </c>
      <c r="W988">
        <f t="shared" si="230"/>
        <v>1</v>
      </c>
      <c r="X988">
        <f t="shared" si="239"/>
        <v>0</v>
      </c>
      <c r="Y988">
        <f t="shared" si="240"/>
        <v>0</v>
      </c>
      <c r="Z988">
        <f t="shared" si="231"/>
        <v>0</v>
      </c>
      <c r="AA988">
        <f t="shared" si="232"/>
        <v>0</v>
      </c>
      <c r="AB988">
        <f t="shared" si="233"/>
        <v>0</v>
      </c>
      <c r="AC988">
        <f t="shared" si="234"/>
        <v>0</v>
      </c>
      <c r="AD988" s="1">
        <f t="shared" si="235"/>
        <v>1.6666666666666667</v>
      </c>
      <c r="AE988">
        <f t="shared" si="236"/>
        <v>10</v>
      </c>
      <c r="AF988">
        <f t="shared" si="237"/>
        <v>10</v>
      </c>
      <c r="AG988">
        <f t="shared" si="238"/>
        <v>0</v>
      </c>
    </row>
    <row r="989" spans="1:33" x14ac:dyDescent="0.25">
      <c r="A989" t="s">
        <v>1693</v>
      </c>
      <c r="B989" t="s">
        <v>1695</v>
      </c>
      <c r="C989">
        <v>167204</v>
      </c>
      <c r="D989">
        <v>167204</v>
      </c>
      <c r="E989">
        <v>30</v>
      </c>
      <c r="F989">
        <v>10</v>
      </c>
      <c r="G989">
        <v>30</v>
      </c>
      <c r="O989">
        <v>70</v>
      </c>
      <c r="S989">
        <f t="shared" si="227"/>
        <v>4.375</v>
      </c>
      <c r="T989">
        <f t="shared" si="228"/>
        <v>0</v>
      </c>
      <c r="U989">
        <f t="shared" si="226"/>
        <v>1</v>
      </c>
      <c r="V989">
        <f t="shared" si="229"/>
        <v>1</v>
      </c>
      <c r="W989">
        <f t="shared" si="230"/>
        <v>0</v>
      </c>
      <c r="X989">
        <f t="shared" si="239"/>
        <v>0</v>
      </c>
      <c r="Y989">
        <f t="shared" si="240"/>
        <v>0</v>
      </c>
      <c r="Z989">
        <f t="shared" si="231"/>
        <v>6</v>
      </c>
      <c r="AA989">
        <f t="shared" si="232"/>
        <v>2.5</v>
      </c>
      <c r="AB989">
        <f t="shared" si="233"/>
        <v>4.2857142857142856</v>
      </c>
      <c r="AC989">
        <f t="shared" si="234"/>
        <v>0</v>
      </c>
      <c r="AD989" s="1">
        <f t="shared" si="235"/>
        <v>0</v>
      </c>
      <c r="AE989">
        <f t="shared" si="236"/>
        <v>0</v>
      </c>
      <c r="AF989">
        <f t="shared" si="237"/>
        <v>0</v>
      </c>
      <c r="AG989">
        <f t="shared" si="238"/>
        <v>0</v>
      </c>
    </row>
    <row r="990" spans="1:33" x14ac:dyDescent="0.25">
      <c r="A990" t="s">
        <v>1696</v>
      </c>
      <c r="B990" t="s">
        <v>24</v>
      </c>
      <c r="C990">
        <v>165394</v>
      </c>
      <c r="D990">
        <v>165394</v>
      </c>
      <c r="E990">
        <v>40</v>
      </c>
      <c r="F990">
        <v>40</v>
      </c>
      <c r="G990">
        <v>30</v>
      </c>
      <c r="O990">
        <v>110</v>
      </c>
      <c r="R990" t="s">
        <v>20</v>
      </c>
      <c r="S990">
        <f t="shared" si="227"/>
        <v>6.875</v>
      </c>
      <c r="T990">
        <f t="shared" si="228"/>
        <v>0</v>
      </c>
      <c r="U990">
        <f t="shared" si="226"/>
        <v>1</v>
      </c>
      <c r="V990">
        <f t="shared" si="229"/>
        <v>1</v>
      </c>
      <c r="W990">
        <f t="shared" si="230"/>
        <v>0</v>
      </c>
      <c r="X990">
        <f t="shared" si="239"/>
        <v>1</v>
      </c>
      <c r="Y990">
        <f t="shared" si="240"/>
        <v>0</v>
      </c>
      <c r="Z990">
        <f t="shared" si="231"/>
        <v>8</v>
      </c>
      <c r="AA990">
        <f t="shared" si="232"/>
        <v>10</v>
      </c>
      <c r="AB990">
        <f t="shared" si="233"/>
        <v>4.2857142857142856</v>
      </c>
      <c r="AC990">
        <f t="shared" si="234"/>
        <v>0</v>
      </c>
      <c r="AD990" s="1">
        <f t="shared" si="235"/>
        <v>0</v>
      </c>
      <c r="AE990">
        <f t="shared" si="236"/>
        <v>0</v>
      </c>
      <c r="AF990">
        <f t="shared" si="237"/>
        <v>0</v>
      </c>
      <c r="AG990">
        <f t="shared" si="238"/>
        <v>0</v>
      </c>
    </row>
    <row r="991" spans="1:33" x14ac:dyDescent="0.25">
      <c r="A991" t="s">
        <v>1697</v>
      </c>
      <c r="B991" t="s">
        <v>768</v>
      </c>
      <c r="C991">
        <v>166186</v>
      </c>
      <c r="D991">
        <v>166186</v>
      </c>
      <c r="H991">
        <v>20</v>
      </c>
      <c r="I991">
        <v>30</v>
      </c>
      <c r="J991">
        <v>20</v>
      </c>
      <c r="K991">
        <v>0</v>
      </c>
      <c r="L991">
        <v>10</v>
      </c>
      <c r="M991">
        <v>80</v>
      </c>
      <c r="S991">
        <f t="shared" si="227"/>
        <v>0</v>
      </c>
      <c r="T991">
        <f t="shared" si="228"/>
        <v>6.666666666666667</v>
      </c>
      <c r="U991">
        <f t="shared" si="226"/>
        <v>1</v>
      </c>
      <c r="V991">
        <f t="shared" si="229"/>
        <v>0</v>
      </c>
      <c r="W991">
        <f t="shared" si="230"/>
        <v>1</v>
      </c>
      <c r="X991">
        <f t="shared" si="239"/>
        <v>0</v>
      </c>
      <c r="Y991">
        <f t="shared" si="240"/>
        <v>1</v>
      </c>
      <c r="Z991">
        <f t="shared" si="231"/>
        <v>0</v>
      </c>
      <c r="AA991">
        <f t="shared" si="232"/>
        <v>0</v>
      </c>
      <c r="AB991">
        <f t="shared" si="233"/>
        <v>0</v>
      </c>
      <c r="AC991">
        <f t="shared" si="234"/>
        <v>10</v>
      </c>
      <c r="AD991" s="1">
        <f t="shared" si="235"/>
        <v>5</v>
      </c>
      <c r="AE991">
        <f t="shared" si="236"/>
        <v>10</v>
      </c>
      <c r="AF991">
        <f t="shared" si="237"/>
        <v>0</v>
      </c>
      <c r="AG991">
        <f t="shared" si="238"/>
        <v>10</v>
      </c>
    </row>
    <row r="992" spans="1:33" x14ac:dyDescent="0.25">
      <c r="A992" t="s">
        <v>1698</v>
      </c>
      <c r="B992" t="s">
        <v>1699</v>
      </c>
      <c r="C992">
        <v>167211</v>
      </c>
      <c r="D992">
        <v>167211</v>
      </c>
      <c r="H992">
        <v>10</v>
      </c>
      <c r="I992">
        <v>30</v>
      </c>
      <c r="J992">
        <v>10</v>
      </c>
      <c r="K992">
        <v>10</v>
      </c>
      <c r="L992">
        <v>10</v>
      </c>
      <c r="M992">
        <v>70</v>
      </c>
      <c r="S992">
        <f t="shared" si="227"/>
        <v>0</v>
      </c>
      <c r="T992">
        <f t="shared" si="228"/>
        <v>5.833333333333333</v>
      </c>
      <c r="U992">
        <f t="shared" si="226"/>
        <v>1</v>
      </c>
      <c r="V992">
        <f t="shared" si="229"/>
        <v>0</v>
      </c>
      <c r="W992">
        <f t="shared" si="230"/>
        <v>1</v>
      </c>
      <c r="X992">
        <f t="shared" si="239"/>
        <v>0</v>
      </c>
      <c r="Y992">
        <f t="shared" si="240"/>
        <v>0</v>
      </c>
      <c r="Z992">
        <f t="shared" si="231"/>
        <v>0</v>
      </c>
      <c r="AA992">
        <f t="shared" si="232"/>
        <v>0</v>
      </c>
      <c r="AB992">
        <f t="shared" si="233"/>
        <v>0</v>
      </c>
      <c r="AC992">
        <f t="shared" si="234"/>
        <v>5</v>
      </c>
      <c r="AD992" s="1">
        <f t="shared" si="235"/>
        <v>5</v>
      </c>
      <c r="AE992">
        <f t="shared" si="236"/>
        <v>5</v>
      </c>
      <c r="AF992">
        <f t="shared" si="237"/>
        <v>10</v>
      </c>
      <c r="AG992">
        <f t="shared" si="238"/>
        <v>10</v>
      </c>
    </row>
    <row r="993" spans="1:33" x14ac:dyDescent="0.25">
      <c r="A993" t="s">
        <v>1700</v>
      </c>
      <c r="B993" t="s">
        <v>1701</v>
      </c>
      <c r="C993">
        <v>168223</v>
      </c>
      <c r="D993">
        <v>168223</v>
      </c>
      <c r="H993">
        <v>0</v>
      </c>
      <c r="I993">
        <v>20</v>
      </c>
      <c r="J993">
        <v>0</v>
      </c>
      <c r="K993">
        <v>0</v>
      </c>
      <c r="L993">
        <v>0</v>
      </c>
      <c r="M993">
        <v>20</v>
      </c>
      <c r="S993">
        <f t="shared" si="227"/>
        <v>0</v>
      </c>
      <c r="T993">
        <f t="shared" si="228"/>
        <v>1.6666666666666667</v>
      </c>
      <c r="U993">
        <f t="shared" si="226"/>
        <v>1</v>
      </c>
      <c r="V993">
        <f t="shared" si="229"/>
        <v>0</v>
      </c>
      <c r="W993">
        <f t="shared" si="230"/>
        <v>1</v>
      </c>
      <c r="X993">
        <f t="shared" si="239"/>
        <v>0</v>
      </c>
      <c r="Y993">
        <f t="shared" si="240"/>
        <v>0</v>
      </c>
      <c r="Z993">
        <f t="shared" si="231"/>
        <v>0</v>
      </c>
      <c r="AA993">
        <f t="shared" si="232"/>
        <v>0</v>
      </c>
      <c r="AB993">
        <f t="shared" si="233"/>
        <v>0</v>
      </c>
      <c r="AC993">
        <f t="shared" si="234"/>
        <v>0</v>
      </c>
      <c r="AD993" s="1">
        <f t="shared" si="235"/>
        <v>3.3333333333333335</v>
      </c>
      <c r="AE993">
        <f t="shared" si="236"/>
        <v>0</v>
      </c>
      <c r="AF993">
        <f t="shared" si="237"/>
        <v>0</v>
      </c>
      <c r="AG993">
        <f t="shared" si="238"/>
        <v>0</v>
      </c>
    </row>
    <row r="994" spans="1:33" x14ac:dyDescent="0.25">
      <c r="A994" t="s">
        <v>1702</v>
      </c>
      <c r="B994" t="s">
        <v>1703</v>
      </c>
      <c r="C994">
        <v>151533</v>
      </c>
      <c r="D994">
        <v>151533</v>
      </c>
      <c r="H994">
        <v>20</v>
      </c>
      <c r="I994">
        <v>50</v>
      </c>
      <c r="J994">
        <v>20</v>
      </c>
      <c r="K994">
        <v>10</v>
      </c>
      <c r="L994">
        <v>10</v>
      </c>
      <c r="M994">
        <v>110</v>
      </c>
      <c r="S994">
        <f t="shared" si="227"/>
        <v>0</v>
      </c>
      <c r="T994">
        <f t="shared" si="228"/>
        <v>9.1666666666666661</v>
      </c>
      <c r="U994">
        <f t="shared" si="226"/>
        <v>1</v>
      </c>
      <c r="V994">
        <f t="shared" si="229"/>
        <v>0</v>
      </c>
      <c r="W994">
        <f t="shared" si="230"/>
        <v>1</v>
      </c>
      <c r="X994">
        <f t="shared" si="239"/>
        <v>0</v>
      </c>
      <c r="Y994">
        <f t="shared" si="240"/>
        <v>1</v>
      </c>
      <c r="Z994">
        <f t="shared" si="231"/>
        <v>0</v>
      </c>
      <c r="AA994">
        <f t="shared" si="232"/>
        <v>0</v>
      </c>
      <c r="AB994">
        <f t="shared" si="233"/>
        <v>0</v>
      </c>
      <c r="AC994">
        <f t="shared" si="234"/>
        <v>10</v>
      </c>
      <c r="AD994" s="1">
        <f t="shared" si="235"/>
        <v>8.3333333333333339</v>
      </c>
      <c r="AE994">
        <f t="shared" si="236"/>
        <v>10</v>
      </c>
      <c r="AF994">
        <f t="shared" si="237"/>
        <v>10</v>
      </c>
      <c r="AG994">
        <f t="shared" si="238"/>
        <v>10</v>
      </c>
    </row>
    <row r="995" spans="1:33" x14ac:dyDescent="0.25">
      <c r="A995" t="s">
        <v>1704</v>
      </c>
      <c r="B995" t="s">
        <v>1705</v>
      </c>
      <c r="C995">
        <v>165318</v>
      </c>
      <c r="D995">
        <v>165318</v>
      </c>
      <c r="E995">
        <v>40</v>
      </c>
      <c r="F995">
        <v>40</v>
      </c>
      <c r="G995">
        <v>40</v>
      </c>
      <c r="O995">
        <v>120</v>
      </c>
      <c r="S995">
        <f t="shared" si="227"/>
        <v>7.5</v>
      </c>
      <c r="T995">
        <f t="shared" si="228"/>
        <v>0</v>
      </c>
      <c r="U995">
        <f t="shared" si="226"/>
        <v>1</v>
      </c>
      <c r="V995">
        <f t="shared" si="229"/>
        <v>1</v>
      </c>
      <c r="W995">
        <f t="shared" si="230"/>
        <v>0</v>
      </c>
      <c r="X995">
        <f t="shared" si="239"/>
        <v>1</v>
      </c>
      <c r="Y995">
        <f t="shared" si="240"/>
        <v>0</v>
      </c>
      <c r="Z995">
        <f t="shared" si="231"/>
        <v>8</v>
      </c>
      <c r="AA995">
        <f t="shared" si="232"/>
        <v>10</v>
      </c>
      <c r="AB995">
        <f t="shared" si="233"/>
        <v>5.7142857142857144</v>
      </c>
      <c r="AC995">
        <f t="shared" si="234"/>
        <v>0</v>
      </c>
      <c r="AD995" s="1">
        <f t="shared" si="235"/>
        <v>0</v>
      </c>
      <c r="AE995">
        <f t="shared" si="236"/>
        <v>0</v>
      </c>
      <c r="AF995">
        <f t="shared" si="237"/>
        <v>0</v>
      </c>
      <c r="AG995">
        <f t="shared" si="238"/>
        <v>0</v>
      </c>
    </row>
    <row r="996" spans="1:33" x14ac:dyDescent="0.25">
      <c r="A996" t="s">
        <v>1706</v>
      </c>
      <c r="B996" t="s">
        <v>1707</v>
      </c>
      <c r="C996">
        <v>167463</v>
      </c>
      <c r="D996">
        <v>167463</v>
      </c>
      <c r="H996">
        <v>20</v>
      </c>
      <c r="I996">
        <v>50</v>
      </c>
      <c r="J996">
        <v>20</v>
      </c>
      <c r="K996">
        <v>10</v>
      </c>
      <c r="L996">
        <v>10</v>
      </c>
      <c r="M996">
        <v>110</v>
      </c>
      <c r="S996">
        <f t="shared" si="227"/>
        <v>0</v>
      </c>
      <c r="T996">
        <f t="shared" si="228"/>
        <v>9.1666666666666661</v>
      </c>
      <c r="U996">
        <f t="shared" si="226"/>
        <v>1</v>
      </c>
      <c r="V996">
        <f t="shared" si="229"/>
        <v>0</v>
      </c>
      <c r="W996">
        <f t="shared" si="230"/>
        <v>1</v>
      </c>
      <c r="X996">
        <f t="shared" si="239"/>
        <v>0</v>
      </c>
      <c r="Y996">
        <f t="shared" si="240"/>
        <v>1</v>
      </c>
      <c r="Z996">
        <f t="shared" si="231"/>
        <v>0</v>
      </c>
      <c r="AA996">
        <f t="shared" si="232"/>
        <v>0</v>
      </c>
      <c r="AB996">
        <f t="shared" si="233"/>
        <v>0</v>
      </c>
      <c r="AC996">
        <f t="shared" si="234"/>
        <v>10</v>
      </c>
      <c r="AD996" s="1">
        <f t="shared" si="235"/>
        <v>8.3333333333333339</v>
      </c>
      <c r="AE996">
        <f t="shared" si="236"/>
        <v>10</v>
      </c>
      <c r="AF996">
        <f t="shared" si="237"/>
        <v>10</v>
      </c>
      <c r="AG996">
        <f t="shared" si="238"/>
        <v>10</v>
      </c>
    </row>
    <row r="997" spans="1:33" x14ac:dyDescent="0.25">
      <c r="A997" t="s">
        <v>1708</v>
      </c>
      <c r="B997" t="s">
        <v>1709</v>
      </c>
      <c r="C997">
        <v>165035</v>
      </c>
      <c r="D997">
        <v>165035</v>
      </c>
      <c r="H997">
        <v>20</v>
      </c>
      <c r="I997">
        <v>30</v>
      </c>
      <c r="J997">
        <v>10</v>
      </c>
      <c r="K997">
        <v>0</v>
      </c>
      <c r="L997">
        <v>0</v>
      </c>
      <c r="M997">
        <v>60</v>
      </c>
      <c r="S997">
        <f t="shared" si="227"/>
        <v>0</v>
      </c>
      <c r="T997">
        <f t="shared" si="228"/>
        <v>5</v>
      </c>
      <c r="U997">
        <f t="shared" si="226"/>
        <v>1</v>
      </c>
      <c r="V997">
        <f t="shared" si="229"/>
        <v>0</v>
      </c>
      <c r="W997">
        <f t="shared" si="230"/>
        <v>1</v>
      </c>
      <c r="X997">
        <f t="shared" si="239"/>
        <v>0</v>
      </c>
      <c r="Y997">
        <f t="shared" si="240"/>
        <v>0</v>
      </c>
      <c r="Z997">
        <f t="shared" si="231"/>
        <v>0</v>
      </c>
      <c r="AA997">
        <f t="shared" si="232"/>
        <v>0</v>
      </c>
      <c r="AB997">
        <f t="shared" si="233"/>
        <v>0</v>
      </c>
      <c r="AC997">
        <f t="shared" si="234"/>
        <v>10</v>
      </c>
      <c r="AD997" s="1">
        <f t="shared" si="235"/>
        <v>5</v>
      </c>
      <c r="AE997">
        <f t="shared" si="236"/>
        <v>5</v>
      </c>
      <c r="AF997">
        <f t="shared" si="237"/>
        <v>0</v>
      </c>
      <c r="AG997">
        <f t="shared" si="238"/>
        <v>0</v>
      </c>
    </row>
    <row r="998" spans="1:33" x14ac:dyDescent="0.25">
      <c r="A998" t="s">
        <v>1710</v>
      </c>
      <c r="B998" t="s">
        <v>577</v>
      </c>
      <c r="C998">
        <v>168650</v>
      </c>
      <c r="D998">
        <v>168650</v>
      </c>
      <c r="S998">
        <f t="shared" si="227"/>
        <v>0</v>
      </c>
      <c r="T998">
        <f t="shared" si="228"/>
        <v>0</v>
      </c>
      <c r="U998">
        <f t="shared" si="226"/>
        <v>0</v>
      </c>
      <c r="V998">
        <f t="shared" si="229"/>
        <v>0</v>
      </c>
      <c r="W998">
        <f t="shared" si="230"/>
        <v>0</v>
      </c>
      <c r="X998">
        <f t="shared" si="239"/>
        <v>0</v>
      </c>
      <c r="Y998">
        <f t="shared" si="240"/>
        <v>0</v>
      </c>
      <c r="Z998">
        <f t="shared" si="231"/>
        <v>0</v>
      </c>
      <c r="AA998">
        <f t="shared" si="232"/>
        <v>0</v>
      </c>
      <c r="AB998">
        <f t="shared" si="233"/>
        <v>0</v>
      </c>
      <c r="AC998">
        <f t="shared" si="234"/>
        <v>0</v>
      </c>
      <c r="AD998" s="1">
        <f t="shared" si="235"/>
        <v>0</v>
      </c>
      <c r="AE998">
        <f t="shared" si="236"/>
        <v>0</v>
      </c>
      <c r="AF998">
        <f t="shared" si="237"/>
        <v>0</v>
      </c>
      <c r="AG998">
        <f t="shared" si="238"/>
        <v>0</v>
      </c>
    </row>
    <row r="999" spans="1:33" x14ac:dyDescent="0.25">
      <c r="A999" t="s">
        <v>1711</v>
      </c>
      <c r="B999" t="s">
        <v>168</v>
      </c>
      <c r="C999">
        <v>168883</v>
      </c>
      <c r="D999">
        <v>168883</v>
      </c>
      <c r="E999">
        <v>20</v>
      </c>
      <c r="F999">
        <v>30</v>
      </c>
      <c r="G999">
        <v>20</v>
      </c>
      <c r="O999">
        <v>70</v>
      </c>
      <c r="S999">
        <f t="shared" si="227"/>
        <v>4.375</v>
      </c>
      <c r="T999">
        <f t="shared" si="228"/>
        <v>0</v>
      </c>
      <c r="U999">
        <f t="shared" si="226"/>
        <v>1</v>
      </c>
      <c r="V999">
        <f t="shared" si="229"/>
        <v>1</v>
      </c>
      <c r="W999">
        <f t="shared" si="230"/>
        <v>0</v>
      </c>
      <c r="X999">
        <f t="shared" si="239"/>
        <v>0</v>
      </c>
      <c r="Y999">
        <f t="shared" si="240"/>
        <v>0</v>
      </c>
      <c r="Z999">
        <f t="shared" si="231"/>
        <v>4</v>
      </c>
      <c r="AA999">
        <f t="shared" si="232"/>
        <v>7.5</v>
      </c>
      <c r="AB999">
        <f t="shared" si="233"/>
        <v>2.8571428571428572</v>
      </c>
      <c r="AC999">
        <f t="shared" si="234"/>
        <v>0</v>
      </c>
      <c r="AD999" s="1">
        <f t="shared" si="235"/>
        <v>0</v>
      </c>
      <c r="AE999">
        <f t="shared" si="236"/>
        <v>0</v>
      </c>
      <c r="AF999">
        <f t="shared" si="237"/>
        <v>0</v>
      </c>
      <c r="AG999">
        <f t="shared" si="238"/>
        <v>0</v>
      </c>
    </row>
    <row r="1000" spans="1:33" x14ac:dyDescent="0.25">
      <c r="A1000" t="s">
        <v>1711</v>
      </c>
      <c r="B1000" t="s">
        <v>498</v>
      </c>
      <c r="C1000">
        <v>167712</v>
      </c>
      <c r="D1000">
        <v>167712</v>
      </c>
      <c r="H1000">
        <v>10</v>
      </c>
      <c r="I1000">
        <v>50</v>
      </c>
      <c r="J1000">
        <v>20</v>
      </c>
      <c r="K1000">
        <v>10</v>
      </c>
      <c r="L1000">
        <v>0</v>
      </c>
      <c r="M1000">
        <v>90</v>
      </c>
      <c r="S1000">
        <f t="shared" si="227"/>
        <v>0</v>
      </c>
      <c r="T1000">
        <f t="shared" si="228"/>
        <v>7.5</v>
      </c>
      <c r="U1000">
        <f t="shared" si="226"/>
        <v>1</v>
      </c>
      <c r="V1000">
        <f t="shared" si="229"/>
        <v>0</v>
      </c>
      <c r="W1000">
        <f t="shared" si="230"/>
        <v>1</v>
      </c>
      <c r="X1000">
        <f t="shared" si="239"/>
        <v>0</v>
      </c>
      <c r="Y1000">
        <f t="shared" si="240"/>
        <v>1</v>
      </c>
      <c r="Z1000">
        <f t="shared" si="231"/>
        <v>0</v>
      </c>
      <c r="AA1000">
        <f t="shared" si="232"/>
        <v>0</v>
      </c>
      <c r="AB1000">
        <f t="shared" si="233"/>
        <v>0</v>
      </c>
      <c r="AC1000">
        <f t="shared" si="234"/>
        <v>5</v>
      </c>
      <c r="AD1000" s="1">
        <f t="shared" si="235"/>
        <v>8.3333333333333339</v>
      </c>
      <c r="AE1000">
        <f t="shared" si="236"/>
        <v>10</v>
      </c>
      <c r="AF1000">
        <f t="shared" si="237"/>
        <v>10</v>
      </c>
      <c r="AG1000">
        <f t="shared" si="238"/>
        <v>0</v>
      </c>
    </row>
    <row r="1001" spans="1:33" x14ac:dyDescent="0.25">
      <c r="A1001" t="s">
        <v>1712</v>
      </c>
      <c r="B1001" t="s">
        <v>1713</v>
      </c>
      <c r="C1001">
        <v>167665</v>
      </c>
      <c r="D1001">
        <v>167665</v>
      </c>
      <c r="H1001">
        <v>10</v>
      </c>
      <c r="I1001">
        <v>30</v>
      </c>
      <c r="J1001">
        <v>10</v>
      </c>
      <c r="K1001">
        <v>0</v>
      </c>
      <c r="L1001">
        <v>0</v>
      </c>
      <c r="M1001">
        <v>50</v>
      </c>
      <c r="S1001">
        <f t="shared" si="227"/>
        <v>0</v>
      </c>
      <c r="T1001">
        <f t="shared" si="228"/>
        <v>4.166666666666667</v>
      </c>
      <c r="U1001">
        <f t="shared" si="226"/>
        <v>1</v>
      </c>
      <c r="V1001">
        <f t="shared" si="229"/>
        <v>0</v>
      </c>
      <c r="W1001">
        <f t="shared" si="230"/>
        <v>1</v>
      </c>
      <c r="X1001">
        <f t="shared" si="239"/>
        <v>0</v>
      </c>
      <c r="Y1001">
        <f t="shared" si="240"/>
        <v>0</v>
      </c>
      <c r="Z1001">
        <f t="shared" si="231"/>
        <v>0</v>
      </c>
      <c r="AA1001">
        <f t="shared" si="232"/>
        <v>0</v>
      </c>
      <c r="AB1001">
        <f t="shared" si="233"/>
        <v>0</v>
      </c>
      <c r="AC1001">
        <f t="shared" si="234"/>
        <v>5</v>
      </c>
      <c r="AD1001" s="1">
        <f t="shared" si="235"/>
        <v>5</v>
      </c>
      <c r="AE1001">
        <f t="shared" si="236"/>
        <v>5</v>
      </c>
      <c r="AF1001">
        <f t="shared" si="237"/>
        <v>0</v>
      </c>
      <c r="AG1001">
        <f t="shared" si="238"/>
        <v>0</v>
      </c>
    </row>
    <row r="1002" spans="1:33" x14ac:dyDescent="0.25">
      <c r="A1002" t="s">
        <v>1714</v>
      </c>
      <c r="B1002" t="s">
        <v>495</v>
      </c>
      <c r="C1002">
        <v>168103</v>
      </c>
      <c r="D1002">
        <v>168103</v>
      </c>
      <c r="H1002">
        <v>0</v>
      </c>
      <c r="I1002">
        <v>30</v>
      </c>
      <c r="J1002">
        <v>10</v>
      </c>
      <c r="K1002">
        <v>0</v>
      </c>
      <c r="L1002">
        <v>0</v>
      </c>
      <c r="M1002">
        <v>40</v>
      </c>
      <c r="R1002" t="s">
        <v>20</v>
      </c>
      <c r="S1002">
        <f t="shared" si="227"/>
        <v>0</v>
      </c>
      <c r="T1002">
        <f t="shared" si="228"/>
        <v>3.3333333333333335</v>
      </c>
      <c r="U1002">
        <f t="shared" si="226"/>
        <v>1</v>
      </c>
      <c r="V1002">
        <f t="shared" si="229"/>
        <v>0</v>
      </c>
      <c r="W1002">
        <f t="shared" si="230"/>
        <v>1</v>
      </c>
      <c r="X1002">
        <f t="shared" si="239"/>
        <v>0</v>
      </c>
      <c r="Y1002">
        <f t="shared" si="240"/>
        <v>0</v>
      </c>
      <c r="Z1002">
        <f t="shared" si="231"/>
        <v>0</v>
      </c>
      <c r="AA1002">
        <f t="shared" si="232"/>
        <v>0</v>
      </c>
      <c r="AB1002">
        <f t="shared" si="233"/>
        <v>0</v>
      </c>
      <c r="AC1002">
        <f t="shared" si="234"/>
        <v>0</v>
      </c>
      <c r="AD1002" s="1">
        <f t="shared" si="235"/>
        <v>5</v>
      </c>
      <c r="AE1002">
        <f t="shared" si="236"/>
        <v>5</v>
      </c>
      <c r="AF1002">
        <f t="shared" si="237"/>
        <v>0</v>
      </c>
      <c r="AG1002">
        <f t="shared" si="238"/>
        <v>0</v>
      </c>
    </row>
    <row r="1003" spans="1:33" x14ac:dyDescent="0.25">
      <c r="A1003" t="s">
        <v>1715</v>
      </c>
      <c r="B1003" t="s">
        <v>1716</v>
      </c>
      <c r="C1003">
        <v>167338</v>
      </c>
      <c r="D1003">
        <v>167338</v>
      </c>
      <c r="E1003">
        <v>10</v>
      </c>
      <c r="F1003">
        <v>20</v>
      </c>
      <c r="G1003">
        <v>40</v>
      </c>
      <c r="O1003">
        <v>70</v>
      </c>
      <c r="S1003">
        <f t="shared" si="227"/>
        <v>4.375</v>
      </c>
      <c r="T1003">
        <f t="shared" si="228"/>
        <v>0</v>
      </c>
      <c r="U1003">
        <f t="shared" si="226"/>
        <v>1</v>
      </c>
      <c r="V1003">
        <f t="shared" si="229"/>
        <v>1</v>
      </c>
      <c r="W1003">
        <f t="shared" si="230"/>
        <v>0</v>
      </c>
      <c r="X1003">
        <f t="shared" si="239"/>
        <v>0</v>
      </c>
      <c r="Y1003">
        <f t="shared" si="240"/>
        <v>0</v>
      </c>
      <c r="Z1003">
        <f t="shared" si="231"/>
        <v>2</v>
      </c>
      <c r="AA1003">
        <f t="shared" si="232"/>
        <v>5</v>
      </c>
      <c r="AB1003">
        <f t="shared" si="233"/>
        <v>5.7142857142857144</v>
      </c>
      <c r="AC1003">
        <f t="shared" si="234"/>
        <v>0</v>
      </c>
      <c r="AD1003" s="1">
        <f t="shared" si="235"/>
        <v>0</v>
      </c>
      <c r="AE1003">
        <f t="shared" si="236"/>
        <v>0</v>
      </c>
      <c r="AF1003">
        <f t="shared" si="237"/>
        <v>0</v>
      </c>
      <c r="AG1003">
        <f t="shared" si="238"/>
        <v>0</v>
      </c>
    </row>
    <row r="1004" spans="1:33" x14ac:dyDescent="0.25">
      <c r="A1004" t="s">
        <v>1717</v>
      </c>
      <c r="B1004" t="s">
        <v>1219</v>
      </c>
      <c r="C1004">
        <v>164039</v>
      </c>
      <c r="D1004">
        <v>164039</v>
      </c>
      <c r="E1004">
        <v>20</v>
      </c>
      <c r="F1004">
        <v>40</v>
      </c>
      <c r="G1004">
        <v>30</v>
      </c>
      <c r="O1004">
        <v>90</v>
      </c>
      <c r="S1004">
        <f t="shared" si="227"/>
        <v>5.625</v>
      </c>
      <c r="T1004">
        <f t="shared" si="228"/>
        <v>0</v>
      </c>
      <c r="U1004">
        <f t="shared" si="226"/>
        <v>1</v>
      </c>
      <c r="V1004">
        <f t="shared" si="229"/>
        <v>1</v>
      </c>
      <c r="W1004">
        <f t="shared" si="230"/>
        <v>0</v>
      </c>
      <c r="X1004">
        <f t="shared" si="239"/>
        <v>0</v>
      </c>
      <c r="Y1004">
        <f t="shared" si="240"/>
        <v>0</v>
      </c>
      <c r="Z1004">
        <f t="shared" si="231"/>
        <v>4</v>
      </c>
      <c r="AA1004">
        <f t="shared" si="232"/>
        <v>10</v>
      </c>
      <c r="AB1004">
        <f t="shared" si="233"/>
        <v>4.2857142857142856</v>
      </c>
      <c r="AC1004">
        <f t="shared" si="234"/>
        <v>0</v>
      </c>
      <c r="AD1004" s="1">
        <f t="shared" si="235"/>
        <v>0</v>
      </c>
      <c r="AE1004">
        <f t="shared" si="236"/>
        <v>0</v>
      </c>
      <c r="AF1004">
        <f t="shared" si="237"/>
        <v>0</v>
      </c>
      <c r="AG1004">
        <f t="shared" si="238"/>
        <v>0</v>
      </c>
    </row>
    <row r="1005" spans="1:33" x14ac:dyDescent="0.25">
      <c r="A1005" t="s">
        <v>1718</v>
      </c>
      <c r="B1005" t="s">
        <v>1719</v>
      </c>
      <c r="C1005">
        <v>165770</v>
      </c>
      <c r="D1005">
        <v>165770</v>
      </c>
      <c r="E1005">
        <v>20</v>
      </c>
      <c r="F1005">
        <v>30</v>
      </c>
      <c r="G1005">
        <v>20</v>
      </c>
      <c r="O1005">
        <v>70</v>
      </c>
      <c r="S1005">
        <f t="shared" si="227"/>
        <v>4.375</v>
      </c>
      <c r="T1005">
        <f t="shared" si="228"/>
        <v>0</v>
      </c>
      <c r="U1005">
        <f t="shared" si="226"/>
        <v>1</v>
      </c>
      <c r="V1005">
        <f t="shared" si="229"/>
        <v>1</v>
      </c>
      <c r="W1005">
        <f t="shared" si="230"/>
        <v>0</v>
      </c>
      <c r="X1005">
        <f t="shared" si="239"/>
        <v>0</v>
      </c>
      <c r="Y1005">
        <f t="shared" si="240"/>
        <v>0</v>
      </c>
      <c r="Z1005">
        <f t="shared" si="231"/>
        <v>4</v>
      </c>
      <c r="AA1005">
        <f t="shared" si="232"/>
        <v>7.5</v>
      </c>
      <c r="AB1005">
        <f t="shared" si="233"/>
        <v>2.8571428571428572</v>
      </c>
      <c r="AC1005">
        <f t="shared" si="234"/>
        <v>0</v>
      </c>
      <c r="AD1005" s="1">
        <f t="shared" si="235"/>
        <v>0</v>
      </c>
      <c r="AE1005">
        <f t="shared" si="236"/>
        <v>0</v>
      </c>
      <c r="AF1005">
        <f t="shared" si="237"/>
        <v>0</v>
      </c>
      <c r="AG1005">
        <f t="shared" si="238"/>
        <v>0</v>
      </c>
    </row>
    <row r="1006" spans="1:33" x14ac:dyDescent="0.25">
      <c r="A1006" t="s">
        <v>1720</v>
      </c>
      <c r="B1006" t="s">
        <v>1721</v>
      </c>
      <c r="C1006">
        <v>164691</v>
      </c>
      <c r="D1006">
        <v>164691</v>
      </c>
      <c r="N1006" t="s">
        <v>549</v>
      </c>
      <c r="S1006">
        <f t="shared" si="227"/>
        <v>0</v>
      </c>
      <c r="T1006">
        <f t="shared" si="228"/>
        <v>0</v>
      </c>
      <c r="U1006">
        <f t="shared" si="226"/>
        <v>0</v>
      </c>
      <c r="V1006">
        <f t="shared" si="229"/>
        <v>0</v>
      </c>
      <c r="W1006">
        <f t="shared" si="230"/>
        <v>0</v>
      </c>
      <c r="X1006">
        <f t="shared" si="239"/>
        <v>0</v>
      </c>
      <c r="Y1006">
        <f t="shared" si="240"/>
        <v>0</v>
      </c>
      <c r="Z1006">
        <f t="shared" si="231"/>
        <v>0</v>
      </c>
      <c r="AA1006">
        <f t="shared" si="232"/>
        <v>0</v>
      </c>
      <c r="AB1006">
        <f t="shared" si="233"/>
        <v>0</v>
      </c>
      <c r="AC1006">
        <f t="shared" si="234"/>
        <v>0</v>
      </c>
      <c r="AD1006" s="1">
        <f t="shared" si="235"/>
        <v>0</v>
      </c>
      <c r="AE1006">
        <f t="shared" si="236"/>
        <v>0</v>
      </c>
      <c r="AF1006">
        <f t="shared" si="237"/>
        <v>0</v>
      </c>
      <c r="AG1006">
        <f t="shared" si="238"/>
        <v>0</v>
      </c>
    </row>
    <row r="1007" spans="1:33" x14ac:dyDescent="0.25">
      <c r="A1007" t="s">
        <v>1722</v>
      </c>
      <c r="B1007" t="s">
        <v>1723</v>
      </c>
      <c r="C1007">
        <v>167638</v>
      </c>
      <c r="D1007">
        <v>167638</v>
      </c>
      <c r="H1007">
        <v>0</v>
      </c>
      <c r="I1007">
        <v>40</v>
      </c>
      <c r="J1007">
        <v>10</v>
      </c>
      <c r="K1007">
        <v>10</v>
      </c>
      <c r="L1007">
        <v>10</v>
      </c>
      <c r="M1007">
        <v>70</v>
      </c>
      <c r="S1007">
        <f t="shared" si="227"/>
        <v>0</v>
      </c>
      <c r="T1007">
        <f t="shared" si="228"/>
        <v>5.833333333333333</v>
      </c>
      <c r="U1007">
        <f t="shared" si="226"/>
        <v>1</v>
      </c>
      <c r="V1007">
        <f t="shared" si="229"/>
        <v>0</v>
      </c>
      <c r="W1007">
        <f t="shared" si="230"/>
        <v>1</v>
      </c>
      <c r="X1007">
        <f t="shared" si="239"/>
        <v>0</v>
      </c>
      <c r="Y1007">
        <f t="shared" si="240"/>
        <v>0</v>
      </c>
      <c r="Z1007">
        <f t="shared" si="231"/>
        <v>0</v>
      </c>
      <c r="AA1007">
        <f t="shared" si="232"/>
        <v>0</v>
      </c>
      <c r="AB1007">
        <f t="shared" si="233"/>
        <v>0</v>
      </c>
      <c r="AC1007">
        <f t="shared" si="234"/>
        <v>0</v>
      </c>
      <c r="AD1007" s="1">
        <f t="shared" si="235"/>
        <v>6.666666666666667</v>
      </c>
      <c r="AE1007">
        <f t="shared" si="236"/>
        <v>5</v>
      </c>
      <c r="AF1007">
        <f t="shared" si="237"/>
        <v>10</v>
      </c>
      <c r="AG1007">
        <f t="shared" si="238"/>
        <v>10</v>
      </c>
    </row>
    <row r="1008" spans="1:33" x14ac:dyDescent="0.25">
      <c r="A1008" t="s">
        <v>1724</v>
      </c>
      <c r="B1008" t="s">
        <v>1725</v>
      </c>
      <c r="C1008">
        <v>161264</v>
      </c>
      <c r="D1008">
        <v>161264</v>
      </c>
      <c r="S1008">
        <f t="shared" si="227"/>
        <v>0</v>
      </c>
      <c r="T1008">
        <f t="shared" si="228"/>
        <v>0</v>
      </c>
      <c r="U1008">
        <f t="shared" si="226"/>
        <v>0</v>
      </c>
      <c r="V1008">
        <f t="shared" si="229"/>
        <v>0</v>
      </c>
      <c r="W1008">
        <f t="shared" si="230"/>
        <v>0</v>
      </c>
      <c r="X1008">
        <f t="shared" si="239"/>
        <v>0</v>
      </c>
      <c r="Y1008">
        <f t="shared" si="240"/>
        <v>0</v>
      </c>
      <c r="Z1008">
        <f t="shared" si="231"/>
        <v>0</v>
      </c>
      <c r="AA1008">
        <f t="shared" si="232"/>
        <v>0</v>
      </c>
      <c r="AB1008">
        <f t="shared" si="233"/>
        <v>0</v>
      </c>
      <c r="AC1008">
        <f t="shared" si="234"/>
        <v>0</v>
      </c>
      <c r="AD1008" s="1">
        <f t="shared" si="235"/>
        <v>0</v>
      </c>
      <c r="AE1008">
        <f t="shared" si="236"/>
        <v>0</v>
      </c>
      <c r="AF1008">
        <f t="shared" si="237"/>
        <v>0</v>
      </c>
      <c r="AG1008">
        <f t="shared" si="238"/>
        <v>0</v>
      </c>
    </row>
    <row r="1009" spans="1:33" x14ac:dyDescent="0.25">
      <c r="A1009" t="s">
        <v>1726</v>
      </c>
      <c r="B1009" t="s">
        <v>1727</v>
      </c>
      <c r="C1009">
        <v>167786</v>
      </c>
      <c r="D1009">
        <v>167786</v>
      </c>
      <c r="H1009">
        <v>20</v>
      </c>
      <c r="I1009">
        <v>30</v>
      </c>
      <c r="J1009">
        <v>20</v>
      </c>
      <c r="K1009">
        <v>10</v>
      </c>
      <c r="L1009">
        <v>0</v>
      </c>
      <c r="M1009">
        <v>80</v>
      </c>
      <c r="S1009">
        <f t="shared" si="227"/>
        <v>0</v>
      </c>
      <c r="T1009">
        <f t="shared" si="228"/>
        <v>6.666666666666667</v>
      </c>
      <c r="U1009">
        <f t="shared" si="226"/>
        <v>1</v>
      </c>
      <c r="V1009">
        <f t="shared" si="229"/>
        <v>0</v>
      </c>
      <c r="W1009">
        <f t="shared" si="230"/>
        <v>1</v>
      </c>
      <c r="X1009">
        <f t="shared" si="239"/>
        <v>0</v>
      </c>
      <c r="Y1009">
        <f t="shared" si="240"/>
        <v>1</v>
      </c>
      <c r="Z1009">
        <f t="shared" si="231"/>
        <v>0</v>
      </c>
      <c r="AA1009">
        <f t="shared" si="232"/>
        <v>0</v>
      </c>
      <c r="AB1009">
        <f t="shared" si="233"/>
        <v>0</v>
      </c>
      <c r="AC1009">
        <f t="shared" si="234"/>
        <v>10</v>
      </c>
      <c r="AD1009" s="1">
        <f t="shared" si="235"/>
        <v>5</v>
      </c>
      <c r="AE1009">
        <f t="shared" si="236"/>
        <v>10</v>
      </c>
      <c r="AF1009">
        <f t="shared" si="237"/>
        <v>10</v>
      </c>
      <c r="AG1009">
        <f t="shared" si="238"/>
        <v>0</v>
      </c>
    </row>
    <row r="1010" spans="1:33" x14ac:dyDescent="0.25">
      <c r="A1010" t="s">
        <v>1728</v>
      </c>
      <c r="B1010" t="s">
        <v>1729</v>
      </c>
      <c r="C1010">
        <v>166065</v>
      </c>
      <c r="D1010">
        <v>166065</v>
      </c>
      <c r="E1010">
        <v>50</v>
      </c>
      <c r="F1010">
        <v>10</v>
      </c>
      <c r="G1010">
        <v>30</v>
      </c>
      <c r="O1010">
        <v>90</v>
      </c>
      <c r="S1010">
        <f t="shared" si="227"/>
        <v>5.625</v>
      </c>
      <c r="T1010">
        <f t="shared" si="228"/>
        <v>0</v>
      </c>
      <c r="U1010">
        <f t="shared" si="226"/>
        <v>1</v>
      </c>
      <c r="V1010">
        <f t="shared" si="229"/>
        <v>1</v>
      </c>
      <c r="W1010">
        <f t="shared" si="230"/>
        <v>0</v>
      </c>
      <c r="X1010">
        <f t="shared" si="239"/>
        <v>0</v>
      </c>
      <c r="Y1010">
        <f t="shared" si="240"/>
        <v>0</v>
      </c>
      <c r="Z1010">
        <f t="shared" si="231"/>
        <v>10</v>
      </c>
      <c r="AA1010">
        <f t="shared" si="232"/>
        <v>2.5</v>
      </c>
      <c r="AB1010">
        <f t="shared" si="233"/>
        <v>4.2857142857142856</v>
      </c>
      <c r="AC1010">
        <f t="shared" si="234"/>
        <v>0</v>
      </c>
      <c r="AD1010" s="1">
        <f t="shared" si="235"/>
        <v>0</v>
      </c>
      <c r="AE1010">
        <f t="shared" si="236"/>
        <v>0</v>
      </c>
      <c r="AF1010">
        <f t="shared" si="237"/>
        <v>0</v>
      </c>
      <c r="AG1010">
        <f t="shared" si="238"/>
        <v>0</v>
      </c>
    </row>
    <row r="1011" spans="1:33" x14ac:dyDescent="0.25">
      <c r="A1011" t="s">
        <v>1730</v>
      </c>
      <c r="B1011" t="s">
        <v>697</v>
      </c>
      <c r="C1011">
        <v>163089</v>
      </c>
      <c r="D1011">
        <v>163089</v>
      </c>
      <c r="E1011">
        <v>50</v>
      </c>
      <c r="F1011">
        <v>20</v>
      </c>
      <c r="G1011">
        <v>30</v>
      </c>
      <c r="O1011">
        <v>100</v>
      </c>
      <c r="S1011">
        <f t="shared" si="227"/>
        <v>6.25</v>
      </c>
      <c r="T1011">
        <f t="shared" si="228"/>
        <v>0</v>
      </c>
      <c r="U1011">
        <f t="shared" si="226"/>
        <v>1</v>
      </c>
      <c r="V1011">
        <f t="shared" si="229"/>
        <v>1</v>
      </c>
      <c r="W1011">
        <f t="shared" si="230"/>
        <v>0</v>
      </c>
      <c r="X1011">
        <f t="shared" si="239"/>
        <v>1</v>
      </c>
      <c r="Y1011">
        <f t="shared" si="240"/>
        <v>0</v>
      </c>
      <c r="Z1011">
        <f t="shared" si="231"/>
        <v>10</v>
      </c>
      <c r="AA1011">
        <f t="shared" si="232"/>
        <v>5</v>
      </c>
      <c r="AB1011">
        <f t="shared" si="233"/>
        <v>4.2857142857142856</v>
      </c>
      <c r="AC1011">
        <f t="shared" si="234"/>
        <v>0</v>
      </c>
      <c r="AD1011" s="1">
        <f t="shared" si="235"/>
        <v>0</v>
      </c>
      <c r="AE1011">
        <f t="shared" si="236"/>
        <v>0</v>
      </c>
      <c r="AF1011">
        <f t="shared" si="237"/>
        <v>0</v>
      </c>
      <c r="AG1011">
        <f t="shared" si="238"/>
        <v>0</v>
      </c>
    </row>
    <row r="1012" spans="1:33" x14ac:dyDescent="0.25">
      <c r="A1012" t="s">
        <v>1731</v>
      </c>
      <c r="B1012" t="s">
        <v>1732</v>
      </c>
      <c r="C1012">
        <v>168281</v>
      </c>
      <c r="D1012">
        <v>168281</v>
      </c>
      <c r="E1012">
        <v>50</v>
      </c>
      <c r="F1012">
        <v>20</v>
      </c>
      <c r="G1012">
        <v>40</v>
      </c>
      <c r="O1012">
        <v>110</v>
      </c>
      <c r="S1012">
        <f t="shared" si="227"/>
        <v>6.875</v>
      </c>
      <c r="T1012">
        <f t="shared" si="228"/>
        <v>0</v>
      </c>
      <c r="U1012">
        <f t="shared" si="226"/>
        <v>1</v>
      </c>
      <c r="V1012">
        <f t="shared" si="229"/>
        <v>1</v>
      </c>
      <c r="W1012">
        <f t="shared" si="230"/>
        <v>0</v>
      </c>
      <c r="X1012">
        <f t="shared" si="239"/>
        <v>1</v>
      </c>
      <c r="Y1012">
        <f t="shared" si="240"/>
        <v>0</v>
      </c>
      <c r="Z1012">
        <f t="shared" si="231"/>
        <v>10</v>
      </c>
      <c r="AA1012">
        <f t="shared" si="232"/>
        <v>5</v>
      </c>
      <c r="AB1012">
        <f t="shared" si="233"/>
        <v>5.7142857142857144</v>
      </c>
      <c r="AC1012">
        <f t="shared" si="234"/>
        <v>0</v>
      </c>
      <c r="AD1012" s="1">
        <f t="shared" si="235"/>
        <v>0</v>
      </c>
      <c r="AE1012">
        <f t="shared" si="236"/>
        <v>0</v>
      </c>
      <c r="AF1012">
        <f t="shared" si="237"/>
        <v>0</v>
      </c>
      <c r="AG1012">
        <f t="shared" si="238"/>
        <v>0</v>
      </c>
    </row>
    <row r="1013" spans="1:33" x14ac:dyDescent="0.25">
      <c r="A1013" t="s">
        <v>1733</v>
      </c>
      <c r="B1013" t="s">
        <v>199</v>
      </c>
      <c r="C1013">
        <v>164312</v>
      </c>
      <c r="D1013">
        <v>164312</v>
      </c>
      <c r="S1013">
        <f t="shared" si="227"/>
        <v>0</v>
      </c>
      <c r="T1013">
        <f t="shared" si="228"/>
        <v>0</v>
      </c>
      <c r="U1013">
        <f t="shared" si="226"/>
        <v>0</v>
      </c>
      <c r="V1013">
        <f t="shared" si="229"/>
        <v>0</v>
      </c>
      <c r="W1013">
        <f t="shared" si="230"/>
        <v>0</v>
      </c>
      <c r="X1013">
        <f t="shared" si="239"/>
        <v>0</v>
      </c>
      <c r="Y1013">
        <f t="shared" si="240"/>
        <v>0</v>
      </c>
      <c r="Z1013">
        <f t="shared" si="231"/>
        <v>0</v>
      </c>
      <c r="AA1013">
        <f t="shared" si="232"/>
        <v>0</v>
      </c>
      <c r="AB1013">
        <f t="shared" si="233"/>
        <v>0</v>
      </c>
      <c r="AC1013">
        <f t="shared" si="234"/>
        <v>0</v>
      </c>
      <c r="AD1013" s="1">
        <f t="shared" si="235"/>
        <v>0</v>
      </c>
      <c r="AE1013">
        <f t="shared" si="236"/>
        <v>0</v>
      </c>
      <c r="AF1013">
        <f t="shared" si="237"/>
        <v>0</v>
      </c>
      <c r="AG1013">
        <f t="shared" si="238"/>
        <v>0</v>
      </c>
    </row>
    <row r="1014" spans="1:33" x14ac:dyDescent="0.25">
      <c r="A1014" t="s">
        <v>1734</v>
      </c>
      <c r="B1014" t="s">
        <v>1735</v>
      </c>
      <c r="C1014">
        <v>168322</v>
      </c>
      <c r="D1014">
        <v>168322</v>
      </c>
      <c r="E1014">
        <v>10</v>
      </c>
      <c r="F1014">
        <v>0</v>
      </c>
      <c r="G1014">
        <v>10</v>
      </c>
      <c r="O1014">
        <v>20</v>
      </c>
      <c r="S1014">
        <f t="shared" si="227"/>
        <v>1.25</v>
      </c>
      <c r="T1014">
        <f t="shared" si="228"/>
        <v>0</v>
      </c>
      <c r="U1014">
        <f t="shared" si="226"/>
        <v>1</v>
      </c>
      <c r="V1014">
        <f t="shared" si="229"/>
        <v>1</v>
      </c>
      <c r="W1014">
        <f t="shared" si="230"/>
        <v>0</v>
      </c>
      <c r="X1014">
        <f t="shared" si="239"/>
        <v>0</v>
      </c>
      <c r="Y1014">
        <f t="shared" si="240"/>
        <v>0</v>
      </c>
      <c r="Z1014">
        <f t="shared" si="231"/>
        <v>2</v>
      </c>
      <c r="AA1014">
        <f t="shared" si="232"/>
        <v>0</v>
      </c>
      <c r="AB1014">
        <f t="shared" si="233"/>
        <v>1.4285714285714286</v>
      </c>
      <c r="AC1014">
        <f t="shared" si="234"/>
        <v>0</v>
      </c>
      <c r="AD1014" s="1">
        <f t="shared" si="235"/>
        <v>0</v>
      </c>
      <c r="AE1014">
        <f t="shared" si="236"/>
        <v>0</v>
      </c>
      <c r="AF1014">
        <f t="shared" si="237"/>
        <v>0</v>
      </c>
      <c r="AG1014">
        <f t="shared" si="238"/>
        <v>0</v>
      </c>
    </row>
    <row r="1015" spans="1:33" x14ac:dyDescent="0.25">
      <c r="A1015" t="s">
        <v>1736</v>
      </c>
      <c r="B1015" t="s">
        <v>1737</v>
      </c>
      <c r="C1015">
        <v>164610</v>
      </c>
      <c r="D1015">
        <v>164610</v>
      </c>
      <c r="E1015">
        <v>30</v>
      </c>
      <c r="F1015">
        <v>0</v>
      </c>
      <c r="G1015">
        <v>50</v>
      </c>
      <c r="O1015">
        <v>80</v>
      </c>
      <c r="S1015">
        <f t="shared" si="227"/>
        <v>5</v>
      </c>
      <c r="T1015">
        <f t="shared" si="228"/>
        <v>0</v>
      </c>
      <c r="U1015">
        <f t="shared" si="226"/>
        <v>1</v>
      </c>
      <c r="V1015">
        <f t="shared" si="229"/>
        <v>1</v>
      </c>
      <c r="W1015">
        <f t="shared" si="230"/>
        <v>0</v>
      </c>
      <c r="X1015">
        <f t="shared" si="239"/>
        <v>0</v>
      </c>
      <c r="Y1015">
        <f t="shared" si="240"/>
        <v>0</v>
      </c>
      <c r="Z1015">
        <f t="shared" si="231"/>
        <v>6</v>
      </c>
      <c r="AA1015">
        <f t="shared" si="232"/>
        <v>0</v>
      </c>
      <c r="AB1015">
        <f t="shared" si="233"/>
        <v>7.1428571428571432</v>
      </c>
      <c r="AC1015">
        <f t="shared" si="234"/>
        <v>0</v>
      </c>
      <c r="AD1015" s="1">
        <f t="shared" si="235"/>
        <v>0</v>
      </c>
      <c r="AE1015">
        <f t="shared" si="236"/>
        <v>0</v>
      </c>
      <c r="AF1015">
        <f t="shared" si="237"/>
        <v>0</v>
      </c>
      <c r="AG1015">
        <f t="shared" si="238"/>
        <v>0</v>
      </c>
    </row>
    <row r="1016" spans="1:33" x14ac:dyDescent="0.25">
      <c r="A1016" t="s">
        <v>1738</v>
      </c>
      <c r="B1016" t="s">
        <v>1739</v>
      </c>
      <c r="C1016">
        <v>168262</v>
      </c>
      <c r="D1016">
        <v>168262</v>
      </c>
      <c r="H1016">
        <v>0</v>
      </c>
      <c r="I1016">
        <v>30</v>
      </c>
      <c r="J1016">
        <v>0</v>
      </c>
      <c r="M1016">
        <v>30</v>
      </c>
      <c r="S1016">
        <f t="shared" si="227"/>
        <v>0</v>
      </c>
      <c r="T1016">
        <f t="shared" si="228"/>
        <v>2.5</v>
      </c>
      <c r="U1016">
        <f t="shared" si="226"/>
        <v>1</v>
      </c>
      <c r="V1016">
        <f t="shared" si="229"/>
        <v>0</v>
      </c>
      <c r="W1016">
        <f t="shared" si="230"/>
        <v>1</v>
      </c>
      <c r="X1016">
        <f t="shared" si="239"/>
        <v>0</v>
      </c>
      <c r="Y1016">
        <f t="shared" si="240"/>
        <v>0</v>
      </c>
      <c r="Z1016">
        <f t="shared" si="231"/>
        <v>0</v>
      </c>
      <c r="AA1016">
        <f t="shared" si="232"/>
        <v>0</v>
      </c>
      <c r="AB1016">
        <f t="shared" si="233"/>
        <v>0</v>
      </c>
      <c r="AC1016">
        <f t="shared" si="234"/>
        <v>0</v>
      </c>
      <c r="AD1016" s="1">
        <f t="shared" si="235"/>
        <v>5</v>
      </c>
      <c r="AE1016">
        <f t="shared" si="236"/>
        <v>0</v>
      </c>
      <c r="AF1016">
        <f t="shared" si="237"/>
        <v>0</v>
      </c>
      <c r="AG1016">
        <f t="shared" si="238"/>
        <v>0</v>
      </c>
    </row>
    <row r="1017" spans="1:33" x14ac:dyDescent="0.25">
      <c r="A1017" t="s">
        <v>1740</v>
      </c>
      <c r="B1017" t="s">
        <v>1741</v>
      </c>
      <c r="C1017">
        <v>167747</v>
      </c>
      <c r="D1017">
        <v>167747</v>
      </c>
      <c r="H1017">
        <v>20</v>
      </c>
      <c r="I1017">
        <v>40</v>
      </c>
      <c r="J1017">
        <v>10</v>
      </c>
      <c r="K1017">
        <v>0</v>
      </c>
      <c r="L1017">
        <v>10</v>
      </c>
      <c r="M1017">
        <v>80</v>
      </c>
      <c r="S1017">
        <f t="shared" si="227"/>
        <v>0</v>
      </c>
      <c r="T1017">
        <f t="shared" si="228"/>
        <v>6.666666666666667</v>
      </c>
      <c r="U1017">
        <f t="shared" si="226"/>
        <v>1</v>
      </c>
      <c r="V1017">
        <f t="shared" si="229"/>
        <v>0</v>
      </c>
      <c r="W1017">
        <f t="shared" si="230"/>
        <v>1</v>
      </c>
      <c r="X1017">
        <f t="shared" si="239"/>
        <v>0</v>
      </c>
      <c r="Y1017">
        <f t="shared" si="240"/>
        <v>1</v>
      </c>
      <c r="Z1017">
        <f t="shared" si="231"/>
        <v>0</v>
      </c>
      <c r="AA1017">
        <f t="shared" si="232"/>
        <v>0</v>
      </c>
      <c r="AB1017">
        <f t="shared" si="233"/>
        <v>0</v>
      </c>
      <c r="AC1017">
        <f t="shared" si="234"/>
        <v>10</v>
      </c>
      <c r="AD1017" s="1">
        <f t="shared" si="235"/>
        <v>6.666666666666667</v>
      </c>
      <c r="AE1017">
        <f t="shared" si="236"/>
        <v>5</v>
      </c>
      <c r="AF1017">
        <f t="shared" si="237"/>
        <v>0</v>
      </c>
      <c r="AG1017">
        <f t="shared" si="238"/>
        <v>10</v>
      </c>
    </row>
    <row r="1018" spans="1:33" x14ac:dyDescent="0.25">
      <c r="A1018" t="s">
        <v>1742</v>
      </c>
      <c r="B1018" t="s">
        <v>1743</v>
      </c>
      <c r="C1018">
        <v>167087</v>
      </c>
      <c r="D1018">
        <v>167087</v>
      </c>
      <c r="S1018">
        <f t="shared" si="227"/>
        <v>0</v>
      </c>
      <c r="T1018">
        <f t="shared" si="228"/>
        <v>0</v>
      </c>
      <c r="U1018">
        <f t="shared" si="226"/>
        <v>0</v>
      </c>
      <c r="V1018">
        <f t="shared" si="229"/>
        <v>0</v>
      </c>
      <c r="W1018">
        <f t="shared" si="230"/>
        <v>0</v>
      </c>
      <c r="X1018">
        <f t="shared" si="239"/>
        <v>0</v>
      </c>
      <c r="Y1018">
        <f t="shared" si="240"/>
        <v>0</v>
      </c>
      <c r="Z1018">
        <f t="shared" si="231"/>
        <v>0</v>
      </c>
      <c r="AA1018">
        <f t="shared" si="232"/>
        <v>0</v>
      </c>
      <c r="AB1018">
        <f t="shared" si="233"/>
        <v>0</v>
      </c>
      <c r="AC1018">
        <f t="shared" si="234"/>
        <v>0</v>
      </c>
      <c r="AD1018" s="1">
        <f t="shared" si="235"/>
        <v>0</v>
      </c>
      <c r="AE1018">
        <f t="shared" si="236"/>
        <v>0</v>
      </c>
      <c r="AF1018">
        <f t="shared" si="237"/>
        <v>0</v>
      </c>
      <c r="AG1018">
        <f t="shared" si="238"/>
        <v>0</v>
      </c>
    </row>
    <row r="1019" spans="1:33" x14ac:dyDescent="0.25">
      <c r="A1019" t="s">
        <v>1744</v>
      </c>
      <c r="B1019" t="s">
        <v>1745</v>
      </c>
      <c r="C1019">
        <v>167290</v>
      </c>
      <c r="D1019">
        <v>167290</v>
      </c>
      <c r="H1019">
        <v>20</v>
      </c>
      <c r="I1019">
        <v>50</v>
      </c>
      <c r="J1019">
        <v>0</v>
      </c>
      <c r="K1019">
        <v>10</v>
      </c>
      <c r="L1019">
        <v>10</v>
      </c>
      <c r="M1019">
        <v>90</v>
      </c>
      <c r="S1019">
        <f t="shared" si="227"/>
        <v>0</v>
      </c>
      <c r="T1019">
        <f t="shared" si="228"/>
        <v>7.5</v>
      </c>
      <c r="U1019">
        <f t="shared" si="226"/>
        <v>1</v>
      </c>
      <c r="V1019">
        <f t="shared" si="229"/>
        <v>0</v>
      </c>
      <c r="W1019">
        <f t="shared" si="230"/>
        <v>1</v>
      </c>
      <c r="X1019">
        <f t="shared" si="239"/>
        <v>0</v>
      </c>
      <c r="Y1019">
        <f t="shared" si="240"/>
        <v>1</v>
      </c>
      <c r="Z1019">
        <f t="shared" si="231"/>
        <v>0</v>
      </c>
      <c r="AA1019">
        <f t="shared" si="232"/>
        <v>0</v>
      </c>
      <c r="AB1019">
        <f t="shared" si="233"/>
        <v>0</v>
      </c>
      <c r="AC1019">
        <f t="shared" si="234"/>
        <v>10</v>
      </c>
      <c r="AD1019" s="1">
        <f t="shared" si="235"/>
        <v>8.3333333333333339</v>
      </c>
      <c r="AE1019">
        <f t="shared" si="236"/>
        <v>0</v>
      </c>
      <c r="AF1019">
        <f t="shared" si="237"/>
        <v>10</v>
      </c>
      <c r="AG1019">
        <f t="shared" si="238"/>
        <v>10</v>
      </c>
    </row>
    <row r="1020" spans="1:33" x14ac:dyDescent="0.25">
      <c r="A1020" t="s">
        <v>1746</v>
      </c>
      <c r="B1020" t="s">
        <v>232</v>
      </c>
      <c r="C1020">
        <v>166170</v>
      </c>
      <c r="D1020">
        <v>166170</v>
      </c>
      <c r="E1020">
        <v>50</v>
      </c>
      <c r="F1020">
        <v>40</v>
      </c>
      <c r="G1020">
        <v>20</v>
      </c>
      <c r="O1020">
        <v>110</v>
      </c>
      <c r="S1020">
        <f t="shared" si="227"/>
        <v>6.875</v>
      </c>
      <c r="T1020">
        <f t="shared" si="228"/>
        <v>0</v>
      </c>
      <c r="U1020">
        <f t="shared" si="226"/>
        <v>1</v>
      </c>
      <c r="V1020">
        <f t="shared" si="229"/>
        <v>1</v>
      </c>
      <c r="W1020">
        <f t="shared" si="230"/>
        <v>0</v>
      </c>
      <c r="X1020">
        <f t="shared" si="239"/>
        <v>1</v>
      </c>
      <c r="Y1020">
        <f t="shared" si="240"/>
        <v>0</v>
      </c>
      <c r="Z1020">
        <f t="shared" si="231"/>
        <v>10</v>
      </c>
      <c r="AA1020">
        <f t="shared" si="232"/>
        <v>10</v>
      </c>
      <c r="AB1020">
        <f t="shared" si="233"/>
        <v>2.8571428571428572</v>
      </c>
      <c r="AC1020">
        <f t="shared" si="234"/>
        <v>0</v>
      </c>
      <c r="AD1020" s="1">
        <f t="shared" si="235"/>
        <v>0</v>
      </c>
      <c r="AE1020">
        <f t="shared" si="236"/>
        <v>0</v>
      </c>
      <c r="AF1020">
        <f t="shared" si="237"/>
        <v>0</v>
      </c>
      <c r="AG1020">
        <f t="shared" si="238"/>
        <v>0</v>
      </c>
    </row>
    <row r="1021" spans="1:33" x14ac:dyDescent="0.25">
      <c r="A1021" t="s">
        <v>1747</v>
      </c>
      <c r="B1021" t="s">
        <v>1748</v>
      </c>
      <c r="C1021">
        <v>165699</v>
      </c>
      <c r="D1021">
        <v>165699</v>
      </c>
      <c r="E1021">
        <v>50</v>
      </c>
      <c r="F1021">
        <v>20</v>
      </c>
      <c r="G1021">
        <v>60</v>
      </c>
      <c r="O1021">
        <v>130</v>
      </c>
      <c r="S1021">
        <f t="shared" si="227"/>
        <v>8.125</v>
      </c>
      <c r="T1021">
        <f t="shared" si="228"/>
        <v>0</v>
      </c>
      <c r="U1021">
        <f t="shared" si="226"/>
        <v>1</v>
      </c>
      <c r="V1021">
        <f t="shared" si="229"/>
        <v>1</v>
      </c>
      <c r="W1021">
        <f t="shared" si="230"/>
        <v>0</v>
      </c>
      <c r="X1021">
        <f t="shared" si="239"/>
        <v>1</v>
      </c>
      <c r="Y1021">
        <f t="shared" si="240"/>
        <v>0</v>
      </c>
      <c r="Z1021">
        <f t="shared" si="231"/>
        <v>10</v>
      </c>
      <c r="AA1021">
        <f t="shared" si="232"/>
        <v>5</v>
      </c>
      <c r="AB1021">
        <f t="shared" si="233"/>
        <v>8.5714285714285712</v>
      </c>
      <c r="AC1021">
        <f t="shared" si="234"/>
        <v>0</v>
      </c>
      <c r="AD1021" s="1">
        <f t="shared" si="235"/>
        <v>0</v>
      </c>
      <c r="AE1021">
        <f t="shared" si="236"/>
        <v>0</v>
      </c>
      <c r="AF1021">
        <f t="shared" si="237"/>
        <v>0</v>
      </c>
      <c r="AG1021">
        <f t="shared" si="238"/>
        <v>0</v>
      </c>
    </row>
    <row r="1022" spans="1:33" x14ac:dyDescent="0.25">
      <c r="A1022" t="s">
        <v>1749</v>
      </c>
      <c r="B1022" t="s">
        <v>958</v>
      </c>
      <c r="C1022">
        <v>168087</v>
      </c>
      <c r="D1022">
        <v>168087</v>
      </c>
      <c r="H1022">
        <v>0</v>
      </c>
      <c r="I1022">
        <v>30</v>
      </c>
      <c r="J1022">
        <v>10</v>
      </c>
      <c r="K1022">
        <v>10</v>
      </c>
      <c r="L1022">
        <v>0</v>
      </c>
      <c r="M1022">
        <v>50</v>
      </c>
      <c r="S1022">
        <f t="shared" si="227"/>
        <v>0</v>
      </c>
      <c r="T1022">
        <f t="shared" si="228"/>
        <v>4.166666666666667</v>
      </c>
      <c r="U1022">
        <f t="shared" si="226"/>
        <v>1</v>
      </c>
      <c r="V1022">
        <f t="shared" si="229"/>
        <v>0</v>
      </c>
      <c r="W1022">
        <f t="shared" si="230"/>
        <v>1</v>
      </c>
      <c r="X1022">
        <f t="shared" si="239"/>
        <v>0</v>
      </c>
      <c r="Y1022">
        <f t="shared" si="240"/>
        <v>0</v>
      </c>
      <c r="Z1022">
        <f t="shared" si="231"/>
        <v>0</v>
      </c>
      <c r="AA1022">
        <f t="shared" si="232"/>
        <v>0</v>
      </c>
      <c r="AB1022">
        <f t="shared" si="233"/>
        <v>0</v>
      </c>
      <c r="AC1022">
        <f t="shared" si="234"/>
        <v>0</v>
      </c>
      <c r="AD1022" s="1">
        <f t="shared" si="235"/>
        <v>5</v>
      </c>
      <c r="AE1022">
        <f t="shared" si="236"/>
        <v>5</v>
      </c>
      <c r="AF1022">
        <f t="shared" si="237"/>
        <v>10</v>
      </c>
      <c r="AG1022">
        <f t="shared" si="238"/>
        <v>0</v>
      </c>
    </row>
    <row r="1023" spans="1:33" x14ac:dyDescent="0.25">
      <c r="A1023" t="s">
        <v>1750</v>
      </c>
      <c r="B1023" t="s">
        <v>1751</v>
      </c>
      <c r="C1023">
        <v>167069</v>
      </c>
      <c r="D1023">
        <v>167069</v>
      </c>
      <c r="H1023">
        <v>20</v>
      </c>
      <c r="I1023">
        <v>40</v>
      </c>
      <c r="J1023">
        <v>20</v>
      </c>
      <c r="K1023">
        <v>10</v>
      </c>
      <c r="L1023">
        <v>0</v>
      </c>
      <c r="M1023">
        <v>90</v>
      </c>
      <c r="S1023">
        <f t="shared" si="227"/>
        <v>0</v>
      </c>
      <c r="T1023">
        <f t="shared" si="228"/>
        <v>7.5</v>
      </c>
      <c r="U1023">
        <f t="shared" si="226"/>
        <v>1</v>
      </c>
      <c r="V1023">
        <f t="shared" si="229"/>
        <v>0</v>
      </c>
      <c r="W1023">
        <f t="shared" si="230"/>
        <v>1</v>
      </c>
      <c r="X1023">
        <f t="shared" si="239"/>
        <v>0</v>
      </c>
      <c r="Y1023">
        <f t="shared" si="240"/>
        <v>1</v>
      </c>
      <c r="Z1023">
        <f t="shared" si="231"/>
        <v>0</v>
      </c>
      <c r="AA1023">
        <f t="shared" si="232"/>
        <v>0</v>
      </c>
      <c r="AB1023">
        <f t="shared" si="233"/>
        <v>0</v>
      </c>
      <c r="AC1023">
        <f t="shared" si="234"/>
        <v>10</v>
      </c>
      <c r="AD1023" s="1">
        <f t="shared" si="235"/>
        <v>6.666666666666667</v>
      </c>
      <c r="AE1023">
        <f t="shared" si="236"/>
        <v>10</v>
      </c>
      <c r="AF1023">
        <f t="shared" si="237"/>
        <v>10</v>
      </c>
      <c r="AG1023">
        <f t="shared" si="238"/>
        <v>0</v>
      </c>
    </row>
    <row r="1024" spans="1:33" x14ac:dyDescent="0.25">
      <c r="A1024" t="s">
        <v>1752</v>
      </c>
      <c r="B1024" t="s">
        <v>396</v>
      </c>
      <c r="C1024">
        <v>166375</v>
      </c>
      <c r="D1024">
        <v>166375</v>
      </c>
      <c r="H1024">
        <v>0</v>
      </c>
      <c r="I1024">
        <v>30</v>
      </c>
      <c r="J1024">
        <v>10</v>
      </c>
      <c r="K1024">
        <v>0</v>
      </c>
      <c r="L1024">
        <v>0</v>
      </c>
      <c r="M1024">
        <v>40</v>
      </c>
      <c r="S1024">
        <f t="shared" si="227"/>
        <v>0</v>
      </c>
      <c r="T1024">
        <f t="shared" si="228"/>
        <v>3.3333333333333335</v>
      </c>
      <c r="U1024">
        <f t="shared" si="226"/>
        <v>1</v>
      </c>
      <c r="V1024">
        <f t="shared" si="229"/>
        <v>0</v>
      </c>
      <c r="W1024">
        <f t="shared" si="230"/>
        <v>1</v>
      </c>
      <c r="X1024">
        <f t="shared" si="239"/>
        <v>0</v>
      </c>
      <c r="Y1024">
        <f t="shared" si="240"/>
        <v>0</v>
      </c>
      <c r="Z1024">
        <f t="shared" si="231"/>
        <v>0</v>
      </c>
      <c r="AA1024">
        <f t="shared" si="232"/>
        <v>0</v>
      </c>
      <c r="AB1024">
        <f t="shared" si="233"/>
        <v>0</v>
      </c>
      <c r="AC1024">
        <f t="shared" si="234"/>
        <v>0</v>
      </c>
      <c r="AD1024" s="1">
        <f t="shared" si="235"/>
        <v>5</v>
      </c>
      <c r="AE1024">
        <f t="shared" si="236"/>
        <v>5</v>
      </c>
      <c r="AF1024">
        <f t="shared" si="237"/>
        <v>0</v>
      </c>
      <c r="AG1024">
        <f t="shared" si="238"/>
        <v>0</v>
      </c>
    </row>
    <row r="1025" spans="1:33" x14ac:dyDescent="0.25">
      <c r="A1025" t="s">
        <v>1753</v>
      </c>
      <c r="B1025" t="s">
        <v>1754</v>
      </c>
      <c r="C1025">
        <v>159828</v>
      </c>
      <c r="D1025">
        <v>159828</v>
      </c>
      <c r="H1025">
        <v>10</v>
      </c>
      <c r="I1025">
        <v>40</v>
      </c>
      <c r="J1025">
        <v>10</v>
      </c>
      <c r="K1025">
        <v>10</v>
      </c>
      <c r="L1025">
        <v>0</v>
      </c>
      <c r="M1025">
        <v>70</v>
      </c>
      <c r="S1025">
        <f t="shared" si="227"/>
        <v>0</v>
      </c>
      <c r="T1025">
        <f t="shared" si="228"/>
        <v>5.833333333333333</v>
      </c>
      <c r="U1025">
        <f t="shared" si="226"/>
        <v>1</v>
      </c>
      <c r="V1025">
        <f t="shared" si="229"/>
        <v>0</v>
      </c>
      <c r="W1025">
        <f t="shared" si="230"/>
        <v>1</v>
      </c>
      <c r="X1025">
        <f t="shared" si="239"/>
        <v>0</v>
      </c>
      <c r="Y1025">
        <f t="shared" si="240"/>
        <v>0</v>
      </c>
      <c r="Z1025">
        <f t="shared" si="231"/>
        <v>0</v>
      </c>
      <c r="AA1025">
        <f t="shared" si="232"/>
        <v>0</v>
      </c>
      <c r="AB1025">
        <f t="shared" si="233"/>
        <v>0</v>
      </c>
      <c r="AC1025">
        <f t="shared" si="234"/>
        <v>5</v>
      </c>
      <c r="AD1025" s="1">
        <f t="shared" si="235"/>
        <v>6.666666666666667</v>
      </c>
      <c r="AE1025">
        <f t="shared" si="236"/>
        <v>5</v>
      </c>
      <c r="AF1025">
        <f t="shared" si="237"/>
        <v>10</v>
      </c>
      <c r="AG1025">
        <f t="shared" si="238"/>
        <v>0</v>
      </c>
    </row>
    <row r="1026" spans="1:33" x14ac:dyDescent="0.25">
      <c r="A1026" t="s">
        <v>1755</v>
      </c>
      <c r="B1026" t="s">
        <v>1059</v>
      </c>
      <c r="C1026">
        <v>165869</v>
      </c>
      <c r="D1026">
        <v>165869</v>
      </c>
      <c r="H1026">
        <v>20</v>
      </c>
      <c r="I1026">
        <v>40</v>
      </c>
      <c r="J1026">
        <v>20</v>
      </c>
      <c r="K1026">
        <v>10</v>
      </c>
      <c r="L1026">
        <v>10</v>
      </c>
      <c r="M1026">
        <v>100</v>
      </c>
      <c r="S1026">
        <f t="shared" si="227"/>
        <v>0</v>
      </c>
      <c r="T1026">
        <f t="shared" si="228"/>
        <v>8.3333333333333339</v>
      </c>
      <c r="U1026">
        <f t="shared" ref="U1026:U1089" si="241">IF(AND(E1026="",F1026="",G1026="",H1026="",I1026="",J1026="",K1026="",L1026="",M1026=""),0,1)</f>
        <v>1</v>
      </c>
      <c r="V1026">
        <f t="shared" si="229"/>
        <v>0</v>
      </c>
      <c r="W1026">
        <f t="shared" si="230"/>
        <v>1</v>
      </c>
      <c r="X1026">
        <f t="shared" si="239"/>
        <v>0</v>
      </c>
      <c r="Y1026">
        <f t="shared" si="240"/>
        <v>1</v>
      </c>
      <c r="Z1026">
        <f t="shared" si="231"/>
        <v>0</v>
      </c>
      <c r="AA1026">
        <f t="shared" si="232"/>
        <v>0</v>
      </c>
      <c r="AB1026">
        <f t="shared" si="233"/>
        <v>0</v>
      </c>
      <c r="AC1026">
        <f t="shared" si="234"/>
        <v>10</v>
      </c>
      <c r="AD1026" s="1">
        <f t="shared" si="235"/>
        <v>6.666666666666667</v>
      </c>
      <c r="AE1026">
        <f t="shared" si="236"/>
        <v>10</v>
      </c>
      <c r="AF1026">
        <f t="shared" si="237"/>
        <v>10</v>
      </c>
      <c r="AG1026">
        <f t="shared" si="238"/>
        <v>10</v>
      </c>
    </row>
    <row r="1027" spans="1:33" x14ac:dyDescent="0.25">
      <c r="A1027" t="s">
        <v>1756</v>
      </c>
      <c r="B1027" t="s">
        <v>53</v>
      </c>
      <c r="C1027">
        <v>168377</v>
      </c>
      <c r="D1027">
        <v>168377</v>
      </c>
      <c r="H1027">
        <v>0</v>
      </c>
      <c r="I1027">
        <v>20</v>
      </c>
      <c r="J1027">
        <v>10</v>
      </c>
      <c r="K1027">
        <v>0</v>
      </c>
      <c r="L1027">
        <v>0</v>
      </c>
      <c r="M1027">
        <v>30</v>
      </c>
      <c r="S1027">
        <f t="shared" ref="S1027:S1090" si="242">O1027/16</f>
        <v>0</v>
      </c>
      <c r="T1027">
        <f t="shared" ref="T1027:T1090" si="243">M1027/12</f>
        <v>2.5</v>
      </c>
      <c r="U1027">
        <f t="shared" si="241"/>
        <v>1</v>
      </c>
      <c r="V1027">
        <f t="shared" ref="V1027:V1090" si="244">IF(O1027="",0,1)</f>
        <v>0</v>
      </c>
      <c r="W1027">
        <f t="shared" ref="W1027:W1090" si="245">IF(M1027="",0,1)</f>
        <v>1</v>
      </c>
      <c r="X1027">
        <f t="shared" si="239"/>
        <v>0</v>
      </c>
      <c r="Y1027">
        <f t="shared" si="240"/>
        <v>0</v>
      </c>
      <c r="Z1027">
        <f t="shared" ref="Z1027:Z1090" si="246">E1027/5</f>
        <v>0</v>
      </c>
      <c r="AA1027">
        <f t="shared" ref="AA1027:AA1090" si="247">F1027/4</f>
        <v>0</v>
      </c>
      <c r="AB1027">
        <f t="shared" ref="AB1027:AB1090" si="248">G1027/7</f>
        <v>0</v>
      </c>
      <c r="AC1027">
        <f t="shared" ref="AC1027:AC1090" si="249">H1027/2</f>
        <v>0</v>
      </c>
      <c r="AD1027" s="1">
        <f t="shared" ref="AD1027:AD1090" si="250">I1027/6</f>
        <v>3.3333333333333335</v>
      </c>
      <c r="AE1027">
        <f t="shared" ref="AE1027:AE1090" si="251">J1027/2</f>
        <v>5</v>
      </c>
      <c r="AF1027">
        <f t="shared" ref="AF1027:AF1090" si="252">K1027</f>
        <v>0</v>
      </c>
      <c r="AG1027">
        <f t="shared" ref="AG1027:AG1090" si="253">L1027</f>
        <v>0</v>
      </c>
    </row>
    <row r="1028" spans="1:33" x14ac:dyDescent="0.25">
      <c r="A1028" t="s">
        <v>1757</v>
      </c>
      <c r="B1028" t="s">
        <v>306</v>
      </c>
      <c r="C1028">
        <v>168798</v>
      </c>
      <c r="D1028">
        <v>168798</v>
      </c>
      <c r="E1028">
        <v>10</v>
      </c>
      <c r="O1028">
        <v>10</v>
      </c>
      <c r="S1028">
        <f t="shared" si="242"/>
        <v>0.625</v>
      </c>
      <c r="T1028">
        <f t="shared" si="243"/>
        <v>0</v>
      </c>
      <c r="U1028">
        <f t="shared" si="241"/>
        <v>1</v>
      </c>
      <c r="V1028">
        <f t="shared" si="244"/>
        <v>1</v>
      </c>
      <c r="W1028">
        <f t="shared" si="245"/>
        <v>0</v>
      </c>
      <c r="X1028">
        <f t="shared" si="239"/>
        <v>0</v>
      </c>
      <c r="Y1028">
        <f t="shared" si="240"/>
        <v>0</v>
      </c>
      <c r="Z1028">
        <f t="shared" si="246"/>
        <v>2</v>
      </c>
      <c r="AA1028">
        <f t="shared" si="247"/>
        <v>0</v>
      </c>
      <c r="AB1028">
        <f t="shared" si="248"/>
        <v>0</v>
      </c>
      <c r="AC1028">
        <f t="shared" si="249"/>
        <v>0</v>
      </c>
      <c r="AD1028" s="1">
        <f t="shared" si="250"/>
        <v>0</v>
      </c>
      <c r="AE1028">
        <f t="shared" si="251"/>
        <v>0</v>
      </c>
      <c r="AF1028">
        <f t="shared" si="252"/>
        <v>0</v>
      </c>
      <c r="AG1028">
        <f t="shared" si="253"/>
        <v>0</v>
      </c>
    </row>
    <row r="1029" spans="1:33" x14ac:dyDescent="0.25">
      <c r="A1029" t="s">
        <v>1758</v>
      </c>
      <c r="B1029" t="s">
        <v>1759</v>
      </c>
      <c r="C1029">
        <v>165656</v>
      </c>
      <c r="D1029">
        <v>165656</v>
      </c>
      <c r="H1029">
        <v>10</v>
      </c>
      <c r="I1029">
        <v>60</v>
      </c>
      <c r="J1029">
        <v>10</v>
      </c>
      <c r="K1029">
        <v>10</v>
      </c>
      <c r="L1029">
        <v>10</v>
      </c>
      <c r="M1029">
        <v>100</v>
      </c>
      <c r="S1029">
        <f t="shared" si="242"/>
        <v>0</v>
      </c>
      <c r="T1029">
        <f t="shared" si="243"/>
        <v>8.3333333333333339</v>
      </c>
      <c r="U1029">
        <f t="shared" si="241"/>
        <v>1</v>
      </c>
      <c r="V1029">
        <f t="shared" si="244"/>
        <v>0</v>
      </c>
      <c r="W1029">
        <f t="shared" si="245"/>
        <v>1</v>
      </c>
      <c r="X1029">
        <f t="shared" ref="X1029:X1092" si="254">IF(AND(V1029=1,S1029&gt;6),1,0)</f>
        <v>0</v>
      </c>
      <c r="Y1029">
        <f t="shared" ref="Y1029:Y1092" si="255">IF(AND(W1029=1,T1029&gt;6),1,0)</f>
        <v>1</v>
      </c>
      <c r="Z1029">
        <f t="shared" si="246"/>
        <v>0</v>
      </c>
      <c r="AA1029">
        <f t="shared" si="247"/>
        <v>0</v>
      </c>
      <c r="AB1029">
        <f t="shared" si="248"/>
        <v>0</v>
      </c>
      <c r="AC1029">
        <f t="shared" si="249"/>
        <v>5</v>
      </c>
      <c r="AD1029" s="1">
        <f t="shared" si="250"/>
        <v>10</v>
      </c>
      <c r="AE1029">
        <f t="shared" si="251"/>
        <v>5</v>
      </c>
      <c r="AF1029">
        <f t="shared" si="252"/>
        <v>10</v>
      </c>
      <c r="AG1029">
        <f t="shared" si="253"/>
        <v>10</v>
      </c>
    </row>
    <row r="1030" spans="1:33" x14ac:dyDescent="0.25">
      <c r="A1030" t="s">
        <v>1760</v>
      </c>
      <c r="B1030" t="s">
        <v>340</v>
      </c>
      <c r="C1030">
        <v>168563</v>
      </c>
      <c r="D1030">
        <v>168563</v>
      </c>
      <c r="H1030">
        <v>20</v>
      </c>
      <c r="I1030">
        <v>30</v>
      </c>
      <c r="J1030">
        <v>10</v>
      </c>
      <c r="K1030">
        <v>0</v>
      </c>
      <c r="L1030">
        <v>10</v>
      </c>
      <c r="M1030">
        <v>70</v>
      </c>
      <c r="S1030">
        <f t="shared" si="242"/>
        <v>0</v>
      </c>
      <c r="T1030">
        <f t="shared" si="243"/>
        <v>5.833333333333333</v>
      </c>
      <c r="U1030">
        <f t="shared" si="241"/>
        <v>1</v>
      </c>
      <c r="V1030">
        <f t="shared" si="244"/>
        <v>0</v>
      </c>
      <c r="W1030">
        <f t="shared" si="245"/>
        <v>1</v>
      </c>
      <c r="X1030">
        <f t="shared" si="254"/>
        <v>0</v>
      </c>
      <c r="Y1030">
        <f t="shared" si="255"/>
        <v>0</v>
      </c>
      <c r="Z1030">
        <f t="shared" si="246"/>
        <v>0</v>
      </c>
      <c r="AA1030">
        <f t="shared" si="247"/>
        <v>0</v>
      </c>
      <c r="AB1030">
        <f t="shared" si="248"/>
        <v>0</v>
      </c>
      <c r="AC1030">
        <f t="shared" si="249"/>
        <v>10</v>
      </c>
      <c r="AD1030" s="1">
        <f t="shared" si="250"/>
        <v>5</v>
      </c>
      <c r="AE1030">
        <f t="shared" si="251"/>
        <v>5</v>
      </c>
      <c r="AF1030">
        <f t="shared" si="252"/>
        <v>0</v>
      </c>
      <c r="AG1030">
        <f t="shared" si="253"/>
        <v>10</v>
      </c>
    </row>
    <row r="1031" spans="1:33" x14ac:dyDescent="0.25">
      <c r="A1031" t="s">
        <v>1761</v>
      </c>
      <c r="B1031" t="s">
        <v>99</v>
      </c>
      <c r="C1031">
        <v>165295</v>
      </c>
      <c r="D1031">
        <v>165295</v>
      </c>
      <c r="E1031">
        <v>20</v>
      </c>
      <c r="F1031">
        <v>20</v>
      </c>
      <c r="G1031">
        <v>30</v>
      </c>
      <c r="O1031">
        <v>70</v>
      </c>
      <c r="S1031">
        <f t="shared" si="242"/>
        <v>4.375</v>
      </c>
      <c r="T1031">
        <f t="shared" si="243"/>
        <v>0</v>
      </c>
      <c r="U1031">
        <f t="shared" si="241"/>
        <v>1</v>
      </c>
      <c r="V1031">
        <f t="shared" si="244"/>
        <v>1</v>
      </c>
      <c r="W1031">
        <f t="shared" si="245"/>
        <v>0</v>
      </c>
      <c r="X1031">
        <f t="shared" si="254"/>
        <v>0</v>
      </c>
      <c r="Y1031">
        <f t="shared" si="255"/>
        <v>0</v>
      </c>
      <c r="Z1031">
        <f t="shared" si="246"/>
        <v>4</v>
      </c>
      <c r="AA1031">
        <f t="shared" si="247"/>
        <v>5</v>
      </c>
      <c r="AB1031">
        <f t="shared" si="248"/>
        <v>4.2857142857142856</v>
      </c>
      <c r="AC1031">
        <f t="shared" si="249"/>
        <v>0</v>
      </c>
      <c r="AD1031" s="1">
        <f t="shared" si="250"/>
        <v>0</v>
      </c>
      <c r="AE1031">
        <f t="shared" si="251"/>
        <v>0</v>
      </c>
      <c r="AF1031">
        <f t="shared" si="252"/>
        <v>0</v>
      </c>
      <c r="AG1031">
        <f t="shared" si="253"/>
        <v>0</v>
      </c>
    </row>
    <row r="1032" spans="1:33" x14ac:dyDescent="0.25">
      <c r="A1032" t="s">
        <v>1762</v>
      </c>
      <c r="B1032" t="s">
        <v>486</v>
      </c>
      <c r="C1032">
        <v>167020</v>
      </c>
      <c r="D1032">
        <v>167020</v>
      </c>
      <c r="E1032">
        <v>50</v>
      </c>
      <c r="F1032">
        <v>20</v>
      </c>
      <c r="G1032">
        <v>40</v>
      </c>
      <c r="O1032">
        <v>110</v>
      </c>
      <c r="R1032" t="s">
        <v>20</v>
      </c>
      <c r="S1032">
        <f t="shared" si="242"/>
        <v>6.875</v>
      </c>
      <c r="T1032">
        <f t="shared" si="243"/>
        <v>0</v>
      </c>
      <c r="U1032">
        <f t="shared" si="241"/>
        <v>1</v>
      </c>
      <c r="V1032">
        <f t="shared" si="244"/>
        <v>1</v>
      </c>
      <c r="W1032">
        <f t="shared" si="245"/>
        <v>0</v>
      </c>
      <c r="X1032">
        <f t="shared" si="254"/>
        <v>1</v>
      </c>
      <c r="Y1032">
        <f t="shared" si="255"/>
        <v>0</v>
      </c>
      <c r="Z1032">
        <f t="shared" si="246"/>
        <v>10</v>
      </c>
      <c r="AA1032">
        <f t="shared" si="247"/>
        <v>5</v>
      </c>
      <c r="AB1032">
        <f t="shared" si="248"/>
        <v>5.7142857142857144</v>
      </c>
      <c r="AC1032">
        <f t="shared" si="249"/>
        <v>0</v>
      </c>
      <c r="AD1032" s="1">
        <f t="shared" si="250"/>
        <v>0</v>
      </c>
      <c r="AE1032">
        <f t="shared" si="251"/>
        <v>0</v>
      </c>
      <c r="AF1032">
        <f t="shared" si="252"/>
        <v>0</v>
      </c>
      <c r="AG1032">
        <f t="shared" si="253"/>
        <v>0</v>
      </c>
    </row>
    <row r="1033" spans="1:33" x14ac:dyDescent="0.25">
      <c r="A1033" t="s">
        <v>1763</v>
      </c>
      <c r="B1033" t="s">
        <v>367</v>
      </c>
      <c r="C1033">
        <v>167452</v>
      </c>
      <c r="D1033">
        <v>167452</v>
      </c>
      <c r="H1033">
        <v>0</v>
      </c>
      <c r="I1033">
        <v>40</v>
      </c>
      <c r="J1033">
        <v>20</v>
      </c>
      <c r="K1033">
        <v>10</v>
      </c>
      <c r="L1033">
        <v>10</v>
      </c>
      <c r="M1033">
        <v>80</v>
      </c>
      <c r="S1033">
        <f t="shared" si="242"/>
        <v>0</v>
      </c>
      <c r="T1033">
        <f t="shared" si="243"/>
        <v>6.666666666666667</v>
      </c>
      <c r="U1033">
        <f t="shared" si="241"/>
        <v>1</v>
      </c>
      <c r="V1033">
        <f t="shared" si="244"/>
        <v>0</v>
      </c>
      <c r="W1033">
        <f t="shared" si="245"/>
        <v>1</v>
      </c>
      <c r="X1033">
        <f t="shared" si="254"/>
        <v>0</v>
      </c>
      <c r="Y1033">
        <f t="shared" si="255"/>
        <v>1</v>
      </c>
      <c r="Z1033">
        <f t="shared" si="246"/>
        <v>0</v>
      </c>
      <c r="AA1033">
        <f t="shared" si="247"/>
        <v>0</v>
      </c>
      <c r="AB1033">
        <f t="shared" si="248"/>
        <v>0</v>
      </c>
      <c r="AC1033">
        <f t="shared" si="249"/>
        <v>0</v>
      </c>
      <c r="AD1033" s="1">
        <f t="shared" si="250"/>
        <v>6.666666666666667</v>
      </c>
      <c r="AE1033">
        <f t="shared" si="251"/>
        <v>10</v>
      </c>
      <c r="AF1033">
        <f t="shared" si="252"/>
        <v>10</v>
      </c>
      <c r="AG1033">
        <f t="shared" si="253"/>
        <v>10</v>
      </c>
    </row>
    <row r="1034" spans="1:33" x14ac:dyDescent="0.25">
      <c r="A1034" t="s">
        <v>1764</v>
      </c>
      <c r="B1034" t="s">
        <v>1765</v>
      </c>
      <c r="C1034">
        <v>166089</v>
      </c>
      <c r="D1034">
        <v>166089</v>
      </c>
      <c r="E1034">
        <v>40</v>
      </c>
      <c r="F1034">
        <v>40</v>
      </c>
      <c r="G1034">
        <v>30</v>
      </c>
      <c r="O1034">
        <v>110</v>
      </c>
      <c r="S1034">
        <f t="shared" si="242"/>
        <v>6.875</v>
      </c>
      <c r="T1034">
        <f t="shared" si="243"/>
        <v>0</v>
      </c>
      <c r="U1034">
        <f t="shared" si="241"/>
        <v>1</v>
      </c>
      <c r="V1034">
        <f t="shared" si="244"/>
        <v>1</v>
      </c>
      <c r="W1034">
        <f t="shared" si="245"/>
        <v>0</v>
      </c>
      <c r="X1034">
        <f t="shared" si="254"/>
        <v>1</v>
      </c>
      <c r="Y1034">
        <f t="shared" si="255"/>
        <v>0</v>
      </c>
      <c r="Z1034">
        <f t="shared" si="246"/>
        <v>8</v>
      </c>
      <c r="AA1034">
        <f t="shared" si="247"/>
        <v>10</v>
      </c>
      <c r="AB1034">
        <f t="shared" si="248"/>
        <v>4.2857142857142856</v>
      </c>
      <c r="AC1034">
        <f t="shared" si="249"/>
        <v>0</v>
      </c>
      <c r="AD1034" s="1">
        <f t="shared" si="250"/>
        <v>0</v>
      </c>
      <c r="AE1034">
        <f t="shared" si="251"/>
        <v>0</v>
      </c>
      <c r="AF1034">
        <f t="shared" si="252"/>
        <v>0</v>
      </c>
      <c r="AG1034">
        <f t="shared" si="253"/>
        <v>0</v>
      </c>
    </row>
    <row r="1035" spans="1:33" x14ac:dyDescent="0.25">
      <c r="A1035" t="s">
        <v>1766</v>
      </c>
      <c r="B1035" t="s">
        <v>1199</v>
      </c>
      <c r="C1035">
        <v>167340</v>
      </c>
      <c r="D1035">
        <v>167340</v>
      </c>
      <c r="E1035">
        <v>10</v>
      </c>
      <c r="F1035">
        <v>20</v>
      </c>
      <c r="G1035">
        <v>40</v>
      </c>
      <c r="O1035">
        <v>70</v>
      </c>
      <c r="S1035">
        <f t="shared" si="242"/>
        <v>4.375</v>
      </c>
      <c r="T1035">
        <f t="shared" si="243"/>
        <v>0</v>
      </c>
      <c r="U1035">
        <f t="shared" si="241"/>
        <v>1</v>
      </c>
      <c r="V1035">
        <f t="shared" si="244"/>
        <v>1</v>
      </c>
      <c r="W1035">
        <f t="shared" si="245"/>
        <v>0</v>
      </c>
      <c r="X1035">
        <f t="shared" si="254"/>
        <v>0</v>
      </c>
      <c r="Y1035">
        <f t="shared" si="255"/>
        <v>0</v>
      </c>
      <c r="Z1035">
        <f t="shared" si="246"/>
        <v>2</v>
      </c>
      <c r="AA1035">
        <f t="shared" si="247"/>
        <v>5</v>
      </c>
      <c r="AB1035">
        <f t="shared" si="248"/>
        <v>5.7142857142857144</v>
      </c>
      <c r="AC1035">
        <f t="shared" si="249"/>
        <v>0</v>
      </c>
      <c r="AD1035" s="1">
        <f t="shared" si="250"/>
        <v>0</v>
      </c>
      <c r="AE1035">
        <f t="shared" si="251"/>
        <v>0</v>
      </c>
      <c r="AF1035">
        <f t="shared" si="252"/>
        <v>0</v>
      </c>
      <c r="AG1035">
        <f t="shared" si="253"/>
        <v>0</v>
      </c>
    </row>
    <row r="1036" spans="1:33" x14ac:dyDescent="0.25">
      <c r="A1036" t="s">
        <v>1767</v>
      </c>
      <c r="B1036" t="s">
        <v>1768</v>
      </c>
      <c r="C1036">
        <v>165675</v>
      </c>
      <c r="D1036">
        <v>165675</v>
      </c>
      <c r="E1036">
        <v>40</v>
      </c>
      <c r="F1036">
        <v>20</v>
      </c>
      <c r="G1036">
        <v>20</v>
      </c>
      <c r="O1036">
        <v>80</v>
      </c>
      <c r="S1036">
        <f t="shared" si="242"/>
        <v>5</v>
      </c>
      <c r="T1036">
        <f t="shared" si="243"/>
        <v>0</v>
      </c>
      <c r="U1036">
        <f t="shared" si="241"/>
        <v>1</v>
      </c>
      <c r="V1036">
        <f t="shared" si="244"/>
        <v>1</v>
      </c>
      <c r="W1036">
        <f t="shared" si="245"/>
        <v>0</v>
      </c>
      <c r="X1036">
        <f t="shared" si="254"/>
        <v>0</v>
      </c>
      <c r="Y1036">
        <f t="shared" si="255"/>
        <v>0</v>
      </c>
      <c r="Z1036">
        <f t="shared" si="246"/>
        <v>8</v>
      </c>
      <c r="AA1036">
        <f t="shared" si="247"/>
        <v>5</v>
      </c>
      <c r="AB1036">
        <f t="shared" si="248"/>
        <v>2.8571428571428572</v>
      </c>
      <c r="AC1036">
        <f t="shared" si="249"/>
        <v>0</v>
      </c>
      <c r="AD1036" s="1">
        <f t="shared" si="250"/>
        <v>0</v>
      </c>
      <c r="AE1036">
        <f t="shared" si="251"/>
        <v>0</v>
      </c>
      <c r="AF1036">
        <f t="shared" si="252"/>
        <v>0</v>
      </c>
      <c r="AG1036">
        <f t="shared" si="253"/>
        <v>0</v>
      </c>
    </row>
    <row r="1037" spans="1:33" x14ac:dyDescent="0.25">
      <c r="A1037" t="s">
        <v>1769</v>
      </c>
      <c r="B1037" t="s">
        <v>1770</v>
      </c>
      <c r="C1037">
        <v>168911</v>
      </c>
      <c r="D1037">
        <v>168911</v>
      </c>
      <c r="H1037">
        <v>10</v>
      </c>
      <c r="I1037">
        <v>50</v>
      </c>
      <c r="J1037">
        <v>20</v>
      </c>
      <c r="K1037">
        <v>10</v>
      </c>
      <c r="L1037">
        <v>10</v>
      </c>
      <c r="M1037">
        <v>100</v>
      </c>
      <c r="S1037">
        <f t="shared" si="242"/>
        <v>0</v>
      </c>
      <c r="T1037">
        <f t="shared" si="243"/>
        <v>8.3333333333333339</v>
      </c>
      <c r="U1037">
        <f t="shared" si="241"/>
        <v>1</v>
      </c>
      <c r="V1037">
        <f t="shared" si="244"/>
        <v>0</v>
      </c>
      <c r="W1037">
        <f t="shared" si="245"/>
        <v>1</v>
      </c>
      <c r="X1037">
        <f t="shared" si="254"/>
        <v>0</v>
      </c>
      <c r="Y1037">
        <f t="shared" si="255"/>
        <v>1</v>
      </c>
      <c r="Z1037">
        <f t="shared" si="246"/>
        <v>0</v>
      </c>
      <c r="AA1037">
        <f t="shared" si="247"/>
        <v>0</v>
      </c>
      <c r="AB1037">
        <f t="shared" si="248"/>
        <v>0</v>
      </c>
      <c r="AC1037">
        <f t="shared" si="249"/>
        <v>5</v>
      </c>
      <c r="AD1037" s="1">
        <f t="shared" si="250"/>
        <v>8.3333333333333339</v>
      </c>
      <c r="AE1037">
        <f t="shared" si="251"/>
        <v>10</v>
      </c>
      <c r="AF1037">
        <f t="shared" si="252"/>
        <v>10</v>
      </c>
      <c r="AG1037">
        <f t="shared" si="253"/>
        <v>10</v>
      </c>
    </row>
    <row r="1038" spans="1:33" x14ac:dyDescent="0.25">
      <c r="A1038" t="s">
        <v>1771</v>
      </c>
      <c r="B1038" t="s">
        <v>1772</v>
      </c>
      <c r="C1038">
        <v>164443</v>
      </c>
      <c r="D1038">
        <v>164443</v>
      </c>
      <c r="E1038">
        <v>40</v>
      </c>
      <c r="F1038">
        <v>30</v>
      </c>
      <c r="G1038">
        <v>40</v>
      </c>
      <c r="O1038">
        <v>110</v>
      </c>
      <c r="S1038">
        <f t="shared" si="242"/>
        <v>6.875</v>
      </c>
      <c r="T1038">
        <f t="shared" si="243"/>
        <v>0</v>
      </c>
      <c r="U1038">
        <f t="shared" si="241"/>
        <v>1</v>
      </c>
      <c r="V1038">
        <f t="shared" si="244"/>
        <v>1</v>
      </c>
      <c r="W1038">
        <f t="shared" si="245"/>
        <v>0</v>
      </c>
      <c r="X1038">
        <f t="shared" si="254"/>
        <v>1</v>
      </c>
      <c r="Y1038">
        <f t="shared" si="255"/>
        <v>0</v>
      </c>
      <c r="Z1038">
        <f t="shared" si="246"/>
        <v>8</v>
      </c>
      <c r="AA1038">
        <f t="shared" si="247"/>
        <v>7.5</v>
      </c>
      <c r="AB1038">
        <f t="shared" si="248"/>
        <v>5.7142857142857144</v>
      </c>
      <c r="AC1038">
        <f t="shared" si="249"/>
        <v>0</v>
      </c>
      <c r="AD1038" s="1">
        <f t="shared" si="250"/>
        <v>0</v>
      </c>
      <c r="AE1038">
        <f t="shared" si="251"/>
        <v>0</v>
      </c>
      <c r="AF1038">
        <f t="shared" si="252"/>
        <v>0</v>
      </c>
      <c r="AG1038">
        <f t="shared" si="253"/>
        <v>0</v>
      </c>
    </row>
    <row r="1039" spans="1:33" x14ac:dyDescent="0.25">
      <c r="A1039" t="s">
        <v>1773</v>
      </c>
      <c r="B1039" t="s">
        <v>1078</v>
      </c>
      <c r="C1039">
        <v>166359</v>
      </c>
      <c r="D1039">
        <v>166359</v>
      </c>
      <c r="S1039">
        <f t="shared" si="242"/>
        <v>0</v>
      </c>
      <c r="T1039">
        <f t="shared" si="243"/>
        <v>0</v>
      </c>
      <c r="U1039">
        <f t="shared" si="241"/>
        <v>0</v>
      </c>
      <c r="V1039">
        <f t="shared" si="244"/>
        <v>0</v>
      </c>
      <c r="W1039">
        <f t="shared" si="245"/>
        <v>0</v>
      </c>
      <c r="X1039">
        <f t="shared" si="254"/>
        <v>0</v>
      </c>
      <c r="Y1039">
        <f t="shared" si="255"/>
        <v>0</v>
      </c>
      <c r="Z1039">
        <f t="shared" si="246"/>
        <v>0</v>
      </c>
      <c r="AA1039">
        <f t="shared" si="247"/>
        <v>0</v>
      </c>
      <c r="AB1039">
        <f t="shared" si="248"/>
        <v>0</v>
      </c>
      <c r="AC1039">
        <f t="shared" si="249"/>
        <v>0</v>
      </c>
      <c r="AD1039" s="1">
        <f t="shared" si="250"/>
        <v>0</v>
      </c>
      <c r="AE1039">
        <f t="shared" si="251"/>
        <v>0</v>
      </c>
      <c r="AF1039">
        <f t="shared" si="252"/>
        <v>0</v>
      </c>
      <c r="AG1039">
        <f t="shared" si="253"/>
        <v>0</v>
      </c>
    </row>
    <row r="1040" spans="1:33" x14ac:dyDescent="0.25">
      <c r="A1040" t="s">
        <v>1774</v>
      </c>
      <c r="B1040" t="s">
        <v>1775</v>
      </c>
      <c r="C1040">
        <v>165375</v>
      </c>
      <c r="D1040">
        <v>165375</v>
      </c>
      <c r="E1040">
        <v>20</v>
      </c>
      <c r="F1040">
        <v>10</v>
      </c>
      <c r="G1040">
        <v>30</v>
      </c>
      <c r="O1040">
        <v>60</v>
      </c>
      <c r="S1040">
        <f t="shared" si="242"/>
        <v>3.75</v>
      </c>
      <c r="T1040">
        <f t="shared" si="243"/>
        <v>0</v>
      </c>
      <c r="U1040">
        <f t="shared" si="241"/>
        <v>1</v>
      </c>
      <c r="V1040">
        <f t="shared" si="244"/>
        <v>1</v>
      </c>
      <c r="W1040">
        <f t="shared" si="245"/>
        <v>0</v>
      </c>
      <c r="X1040">
        <f t="shared" si="254"/>
        <v>0</v>
      </c>
      <c r="Y1040">
        <f t="shared" si="255"/>
        <v>0</v>
      </c>
      <c r="Z1040">
        <f t="shared" si="246"/>
        <v>4</v>
      </c>
      <c r="AA1040">
        <f t="shared" si="247"/>
        <v>2.5</v>
      </c>
      <c r="AB1040">
        <f t="shared" si="248"/>
        <v>4.2857142857142856</v>
      </c>
      <c r="AC1040">
        <f t="shared" si="249"/>
        <v>0</v>
      </c>
      <c r="AD1040" s="1">
        <f t="shared" si="250"/>
        <v>0</v>
      </c>
      <c r="AE1040">
        <f t="shared" si="251"/>
        <v>0</v>
      </c>
      <c r="AF1040">
        <f t="shared" si="252"/>
        <v>0</v>
      </c>
      <c r="AG1040">
        <f t="shared" si="253"/>
        <v>0</v>
      </c>
    </row>
    <row r="1041" spans="1:33" x14ac:dyDescent="0.25">
      <c r="A1041" t="s">
        <v>1776</v>
      </c>
      <c r="B1041" t="s">
        <v>1777</v>
      </c>
      <c r="C1041">
        <v>168029</v>
      </c>
      <c r="D1041">
        <v>168029</v>
      </c>
      <c r="S1041">
        <f t="shared" si="242"/>
        <v>0</v>
      </c>
      <c r="T1041">
        <f t="shared" si="243"/>
        <v>0</v>
      </c>
      <c r="U1041">
        <f t="shared" si="241"/>
        <v>0</v>
      </c>
      <c r="V1041">
        <f t="shared" si="244"/>
        <v>0</v>
      </c>
      <c r="W1041">
        <f t="shared" si="245"/>
        <v>0</v>
      </c>
      <c r="X1041">
        <f t="shared" si="254"/>
        <v>0</v>
      </c>
      <c r="Y1041">
        <f t="shared" si="255"/>
        <v>0</v>
      </c>
      <c r="Z1041">
        <f t="shared" si="246"/>
        <v>0</v>
      </c>
      <c r="AA1041">
        <f t="shared" si="247"/>
        <v>0</v>
      </c>
      <c r="AB1041">
        <f t="shared" si="248"/>
        <v>0</v>
      </c>
      <c r="AC1041">
        <f t="shared" si="249"/>
        <v>0</v>
      </c>
      <c r="AD1041" s="1">
        <f t="shared" si="250"/>
        <v>0</v>
      </c>
      <c r="AE1041">
        <f t="shared" si="251"/>
        <v>0</v>
      </c>
      <c r="AF1041">
        <f t="shared" si="252"/>
        <v>0</v>
      </c>
      <c r="AG1041">
        <f t="shared" si="253"/>
        <v>0</v>
      </c>
    </row>
    <row r="1042" spans="1:33" x14ac:dyDescent="0.25">
      <c r="A1042" t="s">
        <v>1778</v>
      </c>
      <c r="B1042" t="s">
        <v>126</v>
      </c>
      <c r="C1042">
        <v>168316</v>
      </c>
      <c r="D1042">
        <v>168316</v>
      </c>
      <c r="E1042">
        <v>20</v>
      </c>
      <c r="F1042">
        <v>20</v>
      </c>
      <c r="G1042">
        <v>40</v>
      </c>
      <c r="O1042">
        <v>80</v>
      </c>
      <c r="S1042">
        <f t="shared" si="242"/>
        <v>5</v>
      </c>
      <c r="T1042">
        <f t="shared" si="243"/>
        <v>0</v>
      </c>
      <c r="U1042">
        <f t="shared" si="241"/>
        <v>1</v>
      </c>
      <c r="V1042">
        <f t="shared" si="244"/>
        <v>1</v>
      </c>
      <c r="W1042">
        <f t="shared" si="245"/>
        <v>0</v>
      </c>
      <c r="X1042">
        <f t="shared" si="254"/>
        <v>0</v>
      </c>
      <c r="Y1042">
        <f t="shared" si="255"/>
        <v>0</v>
      </c>
      <c r="Z1042">
        <f t="shared" si="246"/>
        <v>4</v>
      </c>
      <c r="AA1042">
        <f t="shared" si="247"/>
        <v>5</v>
      </c>
      <c r="AB1042">
        <f t="shared" si="248"/>
        <v>5.7142857142857144</v>
      </c>
      <c r="AC1042">
        <f t="shared" si="249"/>
        <v>0</v>
      </c>
      <c r="AD1042" s="1">
        <f t="shared" si="250"/>
        <v>0</v>
      </c>
      <c r="AE1042">
        <f t="shared" si="251"/>
        <v>0</v>
      </c>
      <c r="AF1042">
        <f t="shared" si="252"/>
        <v>0</v>
      </c>
      <c r="AG1042">
        <f t="shared" si="253"/>
        <v>0</v>
      </c>
    </row>
    <row r="1043" spans="1:33" x14ac:dyDescent="0.25">
      <c r="A1043" t="s">
        <v>1779</v>
      </c>
      <c r="B1043" t="s">
        <v>209</v>
      </c>
      <c r="C1043">
        <v>165686</v>
      </c>
      <c r="D1043">
        <v>165686</v>
      </c>
      <c r="E1043">
        <v>50</v>
      </c>
      <c r="F1043">
        <v>40</v>
      </c>
      <c r="G1043">
        <v>40</v>
      </c>
      <c r="O1043">
        <v>130</v>
      </c>
      <c r="S1043">
        <f t="shared" si="242"/>
        <v>8.125</v>
      </c>
      <c r="T1043">
        <f t="shared" si="243"/>
        <v>0</v>
      </c>
      <c r="U1043">
        <f t="shared" si="241"/>
        <v>1</v>
      </c>
      <c r="V1043">
        <f t="shared" si="244"/>
        <v>1</v>
      </c>
      <c r="W1043">
        <f t="shared" si="245"/>
        <v>0</v>
      </c>
      <c r="X1043">
        <f t="shared" si="254"/>
        <v>1</v>
      </c>
      <c r="Y1043">
        <f t="shared" si="255"/>
        <v>0</v>
      </c>
      <c r="Z1043">
        <f t="shared" si="246"/>
        <v>10</v>
      </c>
      <c r="AA1043">
        <f t="shared" si="247"/>
        <v>10</v>
      </c>
      <c r="AB1043">
        <f t="shared" si="248"/>
        <v>5.7142857142857144</v>
      </c>
      <c r="AC1043">
        <f t="shared" si="249"/>
        <v>0</v>
      </c>
      <c r="AD1043" s="1">
        <f t="shared" si="250"/>
        <v>0</v>
      </c>
      <c r="AE1043">
        <f t="shared" si="251"/>
        <v>0</v>
      </c>
      <c r="AF1043">
        <f t="shared" si="252"/>
        <v>0</v>
      </c>
      <c r="AG1043">
        <f t="shared" si="253"/>
        <v>0</v>
      </c>
    </row>
    <row r="1044" spans="1:33" x14ac:dyDescent="0.25">
      <c r="A1044" t="s">
        <v>1780</v>
      </c>
      <c r="B1044" t="s">
        <v>1781</v>
      </c>
      <c r="C1044">
        <v>168220</v>
      </c>
      <c r="D1044">
        <v>168220</v>
      </c>
      <c r="E1044">
        <v>40</v>
      </c>
      <c r="F1044">
        <v>30</v>
      </c>
      <c r="G1044">
        <v>20</v>
      </c>
      <c r="O1044">
        <v>90</v>
      </c>
      <c r="S1044">
        <f t="shared" si="242"/>
        <v>5.625</v>
      </c>
      <c r="T1044">
        <f t="shared" si="243"/>
        <v>0</v>
      </c>
      <c r="U1044">
        <f t="shared" si="241"/>
        <v>1</v>
      </c>
      <c r="V1044">
        <f t="shared" si="244"/>
        <v>1</v>
      </c>
      <c r="W1044">
        <f t="shared" si="245"/>
        <v>0</v>
      </c>
      <c r="X1044">
        <f t="shared" si="254"/>
        <v>0</v>
      </c>
      <c r="Y1044">
        <f t="shared" si="255"/>
        <v>0</v>
      </c>
      <c r="Z1044">
        <f t="shared" si="246"/>
        <v>8</v>
      </c>
      <c r="AA1044">
        <f t="shared" si="247"/>
        <v>7.5</v>
      </c>
      <c r="AB1044">
        <f t="shared" si="248"/>
        <v>2.8571428571428572</v>
      </c>
      <c r="AC1044">
        <f t="shared" si="249"/>
        <v>0</v>
      </c>
      <c r="AD1044" s="1">
        <f t="shared" si="250"/>
        <v>0</v>
      </c>
      <c r="AE1044">
        <f t="shared" si="251"/>
        <v>0</v>
      </c>
      <c r="AF1044">
        <f t="shared" si="252"/>
        <v>0</v>
      </c>
      <c r="AG1044">
        <f t="shared" si="253"/>
        <v>0</v>
      </c>
    </row>
    <row r="1045" spans="1:33" x14ac:dyDescent="0.25">
      <c r="A1045" t="s">
        <v>1782</v>
      </c>
      <c r="B1045" t="s">
        <v>1783</v>
      </c>
      <c r="C1045">
        <v>168115</v>
      </c>
      <c r="D1045">
        <v>168115</v>
      </c>
      <c r="H1045">
        <v>10</v>
      </c>
      <c r="I1045">
        <v>40</v>
      </c>
      <c r="J1045">
        <v>20</v>
      </c>
      <c r="K1045">
        <v>0</v>
      </c>
      <c r="L1045">
        <v>0</v>
      </c>
      <c r="M1045">
        <v>70</v>
      </c>
      <c r="S1045">
        <f t="shared" si="242"/>
        <v>0</v>
      </c>
      <c r="T1045">
        <f t="shared" si="243"/>
        <v>5.833333333333333</v>
      </c>
      <c r="U1045">
        <f t="shared" si="241"/>
        <v>1</v>
      </c>
      <c r="V1045">
        <f t="shared" si="244"/>
        <v>0</v>
      </c>
      <c r="W1045">
        <f t="shared" si="245"/>
        <v>1</v>
      </c>
      <c r="X1045">
        <f t="shared" si="254"/>
        <v>0</v>
      </c>
      <c r="Y1045">
        <f t="shared" si="255"/>
        <v>0</v>
      </c>
      <c r="Z1045">
        <f t="shared" si="246"/>
        <v>0</v>
      </c>
      <c r="AA1045">
        <f t="shared" si="247"/>
        <v>0</v>
      </c>
      <c r="AB1045">
        <f t="shared" si="248"/>
        <v>0</v>
      </c>
      <c r="AC1045">
        <f t="shared" si="249"/>
        <v>5</v>
      </c>
      <c r="AD1045" s="1">
        <f t="shared" si="250"/>
        <v>6.666666666666667</v>
      </c>
      <c r="AE1045">
        <f t="shared" si="251"/>
        <v>10</v>
      </c>
      <c r="AF1045">
        <f t="shared" si="252"/>
        <v>0</v>
      </c>
      <c r="AG1045">
        <f t="shared" si="253"/>
        <v>0</v>
      </c>
    </row>
    <row r="1046" spans="1:33" x14ac:dyDescent="0.25">
      <c r="A1046" t="s">
        <v>1784</v>
      </c>
      <c r="B1046" t="s">
        <v>558</v>
      </c>
      <c r="C1046">
        <v>167668</v>
      </c>
      <c r="D1046">
        <v>167668</v>
      </c>
      <c r="E1046">
        <v>30</v>
      </c>
      <c r="F1046">
        <v>30</v>
      </c>
      <c r="G1046">
        <v>40</v>
      </c>
      <c r="O1046">
        <v>100</v>
      </c>
      <c r="S1046">
        <f t="shared" si="242"/>
        <v>6.25</v>
      </c>
      <c r="T1046">
        <f t="shared" si="243"/>
        <v>0</v>
      </c>
      <c r="U1046">
        <f t="shared" si="241"/>
        <v>1</v>
      </c>
      <c r="V1046">
        <f t="shared" si="244"/>
        <v>1</v>
      </c>
      <c r="W1046">
        <f t="shared" si="245"/>
        <v>0</v>
      </c>
      <c r="X1046">
        <f t="shared" si="254"/>
        <v>1</v>
      </c>
      <c r="Y1046">
        <f t="shared" si="255"/>
        <v>0</v>
      </c>
      <c r="Z1046">
        <f t="shared" si="246"/>
        <v>6</v>
      </c>
      <c r="AA1046">
        <f t="shared" si="247"/>
        <v>7.5</v>
      </c>
      <c r="AB1046">
        <f t="shared" si="248"/>
        <v>5.7142857142857144</v>
      </c>
      <c r="AC1046">
        <f t="shared" si="249"/>
        <v>0</v>
      </c>
      <c r="AD1046" s="1">
        <f t="shared" si="250"/>
        <v>0</v>
      </c>
      <c r="AE1046">
        <f t="shared" si="251"/>
        <v>0</v>
      </c>
      <c r="AF1046">
        <f t="shared" si="252"/>
        <v>0</v>
      </c>
      <c r="AG1046">
        <f t="shared" si="253"/>
        <v>0</v>
      </c>
    </row>
    <row r="1047" spans="1:33" x14ac:dyDescent="0.25">
      <c r="A1047" t="s">
        <v>1785</v>
      </c>
      <c r="B1047" t="s">
        <v>1786</v>
      </c>
      <c r="C1047">
        <v>166269</v>
      </c>
      <c r="D1047">
        <v>166269</v>
      </c>
      <c r="H1047">
        <v>0</v>
      </c>
      <c r="I1047">
        <v>50</v>
      </c>
      <c r="J1047">
        <v>20</v>
      </c>
      <c r="M1047">
        <v>70</v>
      </c>
      <c r="S1047">
        <f t="shared" si="242"/>
        <v>0</v>
      </c>
      <c r="T1047">
        <f t="shared" si="243"/>
        <v>5.833333333333333</v>
      </c>
      <c r="U1047">
        <f t="shared" si="241"/>
        <v>1</v>
      </c>
      <c r="V1047">
        <f t="shared" si="244"/>
        <v>0</v>
      </c>
      <c r="W1047">
        <f t="shared" si="245"/>
        <v>1</v>
      </c>
      <c r="X1047">
        <f t="shared" si="254"/>
        <v>0</v>
      </c>
      <c r="Y1047">
        <f t="shared" si="255"/>
        <v>0</v>
      </c>
      <c r="Z1047">
        <f t="shared" si="246"/>
        <v>0</v>
      </c>
      <c r="AA1047">
        <f t="shared" si="247"/>
        <v>0</v>
      </c>
      <c r="AB1047">
        <f t="shared" si="248"/>
        <v>0</v>
      </c>
      <c r="AC1047">
        <f t="shared" si="249"/>
        <v>0</v>
      </c>
      <c r="AD1047" s="1">
        <f t="shared" si="250"/>
        <v>8.3333333333333339</v>
      </c>
      <c r="AE1047">
        <f t="shared" si="251"/>
        <v>10</v>
      </c>
      <c r="AF1047">
        <f t="shared" si="252"/>
        <v>0</v>
      </c>
      <c r="AG1047">
        <f t="shared" si="253"/>
        <v>0</v>
      </c>
    </row>
    <row r="1048" spans="1:33" x14ac:dyDescent="0.25">
      <c r="A1048" t="s">
        <v>1787</v>
      </c>
      <c r="B1048" t="s">
        <v>1788</v>
      </c>
      <c r="C1048">
        <v>166747</v>
      </c>
      <c r="D1048">
        <v>166747</v>
      </c>
      <c r="E1048">
        <v>30</v>
      </c>
      <c r="F1048">
        <v>20</v>
      </c>
      <c r="G1048">
        <v>10</v>
      </c>
      <c r="O1048">
        <v>60</v>
      </c>
      <c r="S1048">
        <f t="shared" si="242"/>
        <v>3.75</v>
      </c>
      <c r="T1048">
        <f t="shared" si="243"/>
        <v>0</v>
      </c>
      <c r="U1048">
        <f t="shared" si="241"/>
        <v>1</v>
      </c>
      <c r="V1048">
        <f t="shared" si="244"/>
        <v>1</v>
      </c>
      <c r="W1048">
        <f t="shared" si="245"/>
        <v>0</v>
      </c>
      <c r="X1048">
        <f t="shared" si="254"/>
        <v>0</v>
      </c>
      <c r="Y1048">
        <f t="shared" si="255"/>
        <v>0</v>
      </c>
      <c r="Z1048">
        <f t="shared" si="246"/>
        <v>6</v>
      </c>
      <c r="AA1048">
        <f t="shared" si="247"/>
        <v>5</v>
      </c>
      <c r="AB1048">
        <f t="shared" si="248"/>
        <v>1.4285714285714286</v>
      </c>
      <c r="AC1048">
        <f t="shared" si="249"/>
        <v>0</v>
      </c>
      <c r="AD1048" s="1">
        <f t="shared" si="250"/>
        <v>0</v>
      </c>
      <c r="AE1048">
        <f t="shared" si="251"/>
        <v>0</v>
      </c>
      <c r="AF1048">
        <f t="shared" si="252"/>
        <v>0</v>
      </c>
      <c r="AG1048">
        <f t="shared" si="253"/>
        <v>0</v>
      </c>
    </row>
    <row r="1049" spans="1:33" x14ac:dyDescent="0.25">
      <c r="A1049" t="s">
        <v>1789</v>
      </c>
      <c r="B1049" t="s">
        <v>1790</v>
      </c>
      <c r="C1049">
        <v>168417</v>
      </c>
      <c r="D1049">
        <v>168417</v>
      </c>
      <c r="H1049">
        <v>10</v>
      </c>
      <c r="I1049">
        <v>30</v>
      </c>
      <c r="J1049">
        <v>20</v>
      </c>
      <c r="K1049">
        <v>0</v>
      </c>
      <c r="L1049">
        <v>0</v>
      </c>
      <c r="M1049">
        <v>60</v>
      </c>
      <c r="S1049">
        <f t="shared" si="242"/>
        <v>0</v>
      </c>
      <c r="T1049">
        <f t="shared" si="243"/>
        <v>5</v>
      </c>
      <c r="U1049">
        <f t="shared" si="241"/>
        <v>1</v>
      </c>
      <c r="V1049">
        <f t="shared" si="244"/>
        <v>0</v>
      </c>
      <c r="W1049">
        <f t="shared" si="245"/>
        <v>1</v>
      </c>
      <c r="X1049">
        <f t="shared" si="254"/>
        <v>0</v>
      </c>
      <c r="Y1049">
        <f t="shared" si="255"/>
        <v>0</v>
      </c>
      <c r="Z1049">
        <f t="shared" si="246"/>
        <v>0</v>
      </c>
      <c r="AA1049">
        <f t="shared" si="247"/>
        <v>0</v>
      </c>
      <c r="AB1049">
        <f t="shared" si="248"/>
        <v>0</v>
      </c>
      <c r="AC1049">
        <f t="shared" si="249"/>
        <v>5</v>
      </c>
      <c r="AD1049" s="1">
        <f t="shared" si="250"/>
        <v>5</v>
      </c>
      <c r="AE1049">
        <f t="shared" si="251"/>
        <v>10</v>
      </c>
      <c r="AF1049">
        <f t="shared" si="252"/>
        <v>0</v>
      </c>
      <c r="AG1049">
        <f t="shared" si="253"/>
        <v>0</v>
      </c>
    </row>
    <row r="1050" spans="1:33" x14ac:dyDescent="0.25">
      <c r="A1050" t="s">
        <v>1791</v>
      </c>
      <c r="B1050" t="s">
        <v>1792</v>
      </c>
      <c r="C1050">
        <v>168508</v>
      </c>
      <c r="D1050">
        <v>168508</v>
      </c>
      <c r="H1050">
        <v>10</v>
      </c>
      <c r="I1050">
        <v>60</v>
      </c>
      <c r="J1050">
        <v>20</v>
      </c>
      <c r="K1050">
        <v>10</v>
      </c>
      <c r="L1050">
        <v>0</v>
      </c>
      <c r="M1050">
        <v>100</v>
      </c>
      <c r="S1050">
        <f t="shared" si="242"/>
        <v>0</v>
      </c>
      <c r="T1050">
        <f t="shared" si="243"/>
        <v>8.3333333333333339</v>
      </c>
      <c r="U1050">
        <f t="shared" si="241"/>
        <v>1</v>
      </c>
      <c r="V1050">
        <f t="shared" si="244"/>
        <v>0</v>
      </c>
      <c r="W1050">
        <f t="shared" si="245"/>
        <v>1</v>
      </c>
      <c r="X1050">
        <f t="shared" si="254"/>
        <v>0</v>
      </c>
      <c r="Y1050">
        <f t="shared" si="255"/>
        <v>1</v>
      </c>
      <c r="Z1050">
        <f t="shared" si="246"/>
        <v>0</v>
      </c>
      <c r="AA1050">
        <f t="shared" si="247"/>
        <v>0</v>
      </c>
      <c r="AB1050">
        <f t="shared" si="248"/>
        <v>0</v>
      </c>
      <c r="AC1050">
        <f t="shared" si="249"/>
        <v>5</v>
      </c>
      <c r="AD1050" s="1">
        <f t="shared" si="250"/>
        <v>10</v>
      </c>
      <c r="AE1050">
        <f t="shared" si="251"/>
        <v>10</v>
      </c>
      <c r="AF1050">
        <f t="shared" si="252"/>
        <v>10</v>
      </c>
      <c r="AG1050">
        <f t="shared" si="253"/>
        <v>0</v>
      </c>
    </row>
    <row r="1051" spans="1:33" x14ac:dyDescent="0.25">
      <c r="A1051" t="s">
        <v>1793</v>
      </c>
      <c r="B1051" t="s">
        <v>1794</v>
      </c>
      <c r="C1051">
        <v>166452</v>
      </c>
      <c r="D1051">
        <v>166452</v>
      </c>
      <c r="H1051">
        <v>20</v>
      </c>
      <c r="I1051">
        <v>30</v>
      </c>
      <c r="J1051">
        <v>20</v>
      </c>
      <c r="K1051">
        <v>10</v>
      </c>
      <c r="L1051">
        <v>10</v>
      </c>
      <c r="M1051">
        <v>90</v>
      </c>
      <c r="S1051">
        <f t="shared" si="242"/>
        <v>0</v>
      </c>
      <c r="T1051">
        <f t="shared" si="243"/>
        <v>7.5</v>
      </c>
      <c r="U1051">
        <f t="shared" si="241"/>
        <v>1</v>
      </c>
      <c r="V1051">
        <f t="shared" si="244"/>
        <v>0</v>
      </c>
      <c r="W1051">
        <f t="shared" si="245"/>
        <v>1</v>
      </c>
      <c r="X1051">
        <f t="shared" si="254"/>
        <v>0</v>
      </c>
      <c r="Y1051">
        <f t="shared" si="255"/>
        <v>1</v>
      </c>
      <c r="Z1051">
        <f t="shared" si="246"/>
        <v>0</v>
      </c>
      <c r="AA1051">
        <f t="shared" si="247"/>
        <v>0</v>
      </c>
      <c r="AB1051">
        <f t="shared" si="248"/>
        <v>0</v>
      </c>
      <c r="AC1051">
        <f t="shared" si="249"/>
        <v>10</v>
      </c>
      <c r="AD1051" s="1">
        <f t="shared" si="250"/>
        <v>5</v>
      </c>
      <c r="AE1051">
        <f t="shared" si="251"/>
        <v>10</v>
      </c>
      <c r="AF1051">
        <f t="shared" si="252"/>
        <v>10</v>
      </c>
      <c r="AG1051">
        <f t="shared" si="253"/>
        <v>10</v>
      </c>
    </row>
    <row r="1052" spans="1:33" x14ac:dyDescent="0.25">
      <c r="A1052" t="s">
        <v>1795</v>
      </c>
      <c r="B1052" t="s">
        <v>1796</v>
      </c>
      <c r="C1052">
        <v>166774</v>
      </c>
      <c r="D1052">
        <v>166774</v>
      </c>
      <c r="S1052">
        <f t="shared" si="242"/>
        <v>0</v>
      </c>
      <c r="T1052">
        <f t="shared" si="243"/>
        <v>0</v>
      </c>
      <c r="U1052">
        <f t="shared" si="241"/>
        <v>0</v>
      </c>
      <c r="V1052">
        <f t="shared" si="244"/>
        <v>0</v>
      </c>
      <c r="W1052">
        <f t="shared" si="245"/>
        <v>0</v>
      </c>
      <c r="X1052">
        <f t="shared" si="254"/>
        <v>0</v>
      </c>
      <c r="Y1052">
        <f t="shared" si="255"/>
        <v>0</v>
      </c>
      <c r="Z1052">
        <f t="shared" si="246"/>
        <v>0</v>
      </c>
      <c r="AA1052">
        <f t="shared" si="247"/>
        <v>0</v>
      </c>
      <c r="AB1052">
        <f t="shared" si="248"/>
        <v>0</v>
      </c>
      <c r="AC1052">
        <f t="shared" si="249"/>
        <v>0</v>
      </c>
      <c r="AD1052" s="1">
        <f t="shared" si="250"/>
        <v>0</v>
      </c>
      <c r="AE1052">
        <f t="shared" si="251"/>
        <v>0</v>
      </c>
      <c r="AF1052">
        <f t="shared" si="252"/>
        <v>0</v>
      </c>
      <c r="AG1052">
        <f t="shared" si="253"/>
        <v>0</v>
      </c>
    </row>
    <row r="1053" spans="1:33" x14ac:dyDescent="0.25">
      <c r="A1053" t="s">
        <v>1797</v>
      </c>
      <c r="B1053" t="s">
        <v>1798</v>
      </c>
      <c r="C1053">
        <v>165789</v>
      </c>
      <c r="D1053">
        <v>165789</v>
      </c>
      <c r="E1053">
        <v>30</v>
      </c>
      <c r="F1053">
        <v>10</v>
      </c>
      <c r="G1053">
        <v>30</v>
      </c>
      <c r="O1053">
        <v>70</v>
      </c>
      <c r="S1053">
        <f t="shared" si="242"/>
        <v>4.375</v>
      </c>
      <c r="T1053">
        <f t="shared" si="243"/>
        <v>0</v>
      </c>
      <c r="U1053">
        <f t="shared" si="241"/>
        <v>1</v>
      </c>
      <c r="V1053">
        <f t="shared" si="244"/>
        <v>1</v>
      </c>
      <c r="W1053">
        <f t="shared" si="245"/>
        <v>0</v>
      </c>
      <c r="X1053">
        <f t="shared" si="254"/>
        <v>0</v>
      </c>
      <c r="Y1053">
        <f t="shared" si="255"/>
        <v>0</v>
      </c>
      <c r="Z1053">
        <f t="shared" si="246"/>
        <v>6</v>
      </c>
      <c r="AA1053">
        <f t="shared" si="247"/>
        <v>2.5</v>
      </c>
      <c r="AB1053">
        <f t="shared" si="248"/>
        <v>4.2857142857142856</v>
      </c>
      <c r="AC1053">
        <f t="shared" si="249"/>
        <v>0</v>
      </c>
      <c r="AD1053" s="1">
        <f t="shared" si="250"/>
        <v>0</v>
      </c>
      <c r="AE1053">
        <f t="shared" si="251"/>
        <v>0</v>
      </c>
      <c r="AF1053">
        <f t="shared" si="252"/>
        <v>0</v>
      </c>
      <c r="AG1053">
        <f t="shared" si="253"/>
        <v>0</v>
      </c>
    </row>
    <row r="1054" spans="1:33" x14ac:dyDescent="0.25">
      <c r="A1054" t="s">
        <v>1799</v>
      </c>
      <c r="B1054" t="s">
        <v>1800</v>
      </c>
      <c r="C1054">
        <v>166484</v>
      </c>
      <c r="D1054">
        <v>166484</v>
      </c>
      <c r="S1054">
        <f t="shared" si="242"/>
        <v>0</v>
      </c>
      <c r="T1054">
        <f t="shared" si="243"/>
        <v>0</v>
      </c>
      <c r="U1054">
        <f t="shared" si="241"/>
        <v>0</v>
      </c>
      <c r="V1054">
        <f t="shared" si="244"/>
        <v>0</v>
      </c>
      <c r="W1054">
        <f t="shared" si="245"/>
        <v>0</v>
      </c>
      <c r="X1054">
        <f t="shared" si="254"/>
        <v>0</v>
      </c>
      <c r="Y1054">
        <f t="shared" si="255"/>
        <v>0</v>
      </c>
      <c r="Z1054">
        <f t="shared" si="246"/>
        <v>0</v>
      </c>
      <c r="AA1054">
        <f t="shared" si="247"/>
        <v>0</v>
      </c>
      <c r="AB1054">
        <f t="shared" si="248"/>
        <v>0</v>
      </c>
      <c r="AC1054">
        <f t="shared" si="249"/>
        <v>0</v>
      </c>
      <c r="AD1054" s="1">
        <f t="shared" si="250"/>
        <v>0</v>
      </c>
      <c r="AE1054">
        <f t="shared" si="251"/>
        <v>0</v>
      </c>
      <c r="AF1054">
        <f t="shared" si="252"/>
        <v>0</v>
      </c>
      <c r="AG1054">
        <f t="shared" si="253"/>
        <v>0</v>
      </c>
    </row>
    <row r="1055" spans="1:33" x14ac:dyDescent="0.25">
      <c r="A1055" t="s">
        <v>1801</v>
      </c>
      <c r="B1055" t="s">
        <v>725</v>
      </c>
      <c r="C1055">
        <v>165116</v>
      </c>
      <c r="D1055">
        <v>165116</v>
      </c>
      <c r="S1055">
        <f t="shared" si="242"/>
        <v>0</v>
      </c>
      <c r="T1055">
        <f t="shared" si="243"/>
        <v>0</v>
      </c>
      <c r="U1055">
        <f t="shared" si="241"/>
        <v>0</v>
      </c>
      <c r="V1055">
        <f t="shared" si="244"/>
        <v>0</v>
      </c>
      <c r="W1055">
        <f t="shared" si="245"/>
        <v>0</v>
      </c>
      <c r="X1055">
        <f t="shared" si="254"/>
        <v>0</v>
      </c>
      <c r="Y1055">
        <f t="shared" si="255"/>
        <v>0</v>
      </c>
      <c r="Z1055">
        <f t="shared" si="246"/>
        <v>0</v>
      </c>
      <c r="AA1055">
        <f t="shared" si="247"/>
        <v>0</v>
      </c>
      <c r="AB1055">
        <f t="shared" si="248"/>
        <v>0</v>
      </c>
      <c r="AC1055">
        <f t="shared" si="249"/>
        <v>0</v>
      </c>
      <c r="AD1055" s="1">
        <f t="shared" si="250"/>
        <v>0</v>
      </c>
      <c r="AE1055">
        <f t="shared" si="251"/>
        <v>0</v>
      </c>
      <c r="AF1055">
        <f t="shared" si="252"/>
        <v>0</v>
      </c>
      <c r="AG1055">
        <f t="shared" si="253"/>
        <v>0</v>
      </c>
    </row>
    <row r="1056" spans="1:33" x14ac:dyDescent="0.25">
      <c r="A1056" t="s">
        <v>1802</v>
      </c>
      <c r="B1056" t="s">
        <v>126</v>
      </c>
      <c r="C1056">
        <v>165574</v>
      </c>
      <c r="D1056">
        <v>165574</v>
      </c>
      <c r="S1056">
        <f t="shared" si="242"/>
        <v>0</v>
      </c>
      <c r="T1056">
        <f t="shared" si="243"/>
        <v>0</v>
      </c>
      <c r="U1056">
        <f t="shared" si="241"/>
        <v>0</v>
      </c>
      <c r="V1056">
        <f t="shared" si="244"/>
        <v>0</v>
      </c>
      <c r="W1056">
        <f t="shared" si="245"/>
        <v>0</v>
      </c>
      <c r="X1056">
        <f t="shared" si="254"/>
        <v>0</v>
      </c>
      <c r="Y1056">
        <f t="shared" si="255"/>
        <v>0</v>
      </c>
      <c r="Z1056">
        <f t="shared" si="246"/>
        <v>0</v>
      </c>
      <c r="AA1056">
        <f t="shared" si="247"/>
        <v>0</v>
      </c>
      <c r="AB1056">
        <f t="shared" si="248"/>
        <v>0</v>
      </c>
      <c r="AC1056">
        <f t="shared" si="249"/>
        <v>0</v>
      </c>
      <c r="AD1056" s="1">
        <f t="shared" si="250"/>
        <v>0</v>
      </c>
      <c r="AE1056">
        <f t="shared" si="251"/>
        <v>0</v>
      </c>
      <c r="AF1056">
        <f t="shared" si="252"/>
        <v>0</v>
      </c>
      <c r="AG1056">
        <f t="shared" si="253"/>
        <v>0</v>
      </c>
    </row>
    <row r="1057" spans="1:33" x14ac:dyDescent="0.25">
      <c r="A1057" t="s">
        <v>1803</v>
      </c>
      <c r="B1057" t="s">
        <v>1557</v>
      </c>
      <c r="C1057">
        <v>168372</v>
      </c>
      <c r="D1057">
        <v>168372</v>
      </c>
      <c r="E1057">
        <v>20</v>
      </c>
      <c r="F1057">
        <v>10</v>
      </c>
      <c r="G1057">
        <v>20</v>
      </c>
      <c r="O1057">
        <v>50</v>
      </c>
      <c r="S1057">
        <f t="shared" si="242"/>
        <v>3.125</v>
      </c>
      <c r="T1057">
        <f t="shared" si="243"/>
        <v>0</v>
      </c>
      <c r="U1057">
        <f t="shared" si="241"/>
        <v>1</v>
      </c>
      <c r="V1057">
        <f t="shared" si="244"/>
        <v>1</v>
      </c>
      <c r="W1057">
        <f t="shared" si="245"/>
        <v>0</v>
      </c>
      <c r="X1057">
        <f t="shared" si="254"/>
        <v>0</v>
      </c>
      <c r="Y1057">
        <f t="shared" si="255"/>
        <v>0</v>
      </c>
      <c r="Z1057">
        <f t="shared" si="246"/>
        <v>4</v>
      </c>
      <c r="AA1057">
        <f t="shared" si="247"/>
        <v>2.5</v>
      </c>
      <c r="AB1057">
        <f t="shared" si="248"/>
        <v>2.8571428571428572</v>
      </c>
      <c r="AC1057">
        <f t="shared" si="249"/>
        <v>0</v>
      </c>
      <c r="AD1057" s="1">
        <f t="shared" si="250"/>
        <v>0</v>
      </c>
      <c r="AE1057">
        <f t="shared" si="251"/>
        <v>0</v>
      </c>
      <c r="AF1057">
        <f t="shared" si="252"/>
        <v>0</v>
      </c>
      <c r="AG1057">
        <f t="shared" si="253"/>
        <v>0</v>
      </c>
    </row>
    <row r="1058" spans="1:33" x14ac:dyDescent="0.25">
      <c r="A1058" t="s">
        <v>1804</v>
      </c>
      <c r="B1058" t="s">
        <v>1805</v>
      </c>
      <c r="C1058">
        <v>168489</v>
      </c>
      <c r="D1058">
        <v>168489</v>
      </c>
      <c r="S1058">
        <f t="shared" si="242"/>
        <v>0</v>
      </c>
      <c r="T1058">
        <f t="shared" si="243"/>
        <v>0</v>
      </c>
      <c r="U1058">
        <f t="shared" si="241"/>
        <v>0</v>
      </c>
      <c r="V1058">
        <f t="shared" si="244"/>
        <v>0</v>
      </c>
      <c r="W1058">
        <f t="shared" si="245"/>
        <v>0</v>
      </c>
      <c r="X1058">
        <f t="shared" si="254"/>
        <v>0</v>
      </c>
      <c r="Y1058">
        <f t="shared" si="255"/>
        <v>0</v>
      </c>
      <c r="Z1058">
        <f t="shared" si="246"/>
        <v>0</v>
      </c>
      <c r="AA1058">
        <f t="shared" si="247"/>
        <v>0</v>
      </c>
      <c r="AB1058">
        <f t="shared" si="248"/>
        <v>0</v>
      </c>
      <c r="AC1058">
        <f t="shared" si="249"/>
        <v>0</v>
      </c>
      <c r="AD1058" s="1">
        <f t="shared" si="250"/>
        <v>0</v>
      </c>
      <c r="AE1058">
        <f t="shared" si="251"/>
        <v>0</v>
      </c>
      <c r="AF1058">
        <f t="shared" si="252"/>
        <v>0</v>
      </c>
      <c r="AG1058">
        <f t="shared" si="253"/>
        <v>0</v>
      </c>
    </row>
    <row r="1059" spans="1:33" x14ac:dyDescent="0.25">
      <c r="A1059" t="s">
        <v>1806</v>
      </c>
      <c r="B1059" t="s">
        <v>1807</v>
      </c>
      <c r="C1059">
        <v>166542</v>
      </c>
      <c r="D1059">
        <v>166542</v>
      </c>
      <c r="E1059">
        <v>40</v>
      </c>
      <c r="F1059">
        <v>10</v>
      </c>
      <c r="G1059">
        <v>10</v>
      </c>
      <c r="O1059">
        <v>60</v>
      </c>
      <c r="S1059">
        <f t="shared" si="242"/>
        <v>3.75</v>
      </c>
      <c r="T1059">
        <f t="shared" si="243"/>
        <v>0</v>
      </c>
      <c r="U1059">
        <f t="shared" si="241"/>
        <v>1</v>
      </c>
      <c r="V1059">
        <f t="shared" si="244"/>
        <v>1</v>
      </c>
      <c r="W1059">
        <f t="shared" si="245"/>
        <v>0</v>
      </c>
      <c r="X1059">
        <f t="shared" si="254"/>
        <v>0</v>
      </c>
      <c r="Y1059">
        <f t="shared" si="255"/>
        <v>0</v>
      </c>
      <c r="Z1059">
        <f t="shared" si="246"/>
        <v>8</v>
      </c>
      <c r="AA1059">
        <f t="shared" si="247"/>
        <v>2.5</v>
      </c>
      <c r="AB1059">
        <f t="shared" si="248"/>
        <v>1.4285714285714286</v>
      </c>
      <c r="AC1059">
        <f t="shared" si="249"/>
        <v>0</v>
      </c>
      <c r="AD1059" s="1">
        <f t="shared" si="250"/>
        <v>0</v>
      </c>
      <c r="AE1059">
        <f t="shared" si="251"/>
        <v>0</v>
      </c>
      <c r="AF1059">
        <f t="shared" si="252"/>
        <v>0</v>
      </c>
      <c r="AG1059">
        <f t="shared" si="253"/>
        <v>0</v>
      </c>
    </row>
    <row r="1060" spans="1:33" x14ac:dyDescent="0.25">
      <c r="A1060" t="s">
        <v>1808</v>
      </c>
      <c r="B1060" t="s">
        <v>270</v>
      </c>
      <c r="C1060">
        <v>166068</v>
      </c>
      <c r="D1060">
        <v>166068</v>
      </c>
      <c r="S1060">
        <f t="shared" si="242"/>
        <v>0</v>
      </c>
      <c r="T1060">
        <f t="shared" si="243"/>
        <v>0</v>
      </c>
      <c r="U1060">
        <f t="shared" si="241"/>
        <v>0</v>
      </c>
      <c r="V1060">
        <f t="shared" si="244"/>
        <v>0</v>
      </c>
      <c r="W1060">
        <f t="shared" si="245"/>
        <v>0</v>
      </c>
      <c r="X1060">
        <f t="shared" si="254"/>
        <v>0</v>
      </c>
      <c r="Y1060">
        <f t="shared" si="255"/>
        <v>0</v>
      </c>
      <c r="Z1060">
        <f t="shared" si="246"/>
        <v>0</v>
      </c>
      <c r="AA1060">
        <f t="shared" si="247"/>
        <v>0</v>
      </c>
      <c r="AB1060">
        <f t="shared" si="248"/>
        <v>0</v>
      </c>
      <c r="AC1060">
        <f t="shared" si="249"/>
        <v>0</v>
      </c>
      <c r="AD1060" s="1">
        <f t="shared" si="250"/>
        <v>0</v>
      </c>
      <c r="AE1060">
        <f t="shared" si="251"/>
        <v>0</v>
      </c>
      <c r="AF1060">
        <f t="shared" si="252"/>
        <v>0</v>
      </c>
      <c r="AG1060">
        <f t="shared" si="253"/>
        <v>0</v>
      </c>
    </row>
    <row r="1061" spans="1:33" x14ac:dyDescent="0.25">
      <c r="A1061" t="s">
        <v>1809</v>
      </c>
      <c r="B1061" t="s">
        <v>1639</v>
      </c>
      <c r="C1061">
        <v>168565</v>
      </c>
      <c r="D1061">
        <v>168565</v>
      </c>
      <c r="E1061">
        <v>20</v>
      </c>
      <c r="F1061">
        <v>30</v>
      </c>
      <c r="G1061">
        <v>50</v>
      </c>
      <c r="O1061">
        <v>100</v>
      </c>
      <c r="S1061">
        <f t="shared" si="242"/>
        <v>6.25</v>
      </c>
      <c r="T1061">
        <f t="shared" si="243"/>
        <v>0</v>
      </c>
      <c r="U1061">
        <f t="shared" si="241"/>
        <v>1</v>
      </c>
      <c r="V1061">
        <f t="shared" si="244"/>
        <v>1</v>
      </c>
      <c r="W1061">
        <f t="shared" si="245"/>
        <v>0</v>
      </c>
      <c r="X1061">
        <f t="shared" si="254"/>
        <v>1</v>
      </c>
      <c r="Y1061">
        <f t="shared" si="255"/>
        <v>0</v>
      </c>
      <c r="Z1061">
        <f t="shared" si="246"/>
        <v>4</v>
      </c>
      <c r="AA1061">
        <f t="shared" si="247"/>
        <v>7.5</v>
      </c>
      <c r="AB1061">
        <f t="shared" si="248"/>
        <v>7.1428571428571432</v>
      </c>
      <c r="AC1061">
        <f t="shared" si="249"/>
        <v>0</v>
      </c>
      <c r="AD1061" s="1">
        <f t="shared" si="250"/>
        <v>0</v>
      </c>
      <c r="AE1061">
        <f t="shared" si="251"/>
        <v>0</v>
      </c>
      <c r="AF1061">
        <f t="shared" si="252"/>
        <v>0</v>
      </c>
      <c r="AG1061">
        <f t="shared" si="253"/>
        <v>0</v>
      </c>
    </row>
    <row r="1062" spans="1:33" x14ac:dyDescent="0.25">
      <c r="A1062" t="s">
        <v>1810</v>
      </c>
      <c r="B1062" t="s">
        <v>168</v>
      </c>
      <c r="C1062">
        <v>168481</v>
      </c>
      <c r="D1062">
        <v>168481</v>
      </c>
      <c r="E1062">
        <v>10</v>
      </c>
      <c r="F1062">
        <v>20</v>
      </c>
      <c r="G1062">
        <v>30</v>
      </c>
      <c r="O1062">
        <v>60</v>
      </c>
      <c r="S1062">
        <f t="shared" si="242"/>
        <v>3.75</v>
      </c>
      <c r="T1062">
        <f t="shared" si="243"/>
        <v>0</v>
      </c>
      <c r="U1062">
        <f t="shared" si="241"/>
        <v>1</v>
      </c>
      <c r="V1062">
        <f t="shared" si="244"/>
        <v>1</v>
      </c>
      <c r="W1062">
        <f t="shared" si="245"/>
        <v>0</v>
      </c>
      <c r="X1062">
        <f t="shared" si="254"/>
        <v>0</v>
      </c>
      <c r="Y1062">
        <f t="shared" si="255"/>
        <v>0</v>
      </c>
      <c r="Z1062">
        <f t="shared" si="246"/>
        <v>2</v>
      </c>
      <c r="AA1062">
        <f t="shared" si="247"/>
        <v>5</v>
      </c>
      <c r="AB1062">
        <f t="shared" si="248"/>
        <v>4.2857142857142856</v>
      </c>
      <c r="AC1062">
        <f t="shared" si="249"/>
        <v>0</v>
      </c>
      <c r="AD1062" s="1">
        <f t="shared" si="250"/>
        <v>0</v>
      </c>
      <c r="AE1062">
        <f t="shared" si="251"/>
        <v>0</v>
      </c>
      <c r="AF1062">
        <f t="shared" si="252"/>
        <v>0</v>
      </c>
      <c r="AG1062">
        <f t="shared" si="253"/>
        <v>0</v>
      </c>
    </row>
    <row r="1063" spans="1:33" x14ac:dyDescent="0.25">
      <c r="A1063" t="s">
        <v>1811</v>
      </c>
      <c r="B1063" t="s">
        <v>1812</v>
      </c>
      <c r="C1063">
        <v>166445</v>
      </c>
      <c r="D1063">
        <v>166445</v>
      </c>
      <c r="H1063">
        <v>20</v>
      </c>
      <c r="I1063">
        <v>30</v>
      </c>
      <c r="J1063">
        <v>20</v>
      </c>
      <c r="K1063">
        <v>0</v>
      </c>
      <c r="L1063">
        <v>0</v>
      </c>
      <c r="M1063">
        <v>70</v>
      </c>
      <c r="S1063">
        <f t="shared" si="242"/>
        <v>0</v>
      </c>
      <c r="T1063">
        <f t="shared" si="243"/>
        <v>5.833333333333333</v>
      </c>
      <c r="U1063">
        <f t="shared" si="241"/>
        <v>1</v>
      </c>
      <c r="V1063">
        <f t="shared" si="244"/>
        <v>0</v>
      </c>
      <c r="W1063">
        <f t="shared" si="245"/>
        <v>1</v>
      </c>
      <c r="X1063">
        <f t="shared" si="254"/>
        <v>0</v>
      </c>
      <c r="Y1063">
        <f t="shared" si="255"/>
        <v>0</v>
      </c>
      <c r="Z1063">
        <f t="shared" si="246"/>
        <v>0</v>
      </c>
      <c r="AA1063">
        <f t="shared" si="247"/>
        <v>0</v>
      </c>
      <c r="AB1063">
        <f t="shared" si="248"/>
        <v>0</v>
      </c>
      <c r="AC1063">
        <f t="shared" si="249"/>
        <v>10</v>
      </c>
      <c r="AD1063" s="1">
        <f t="shared" si="250"/>
        <v>5</v>
      </c>
      <c r="AE1063">
        <f t="shared" si="251"/>
        <v>10</v>
      </c>
      <c r="AF1063">
        <f t="shared" si="252"/>
        <v>0</v>
      </c>
      <c r="AG1063">
        <f t="shared" si="253"/>
        <v>0</v>
      </c>
    </row>
    <row r="1064" spans="1:33" x14ac:dyDescent="0.25">
      <c r="A1064" t="s">
        <v>1813</v>
      </c>
      <c r="B1064" t="s">
        <v>1814</v>
      </c>
      <c r="C1064">
        <v>166052</v>
      </c>
      <c r="D1064">
        <v>166052</v>
      </c>
      <c r="H1064">
        <v>10</v>
      </c>
      <c r="I1064">
        <v>30</v>
      </c>
      <c r="J1064">
        <v>10</v>
      </c>
      <c r="K1064">
        <v>0</v>
      </c>
      <c r="L1064">
        <v>0</v>
      </c>
      <c r="M1064">
        <v>50</v>
      </c>
      <c r="S1064">
        <f t="shared" si="242"/>
        <v>0</v>
      </c>
      <c r="T1064">
        <f t="shared" si="243"/>
        <v>4.166666666666667</v>
      </c>
      <c r="U1064">
        <f t="shared" si="241"/>
        <v>1</v>
      </c>
      <c r="V1064">
        <f t="shared" si="244"/>
        <v>0</v>
      </c>
      <c r="W1064">
        <f t="shared" si="245"/>
        <v>1</v>
      </c>
      <c r="X1064">
        <f t="shared" si="254"/>
        <v>0</v>
      </c>
      <c r="Y1064">
        <f t="shared" si="255"/>
        <v>0</v>
      </c>
      <c r="Z1064">
        <f t="shared" si="246"/>
        <v>0</v>
      </c>
      <c r="AA1064">
        <f t="shared" si="247"/>
        <v>0</v>
      </c>
      <c r="AB1064">
        <f t="shared" si="248"/>
        <v>0</v>
      </c>
      <c r="AC1064">
        <f t="shared" si="249"/>
        <v>5</v>
      </c>
      <c r="AD1064" s="1">
        <f t="shared" si="250"/>
        <v>5</v>
      </c>
      <c r="AE1064">
        <f t="shared" si="251"/>
        <v>5</v>
      </c>
      <c r="AF1064">
        <f t="shared" si="252"/>
        <v>0</v>
      </c>
      <c r="AG1064">
        <f t="shared" si="253"/>
        <v>0</v>
      </c>
    </row>
    <row r="1065" spans="1:33" x14ac:dyDescent="0.25">
      <c r="A1065" t="s">
        <v>1815</v>
      </c>
      <c r="B1065" t="s">
        <v>1177</v>
      </c>
      <c r="C1065">
        <v>166715</v>
      </c>
      <c r="D1065">
        <v>166715</v>
      </c>
      <c r="H1065">
        <v>0</v>
      </c>
      <c r="I1065">
        <v>30</v>
      </c>
      <c r="J1065">
        <v>0</v>
      </c>
      <c r="K1065">
        <v>0</v>
      </c>
      <c r="L1065">
        <v>0</v>
      </c>
      <c r="M1065">
        <v>30</v>
      </c>
      <c r="S1065">
        <f t="shared" si="242"/>
        <v>0</v>
      </c>
      <c r="T1065">
        <f t="shared" si="243"/>
        <v>2.5</v>
      </c>
      <c r="U1065">
        <f t="shared" si="241"/>
        <v>1</v>
      </c>
      <c r="V1065">
        <f t="shared" si="244"/>
        <v>0</v>
      </c>
      <c r="W1065">
        <f t="shared" si="245"/>
        <v>1</v>
      </c>
      <c r="X1065">
        <f t="shared" si="254"/>
        <v>0</v>
      </c>
      <c r="Y1065">
        <f t="shared" si="255"/>
        <v>0</v>
      </c>
      <c r="Z1065">
        <f t="shared" si="246"/>
        <v>0</v>
      </c>
      <c r="AA1065">
        <f t="shared" si="247"/>
        <v>0</v>
      </c>
      <c r="AB1065">
        <f t="shared" si="248"/>
        <v>0</v>
      </c>
      <c r="AC1065">
        <f t="shared" si="249"/>
        <v>0</v>
      </c>
      <c r="AD1065" s="1">
        <f t="shared" si="250"/>
        <v>5</v>
      </c>
      <c r="AE1065">
        <f t="shared" si="251"/>
        <v>0</v>
      </c>
      <c r="AF1065">
        <f t="shared" si="252"/>
        <v>0</v>
      </c>
      <c r="AG1065">
        <f t="shared" si="253"/>
        <v>0</v>
      </c>
    </row>
    <row r="1066" spans="1:33" x14ac:dyDescent="0.25">
      <c r="A1066" t="s">
        <v>1816</v>
      </c>
      <c r="B1066" t="s">
        <v>924</v>
      </c>
      <c r="C1066">
        <v>168043</v>
      </c>
      <c r="D1066">
        <v>168043</v>
      </c>
      <c r="H1066">
        <v>20</v>
      </c>
      <c r="I1066">
        <v>30</v>
      </c>
      <c r="J1066">
        <v>10</v>
      </c>
      <c r="K1066">
        <v>0</v>
      </c>
      <c r="L1066">
        <v>10</v>
      </c>
      <c r="M1066">
        <v>70</v>
      </c>
      <c r="S1066">
        <f t="shared" si="242"/>
        <v>0</v>
      </c>
      <c r="T1066">
        <f t="shared" si="243"/>
        <v>5.833333333333333</v>
      </c>
      <c r="U1066">
        <f t="shared" si="241"/>
        <v>1</v>
      </c>
      <c r="V1066">
        <f t="shared" si="244"/>
        <v>0</v>
      </c>
      <c r="W1066">
        <f t="shared" si="245"/>
        <v>1</v>
      </c>
      <c r="X1066">
        <f t="shared" si="254"/>
        <v>0</v>
      </c>
      <c r="Y1066">
        <f t="shared" si="255"/>
        <v>0</v>
      </c>
      <c r="Z1066">
        <f t="shared" si="246"/>
        <v>0</v>
      </c>
      <c r="AA1066">
        <f t="shared" si="247"/>
        <v>0</v>
      </c>
      <c r="AB1066">
        <f t="shared" si="248"/>
        <v>0</v>
      </c>
      <c r="AC1066">
        <f t="shared" si="249"/>
        <v>10</v>
      </c>
      <c r="AD1066" s="1">
        <f t="shared" si="250"/>
        <v>5</v>
      </c>
      <c r="AE1066">
        <f t="shared" si="251"/>
        <v>5</v>
      </c>
      <c r="AF1066">
        <f t="shared" si="252"/>
        <v>0</v>
      </c>
      <c r="AG1066">
        <f t="shared" si="253"/>
        <v>10</v>
      </c>
    </row>
    <row r="1067" spans="1:33" x14ac:dyDescent="0.25">
      <c r="A1067" t="s">
        <v>1817</v>
      </c>
      <c r="B1067" t="s">
        <v>1818</v>
      </c>
      <c r="C1067">
        <v>166771</v>
      </c>
      <c r="D1067">
        <v>166771</v>
      </c>
      <c r="H1067">
        <v>0</v>
      </c>
      <c r="I1067">
        <v>20</v>
      </c>
      <c r="J1067">
        <v>10</v>
      </c>
      <c r="K1067">
        <v>10</v>
      </c>
      <c r="L1067">
        <v>10</v>
      </c>
      <c r="M1067">
        <v>50</v>
      </c>
      <c r="S1067">
        <f t="shared" si="242"/>
        <v>0</v>
      </c>
      <c r="T1067">
        <f t="shared" si="243"/>
        <v>4.166666666666667</v>
      </c>
      <c r="U1067">
        <f t="shared" si="241"/>
        <v>1</v>
      </c>
      <c r="V1067">
        <f t="shared" si="244"/>
        <v>0</v>
      </c>
      <c r="W1067">
        <f t="shared" si="245"/>
        <v>1</v>
      </c>
      <c r="X1067">
        <f t="shared" si="254"/>
        <v>0</v>
      </c>
      <c r="Y1067">
        <f t="shared" si="255"/>
        <v>0</v>
      </c>
      <c r="Z1067">
        <f t="shared" si="246"/>
        <v>0</v>
      </c>
      <c r="AA1067">
        <f t="shared" si="247"/>
        <v>0</v>
      </c>
      <c r="AB1067">
        <f t="shared" si="248"/>
        <v>0</v>
      </c>
      <c r="AC1067">
        <f t="shared" si="249"/>
        <v>0</v>
      </c>
      <c r="AD1067" s="1">
        <f t="shared" si="250"/>
        <v>3.3333333333333335</v>
      </c>
      <c r="AE1067">
        <f t="shared" si="251"/>
        <v>5</v>
      </c>
      <c r="AF1067">
        <f t="shared" si="252"/>
        <v>10</v>
      </c>
      <c r="AG1067">
        <f t="shared" si="253"/>
        <v>10</v>
      </c>
    </row>
    <row r="1068" spans="1:33" x14ac:dyDescent="0.25">
      <c r="A1068" t="s">
        <v>1819</v>
      </c>
      <c r="B1068" t="s">
        <v>1820</v>
      </c>
      <c r="C1068">
        <v>166071</v>
      </c>
      <c r="D1068">
        <v>166071</v>
      </c>
      <c r="H1068">
        <v>10</v>
      </c>
      <c r="I1068">
        <v>50</v>
      </c>
      <c r="J1068">
        <v>10</v>
      </c>
      <c r="K1068">
        <v>10</v>
      </c>
      <c r="L1068">
        <v>10</v>
      </c>
      <c r="M1068">
        <v>90</v>
      </c>
      <c r="S1068">
        <f t="shared" si="242"/>
        <v>0</v>
      </c>
      <c r="T1068">
        <f t="shared" si="243"/>
        <v>7.5</v>
      </c>
      <c r="U1068">
        <f t="shared" si="241"/>
        <v>1</v>
      </c>
      <c r="V1068">
        <f t="shared" si="244"/>
        <v>0</v>
      </c>
      <c r="W1068">
        <f t="shared" si="245"/>
        <v>1</v>
      </c>
      <c r="X1068">
        <f t="shared" si="254"/>
        <v>0</v>
      </c>
      <c r="Y1068">
        <f t="shared" si="255"/>
        <v>1</v>
      </c>
      <c r="Z1068">
        <f t="shared" si="246"/>
        <v>0</v>
      </c>
      <c r="AA1068">
        <f t="shared" si="247"/>
        <v>0</v>
      </c>
      <c r="AB1068">
        <f t="shared" si="248"/>
        <v>0</v>
      </c>
      <c r="AC1068">
        <f t="shared" si="249"/>
        <v>5</v>
      </c>
      <c r="AD1068" s="1">
        <f t="shared" si="250"/>
        <v>8.3333333333333339</v>
      </c>
      <c r="AE1068">
        <f t="shared" si="251"/>
        <v>5</v>
      </c>
      <c r="AF1068">
        <f t="shared" si="252"/>
        <v>10</v>
      </c>
      <c r="AG1068">
        <f t="shared" si="253"/>
        <v>10</v>
      </c>
    </row>
    <row r="1069" spans="1:33" x14ac:dyDescent="0.25">
      <c r="A1069" t="s">
        <v>1821</v>
      </c>
      <c r="B1069" t="s">
        <v>1822</v>
      </c>
      <c r="C1069">
        <v>165490</v>
      </c>
      <c r="D1069">
        <v>165490</v>
      </c>
      <c r="E1069">
        <v>20</v>
      </c>
      <c r="F1069">
        <v>0</v>
      </c>
      <c r="G1069">
        <v>30</v>
      </c>
      <c r="O1069">
        <v>50</v>
      </c>
      <c r="S1069">
        <f t="shared" si="242"/>
        <v>3.125</v>
      </c>
      <c r="T1069">
        <f t="shared" si="243"/>
        <v>0</v>
      </c>
      <c r="U1069">
        <f t="shared" si="241"/>
        <v>1</v>
      </c>
      <c r="V1069">
        <f t="shared" si="244"/>
        <v>1</v>
      </c>
      <c r="W1069">
        <f t="shared" si="245"/>
        <v>0</v>
      </c>
      <c r="X1069">
        <f t="shared" si="254"/>
        <v>0</v>
      </c>
      <c r="Y1069">
        <f t="shared" si="255"/>
        <v>0</v>
      </c>
      <c r="Z1069">
        <f t="shared" si="246"/>
        <v>4</v>
      </c>
      <c r="AA1069">
        <f t="shared" si="247"/>
        <v>0</v>
      </c>
      <c r="AB1069">
        <f t="shared" si="248"/>
        <v>4.2857142857142856</v>
      </c>
      <c r="AC1069">
        <f t="shared" si="249"/>
        <v>0</v>
      </c>
      <c r="AD1069" s="1">
        <f t="shared" si="250"/>
        <v>0</v>
      </c>
      <c r="AE1069">
        <f t="shared" si="251"/>
        <v>0</v>
      </c>
      <c r="AF1069">
        <f t="shared" si="252"/>
        <v>0</v>
      </c>
      <c r="AG1069">
        <f t="shared" si="253"/>
        <v>0</v>
      </c>
    </row>
    <row r="1070" spans="1:33" x14ac:dyDescent="0.25">
      <c r="A1070" t="s">
        <v>1823</v>
      </c>
      <c r="B1070" t="s">
        <v>1824</v>
      </c>
      <c r="C1070">
        <v>168003</v>
      </c>
      <c r="D1070">
        <v>168003</v>
      </c>
      <c r="H1070">
        <v>0</v>
      </c>
      <c r="I1070">
        <v>40</v>
      </c>
      <c r="J1070">
        <v>10</v>
      </c>
      <c r="K1070">
        <v>10</v>
      </c>
      <c r="L1070">
        <v>0</v>
      </c>
      <c r="M1070">
        <v>60</v>
      </c>
      <c r="S1070">
        <f t="shared" si="242"/>
        <v>0</v>
      </c>
      <c r="T1070">
        <f t="shared" si="243"/>
        <v>5</v>
      </c>
      <c r="U1070">
        <f t="shared" si="241"/>
        <v>1</v>
      </c>
      <c r="V1070">
        <f t="shared" si="244"/>
        <v>0</v>
      </c>
      <c r="W1070">
        <f t="shared" si="245"/>
        <v>1</v>
      </c>
      <c r="X1070">
        <f t="shared" si="254"/>
        <v>0</v>
      </c>
      <c r="Y1070">
        <f t="shared" si="255"/>
        <v>0</v>
      </c>
      <c r="Z1070">
        <f t="shared" si="246"/>
        <v>0</v>
      </c>
      <c r="AA1070">
        <f t="shared" si="247"/>
        <v>0</v>
      </c>
      <c r="AB1070">
        <f t="shared" si="248"/>
        <v>0</v>
      </c>
      <c r="AC1070">
        <f t="shared" si="249"/>
        <v>0</v>
      </c>
      <c r="AD1070" s="1">
        <f t="shared" si="250"/>
        <v>6.666666666666667</v>
      </c>
      <c r="AE1070">
        <f t="shared" si="251"/>
        <v>5</v>
      </c>
      <c r="AF1070">
        <f t="shared" si="252"/>
        <v>10</v>
      </c>
      <c r="AG1070">
        <f t="shared" si="253"/>
        <v>0</v>
      </c>
    </row>
    <row r="1071" spans="1:33" x14ac:dyDescent="0.25">
      <c r="A1071" t="s">
        <v>1825</v>
      </c>
      <c r="B1071" t="s">
        <v>59</v>
      </c>
      <c r="C1071">
        <v>166090</v>
      </c>
      <c r="D1071">
        <v>166090</v>
      </c>
      <c r="E1071">
        <v>20</v>
      </c>
      <c r="F1071">
        <v>10</v>
      </c>
      <c r="G1071">
        <v>30</v>
      </c>
      <c r="O1071">
        <v>60</v>
      </c>
      <c r="S1071">
        <f t="shared" si="242"/>
        <v>3.75</v>
      </c>
      <c r="T1071">
        <f t="shared" si="243"/>
        <v>0</v>
      </c>
      <c r="U1071">
        <f t="shared" si="241"/>
        <v>1</v>
      </c>
      <c r="V1071">
        <f t="shared" si="244"/>
        <v>1</v>
      </c>
      <c r="W1071">
        <f t="shared" si="245"/>
        <v>0</v>
      </c>
      <c r="X1071">
        <f t="shared" si="254"/>
        <v>0</v>
      </c>
      <c r="Y1071">
        <f t="shared" si="255"/>
        <v>0</v>
      </c>
      <c r="Z1071">
        <f t="shared" si="246"/>
        <v>4</v>
      </c>
      <c r="AA1071">
        <f t="shared" si="247"/>
        <v>2.5</v>
      </c>
      <c r="AB1071">
        <f t="shared" si="248"/>
        <v>4.2857142857142856</v>
      </c>
      <c r="AC1071">
        <f t="shared" si="249"/>
        <v>0</v>
      </c>
      <c r="AD1071" s="1">
        <f t="shared" si="250"/>
        <v>0</v>
      </c>
      <c r="AE1071">
        <f t="shared" si="251"/>
        <v>0</v>
      </c>
      <c r="AF1071">
        <f t="shared" si="252"/>
        <v>0</v>
      </c>
      <c r="AG1071">
        <f t="shared" si="253"/>
        <v>0</v>
      </c>
    </row>
    <row r="1072" spans="1:33" x14ac:dyDescent="0.25">
      <c r="A1072" t="s">
        <v>1826</v>
      </c>
      <c r="B1072" t="s">
        <v>1827</v>
      </c>
      <c r="C1072">
        <v>167641</v>
      </c>
      <c r="D1072">
        <v>167641</v>
      </c>
      <c r="H1072">
        <v>10</v>
      </c>
      <c r="I1072">
        <v>40</v>
      </c>
      <c r="J1072">
        <v>10</v>
      </c>
      <c r="K1072">
        <v>10</v>
      </c>
      <c r="L1072">
        <v>10</v>
      </c>
      <c r="M1072">
        <v>80</v>
      </c>
      <c r="S1072">
        <f t="shared" si="242"/>
        <v>0</v>
      </c>
      <c r="T1072">
        <f t="shared" si="243"/>
        <v>6.666666666666667</v>
      </c>
      <c r="U1072">
        <f t="shared" si="241"/>
        <v>1</v>
      </c>
      <c r="V1072">
        <f t="shared" si="244"/>
        <v>0</v>
      </c>
      <c r="W1072">
        <f t="shared" si="245"/>
        <v>1</v>
      </c>
      <c r="X1072">
        <f t="shared" si="254"/>
        <v>0</v>
      </c>
      <c r="Y1072">
        <f t="shared" si="255"/>
        <v>1</v>
      </c>
      <c r="Z1072">
        <f t="shared" si="246"/>
        <v>0</v>
      </c>
      <c r="AA1072">
        <f t="shared" si="247"/>
        <v>0</v>
      </c>
      <c r="AB1072">
        <f t="shared" si="248"/>
        <v>0</v>
      </c>
      <c r="AC1072">
        <f t="shared" si="249"/>
        <v>5</v>
      </c>
      <c r="AD1072" s="1">
        <f t="shared" si="250"/>
        <v>6.666666666666667</v>
      </c>
      <c r="AE1072">
        <f t="shared" si="251"/>
        <v>5</v>
      </c>
      <c r="AF1072">
        <f t="shared" si="252"/>
        <v>10</v>
      </c>
      <c r="AG1072">
        <f t="shared" si="253"/>
        <v>10</v>
      </c>
    </row>
    <row r="1073" spans="1:33" x14ac:dyDescent="0.25">
      <c r="A1073" t="s">
        <v>1828</v>
      </c>
      <c r="B1073" t="s">
        <v>1829</v>
      </c>
      <c r="C1073">
        <v>168519</v>
      </c>
      <c r="D1073">
        <v>168519</v>
      </c>
      <c r="E1073">
        <v>30</v>
      </c>
      <c r="O1073">
        <v>30</v>
      </c>
      <c r="S1073">
        <f t="shared" si="242"/>
        <v>1.875</v>
      </c>
      <c r="T1073">
        <f t="shared" si="243"/>
        <v>0</v>
      </c>
      <c r="U1073">
        <f t="shared" si="241"/>
        <v>1</v>
      </c>
      <c r="V1073">
        <f t="shared" si="244"/>
        <v>1</v>
      </c>
      <c r="W1073">
        <f t="shared" si="245"/>
        <v>0</v>
      </c>
      <c r="X1073">
        <f t="shared" si="254"/>
        <v>0</v>
      </c>
      <c r="Y1073">
        <f t="shared" si="255"/>
        <v>0</v>
      </c>
      <c r="Z1073">
        <f t="shared" si="246"/>
        <v>6</v>
      </c>
      <c r="AA1073">
        <f t="shared" si="247"/>
        <v>0</v>
      </c>
      <c r="AB1073">
        <f t="shared" si="248"/>
        <v>0</v>
      </c>
      <c r="AC1073">
        <f t="shared" si="249"/>
        <v>0</v>
      </c>
      <c r="AD1073" s="1">
        <f t="shared" si="250"/>
        <v>0</v>
      </c>
      <c r="AE1073">
        <f t="shared" si="251"/>
        <v>0</v>
      </c>
      <c r="AF1073">
        <f t="shared" si="252"/>
        <v>0</v>
      </c>
      <c r="AG1073">
        <f t="shared" si="253"/>
        <v>0</v>
      </c>
    </row>
    <row r="1074" spans="1:33" x14ac:dyDescent="0.25">
      <c r="A1074" t="s">
        <v>1830</v>
      </c>
      <c r="B1074" t="s">
        <v>396</v>
      </c>
      <c r="C1074">
        <v>166302</v>
      </c>
      <c r="D1074">
        <v>166302</v>
      </c>
      <c r="H1074">
        <v>0</v>
      </c>
      <c r="I1074">
        <v>20</v>
      </c>
      <c r="J1074">
        <v>10</v>
      </c>
      <c r="K1074">
        <v>10</v>
      </c>
      <c r="L1074">
        <v>0</v>
      </c>
      <c r="M1074">
        <v>40</v>
      </c>
      <c r="S1074">
        <f t="shared" si="242"/>
        <v>0</v>
      </c>
      <c r="T1074">
        <f t="shared" si="243"/>
        <v>3.3333333333333335</v>
      </c>
      <c r="U1074">
        <f t="shared" si="241"/>
        <v>1</v>
      </c>
      <c r="V1074">
        <f t="shared" si="244"/>
        <v>0</v>
      </c>
      <c r="W1074">
        <f t="shared" si="245"/>
        <v>1</v>
      </c>
      <c r="X1074">
        <f t="shared" si="254"/>
        <v>0</v>
      </c>
      <c r="Y1074">
        <f t="shared" si="255"/>
        <v>0</v>
      </c>
      <c r="Z1074">
        <f t="shared" si="246"/>
        <v>0</v>
      </c>
      <c r="AA1074">
        <f t="shared" si="247"/>
        <v>0</v>
      </c>
      <c r="AB1074">
        <f t="shared" si="248"/>
        <v>0</v>
      </c>
      <c r="AC1074">
        <f t="shared" si="249"/>
        <v>0</v>
      </c>
      <c r="AD1074" s="1">
        <f t="shared" si="250"/>
        <v>3.3333333333333335</v>
      </c>
      <c r="AE1074">
        <f t="shared" si="251"/>
        <v>5</v>
      </c>
      <c r="AF1074">
        <f t="shared" si="252"/>
        <v>10</v>
      </c>
      <c r="AG1074">
        <f t="shared" si="253"/>
        <v>0</v>
      </c>
    </row>
    <row r="1075" spans="1:33" x14ac:dyDescent="0.25">
      <c r="A1075" t="s">
        <v>1831</v>
      </c>
      <c r="B1075" t="s">
        <v>1832</v>
      </c>
      <c r="C1075">
        <v>168135</v>
      </c>
      <c r="D1075">
        <v>168135</v>
      </c>
      <c r="H1075">
        <v>20</v>
      </c>
      <c r="I1075">
        <v>30</v>
      </c>
      <c r="J1075">
        <v>10</v>
      </c>
      <c r="K1075">
        <v>0</v>
      </c>
      <c r="L1075">
        <v>0</v>
      </c>
      <c r="M1075">
        <v>60</v>
      </c>
      <c r="S1075">
        <f t="shared" si="242"/>
        <v>0</v>
      </c>
      <c r="T1075">
        <f t="shared" si="243"/>
        <v>5</v>
      </c>
      <c r="U1075">
        <f t="shared" si="241"/>
        <v>1</v>
      </c>
      <c r="V1075">
        <f t="shared" si="244"/>
        <v>0</v>
      </c>
      <c r="W1075">
        <f t="shared" si="245"/>
        <v>1</v>
      </c>
      <c r="X1075">
        <f t="shared" si="254"/>
        <v>0</v>
      </c>
      <c r="Y1075">
        <f t="shared" si="255"/>
        <v>0</v>
      </c>
      <c r="Z1075">
        <f t="shared" si="246"/>
        <v>0</v>
      </c>
      <c r="AA1075">
        <f t="shared" si="247"/>
        <v>0</v>
      </c>
      <c r="AB1075">
        <f t="shared" si="248"/>
        <v>0</v>
      </c>
      <c r="AC1075">
        <f t="shared" si="249"/>
        <v>10</v>
      </c>
      <c r="AD1075" s="1">
        <f t="shared" si="250"/>
        <v>5</v>
      </c>
      <c r="AE1075">
        <f t="shared" si="251"/>
        <v>5</v>
      </c>
      <c r="AF1075">
        <f t="shared" si="252"/>
        <v>0</v>
      </c>
      <c r="AG1075">
        <f t="shared" si="253"/>
        <v>0</v>
      </c>
    </row>
    <row r="1076" spans="1:33" x14ac:dyDescent="0.25">
      <c r="A1076" t="s">
        <v>1831</v>
      </c>
      <c r="B1076" t="s">
        <v>1833</v>
      </c>
      <c r="C1076">
        <v>162405</v>
      </c>
      <c r="D1076">
        <v>162405</v>
      </c>
      <c r="E1076">
        <v>20</v>
      </c>
      <c r="F1076">
        <v>20</v>
      </c>
      <c r="G1076">
        <v>30</v>
      </c>
      <c r="O1076">
        <v>70</v>
      </c>
      <c r="S1076">
        <f t="shared" si="242"/>
        <v>4.375</v>
      </c>
      <c r="T1076">
        <f t="shared" si="243"/>
        <v>0</v>
      </c>
      <c r="U1076">
        <f t="shared" si="241"/>
        <v>1</v>
      </c>
      <c r="V1076">
        <f t="shared" si="244"/>
        <v>1</v>
      </c>
      <c r="W1076">
        <f t="shared" si="245"/>
        <v>0</v>
      </c>
      <c r="X1076">
        <f t="shared" si="254"/>
        <v>0</v>
      </c>
      <c r="Y1076">
        <f t="shared" si="255"/>
        <v>0</v>
      </c>
      <c r="Z1076">
        <f t="shared" si="246"/>
        <v>4</v>
      </c>
      <c r="AA1076">
        <f t="shared" si="247"/>
        <v>5</v>
      </c>
      <c r="AB1076">
        <f t="shared" si="248"/>
        <v>4.2857142857142856</v>
      </c>
      <c r="AC1076">
        <f t="shared" si="249"/>
        <v>0</v>
      </c>
      <c r="AD1076" s="1">
        <f t="shared" si="250"/>
        <v>0</v>
      </c>
      <c r="AE1076">
        <f t="shared" si="251"/>
        <v>0</v>
      </c>
      <c r="AF1076">
        <f t="shared" si="252"/>
        <v>0</v>
      </c>
      <c r="AG1076">
        <f t="shared" si="253"/>
        <v>0</v>
      </c>
    </row>
    <row r="1077" spans="1:33" x14ac:dyDescent="0.25">
      <c r="A1077" t="s">
        <v>1834</v>
      </c>
      <c r="B1077" t="s">
        <v>1835</v>
      </c>
      <c r="C1077">
        <v>165726</v>
      </c>
      <c r="D1077">
        <v>165726</v>
      </c>
      <c r="H1077">
        <v>0</v>
      </c>
      <c r="I1077">
        <v>40</v>
      </c>
      <c r="J1077">
        <v>10</v>
      </c>
      <c r="K1077">
        <v>0</v>
      </c>
      <c r="L1077">
        <v>10</v>
      </c>
      <c r="M1077">
        <v>60</v>
      </c>
      <c r="S1077">
        <f t="shared" si="242"/>
        <v>0</v>
      </c>
      <c r="T1077">
        <f t="shared" si="243"/>
        <v>5</v>
      </c>
      <c r="U1077">
        <f t="shared" si="241"/>
        <v>1</v>
      </c>
      <c r="V1077">
        <f t="shared" si="244"/>
        <v>0</v>
      </c>
      <c r="W1077">
        <f t="shared" si="245"/>
        <v>1</v>
      </c>
      <c r="X1077">
        <f t="shared" si="254"/>
        <v>0</v>
      </c>
      <c r="Y1077">
        <f t="shared" si="255"/>
        <v>0</v>
      </c>
      <c r="Z1077">
        <f t="shared" si="246"/>
        <v>0</v>
      </c>
      <c r="AA1077">
        <f t="shared" si="247"/>
        <v>0</v>
      </c>
      <c r="AB1077">
        <f t="shared" si="248"/>
        <v>0</v>
      </c>
      <c r="AC1077">
        <f t="shared" si="249"/>
        <v>0</v>
      </c>
      <c r="AD1077" s="1">
        <f t="shared" si="250"/>
        <v>6.666666666666667</v>
      </c>
      <c r="AE1077">
        <f t="shared" si="251"/>
        <v>5</v>
      </c>
      <c r="AF1077">
        <f t="shared" si="252"/>
        <v>0</v>
      </c>
      <c r="AG1077">
        <f t="shared" si="253"/>
        <v>10</v>
      </c>
    </row>
    <row r="1078" spans="1:33" x14ac:dyDescent="0.25">
      <c r="A1078" t="s">
        <v>1836</v>
      </c>
      <c r="B1078" t="s">
        <v>1837</v>
      </c>
      <c r="C1078">
        <v>168504</v>
      </c>
      <c r="D1078">
        <v>168504</v>
      </c>
      <c r="H1078">
        <v>0</v>
      </c>
      <c r="I1078">
        <v>30</v>
      </c>
      <c r="J1078">
        <v>10</v>
      </c>
      <c r="K1078">
        <v>0</v>
      </c>
      <c r="L1078">
        <v>10</v>
      </c>
      <c r="M1078">
        <v>50</v>
      </c>
      <c r="S1078">
        <f t="shared" si="242"/>
        <v>0</v>
      </c>
      <c r="T1078">
        <f t="shared" si="243"/>
        <v>4.166666666666667</v>
      </c>
      <c r="U1078">
        <f t="shared" si="241"/>
        <v>1</v>
      </c>
      <c r="V1078">
        <f t="shared" si="244"/>
        <v>0</v>
      </c>
      <c r="W1078">
        <f t="shared" si="245"/>
        <v>1</v>
      </c>
      <c r="X1078">
        <f t="shared" si="254"/>
        <v>0</v>
      </c>
      <c r="Y1078">
        <f t="shared" si="255"/>
        <v>0</v>
      </c>
      <c r="Z1078">
        <f t="shared" si="246"/>
        <v>0</v>
      </c>
      <c r="AA1078">
        <f t="shared" si="247"/>
        <v>0</v>
      </c>
      <c r="AB1078">
        <f t="shared" si="248"/>
        <v>0</v>
      </c>
      <c r="AC1078">
        <f t="shared" si="249"/>
        <v>0</v>
      </c>
      <c r="AD1078" s="1">
        <f t="shared" si="250"/>
        <v>5</v>
      </c>
      <c r="AE1078">
        <f t="shared" si="251"/>
        <v>5</v>
      </c>
      <c r="AF1078">
        <f t="shared" si="252"/>
        <v>0</v>
      </c>
      <c r="AG1078">
        <f t="shared" si="253"/>
        <v>10</v>
      </c>
    </row>
    <row r="1079" spans="1:33" x14ac:dyDescent="0.25">
      <c r="A1079" t="s">
        <v>1838</v>
      </c>
      <c r="B1079" t="s">
        <v>1839</v>
      </c>
      <c r="C1079">
        <v>168654</v>
      </c>
      <c r="D1079">
        <v>168654</v>
      </c>
      <c r="E1079">
        <v>0</v>
      </c>
      <c r="F1079">
        <v>30</v>
      </c>
      <c r="G1079">
        <v>10</v>
      </c>
      <c r="O1079">
        <v>40</v>
      </c>
      <c r="S1079">
        <f t="shared" si="242"/>
        <v>2.5</v>
      </c>
      <c r="T1079">
        <f t="shared" si="243"/>
        <v>0</v>
      </c>
      <c r="U1079">
        <f t="shared" si="241"/>
        <v>1</v>
      </c>
      <c r="V1079">
        <f t="shared" si="244"/>
        <v>1</v>
      </c>
      <c r="W1079">
        <f t="shared" si="245"/>
        <v>0</v>
      </c>
      <c r="X1079">
        <f t="shared" si="254"/>
        <v>0</v>
      </c>
      <c r="Y1079">
        <f t="shared" si="255"/>
        <v>0</v>
      </c>
      <c r="Z1079">
        <f t="shared" si="246"/>
        <v>0</v>
      </c>
      <c r="AA1079">
        <f t="shared" si="247"/>
        <v>7.5</v>
      </c>
      <c r="AB1079">
        <f t="shared" si="248"/>
        <v>1.4285714285714286</v>
      </c>
      <c r="AC1079">
        <f t="shared" si="249"/>
        <v>0</v>
      </c>
      <c r="AD1079" s="1">
        <f t="shared" si="250"/>
        <v>0</v>
      </c>
      <c r="AE1079">
        <f t="shared" si="251"/>
        <v>0</v>
      </c>
      <c r="AF1079">
        <f t="shared" si="252"/>
        <v>0</v>
      </c>
      <c r="AG1079">
        <f t="shared" si="253"/>
        <v>0</v>
      </c>
    </row>
    <row r="1080" spans="1:33" x14ac:dyDescent="0.25">
      <c r="A1080" t="s">
        <v>1840</v>
      </c>
      <c r="B1080" t="s">
        <v>1841</v>
      </c>
      <c r="C1080">
        <v>167159</v>
      </c>
      <c r="D1080">
        <v>167159</v>
      </c>
      <c r="H1080">
        <v>10</v>
      </c>
      <c r="I1080">
        <v>50</v>
      </c>
      <c r="J1080">
        <v>20</v>
      </c>
      <c r="K1080">
        <v>10</v>
      </c>
      <c r="L1080">
        <v>10</v>
      </c>
      <c r="M1080">
        <v>100</v>
      </c>
      <c r="S1080">
        <f t="shared" si="242"/>
        <v>0</v>
      </c>
      <c r="T1080">
        <f t="shared" si="243"/>
        <v>8.3333333333333339</v>
      </c>
      <c r="U1080">
        <f t="shared" si="241"/>
        <v>1</v>
      </c>
      <c r="V1080">
        <f t="shared" si="244"/>
        <v>0</v>
      </c>
      <c r="W1080">
        <f t="shared" si="245"/>
        <v>1</v>
      </c>
      <c r="X1080">
        <f t="shared" si="254"/>
        <v>0</v>
      </c>
      <c r="Y1080">
        <f t="shared" si="255"/>
        <v>1</v>
      </c>
      <c r="Z1080">
        <f t="shared" si="246"/>
        <v>0</v>
      </c>
      <c r="AA1080">
        <f t="shared" si="247"/>
        <v>0</v>
      </c>
      <c r="AB1080">
        <f t="shared" si="248"/>
        <v>0</v>
      </c>
      <c r="AC1080">
        <f t="shared" si="249"/>
        <v>5</v>
      </c>
      <c r="AD1080" s="1">
        <f t="shared" si="250"/>
        <v>8.3333333333333339</v>
      </c>
      <c r="AE1080">
        <f t="shared" si="251"/>
        <v>10</v>
      </c>
      <c r="AF1080">
        <f t="shared" si="252"/>
        <v>10</v>
      </c>
      <c r="AG1080">
        <f t="shared" si="253"/>
        <v>10</v>
      </c>
    </row>
    <row r="1081" spans="1:33" x14ac:dyDescent="0.25">
      <c r="A1081" t="s">
        <v>1842</v>
      </c>
      <c r="B1081" t="s">
        <v>302</v>
      </c>
      <c r="C1081">
        <v>166208</v>
      </c>
      <c r="D1081">
        <v>166208</v>
      </c>
      <c r="H1081">
        <v>10</v>
      </c>
      <c r="I1081">
        <v>50</v>
      </c>
      <c r="J1081">
        <v>10</v>
      </c>
      <c r="K1081">
        <v>10</v>
      </c>
      <c r="L1081">
        <v>10</v>
      </c>
      <c r="M1081">
        <v>90</v>
      </c>
      <c r="S1081">
        <f t="shared" si="242"/>
        <v>0</v>
      </c>
      <c r="T1081">
        <f t="shared" si="243"/>
        <v>7.5</v>
      </c>
      <c r="U1081">
        <f t="shared" si="241"/>
        <v>1</v>
      </c>
      <c r="V1081">
        <f t="shared" si="244"/>
        <v>0</v>
      </c>
      <c r="W1081">
        <f t="shared" si="245"/>
        <v>1</v>
      </c>
      <c r="X1081">
        <f t="shared" si="254"/>
        <v>0</v>
      </c>
      <c r="Y1081">
        <f t="shared" si="255"/>
        <v>1</v>
      </c>
      <c r="Z1081">
        <f t="shared" si="246"/>
        <v>0</v>
      </c>
      <c r="AA1081">
        <f t="shared" si="247"/>
        <v>0</v>
      </c>
      <c r="AB1081">
        <f t="shared" si="248"/>
        <v>0</v>
      </c>
      <c r="AC1081">
        <f t="shared" si="249"/>
        <v>5</v>
      </c>
      <c r="AD1081" s="1">
        <f t="shared" si="250"/>
        <v>8.3333333333333339</v>
      </c>
      <c r="AE1081">
        <f t="shared" si="251"/>
        <v>5</v>
      </c>
      <c r="AF1081">
        <f t="shared" si="252"/>
        <v>10</v>
      </c>
      <c r="AG1081">
        <f t="shared" si="253"/>
        <v>10</v>
      </c>
    </row>
    <row r="1082" spans="1:33" x14ac:dyDescent="0.25">
      <c r="A1082" t="s">
        <v>1843</v>
      </c>
      <c r="B1082" t="s">
        <v>1844</v>
      </c>
      <c r="C1082">
        <v>164997</v>
      </c>
      <c r="D1082">
        <v>164997</v>
      </c>
      <c r="S1082">
        <f t="shared" si="242"/>
        <v>0</v>
      </c>
      <c r="T1082">
        <f t="shared" si="243"/>
        <v>0</v>
      </c>
      <c r="U1082">
        <f t="shared" si="241"/>
        <v>0</v>
      </c>
      <c r="V1082">
        <f t="shared" si="244"/>
        <v>0</v>
      </c>
      <c r="W1082">
        <f t="shared" si="245"/>
        <v>0</v>
      </c>
      <c r="X1082">
        <f t="shared" si="254"/>
        <v>0</v>
      </c>
      <c r="Y1082">
        <f t="shared" si="255"/>
        <v>0</v>
      </c>
      <c r="Z1082">
        <f t="shared" si="246"/>
        <v>0</v>
      </c>
      <c r="AA1082">
        <f t="shared" si="247"/>
        <v>0</v>
      </c>
      <c r="AB1082">
        <f t="shared" si="248"/>
        <v>0</v>
      </c>
      <c r="AC1082">
        <f t="shared" si="249"/>
        <v>0</v>
      </c>
      <c r="AD1082" s="1">
        <f t="shared" si="250"/>
        <v>0</v>
      </c>
      <c r="AE1082">
        <f t="shared" si="251"/>
        <v>0</v>
      </c>
      <c r="AF1082">
        <f t="shared" si="252"/>
        <v>0</v>
      </c>
      <c r="AG1082">
        <f t="shared" si="253"/>
        <v>0</v>
      </c>
    </row>
    <row r="1083" spans="1:33" x14ac:dyDescent="0.25">
      <c r="A1083" t="s">
        <v>1845</v>
      </c>
      <c r="B1083" t="s">
        <v>49</v>
      </c>
      <c r="C1083">
        <v>167150</v>
      </c>
      <c r="D1083">
        <v>167150</v>
      </c>
      <c r="E1083">
        <v>50</v>
      </c>
      <c r="F1083">
        <v>30</v>
      </c>
      <c r="G1083">
        <v>40</v>
      </c>
      <c r="O1083">
        <v>120</v>
      </c>
      <c r="S1083">
        <f t="shared" si="242"/>
        <v>7.5</v>
      </c>
      <c r="T1083">
        <f t="shared" si="243"/>
        <v>0</v>
      </c>
      <c r="U1083">
        <f t="shared" si="241"/>
        <v>1</v>
      </c>
      <c r="V1083">
        <f t="shared" si="244"/>
        <v>1</v>
      </c>
      <c r="W1083">
        <f t="shared" si="245"/>
        <v>0</v>
      </c>
      <c r="X1083">
        <f t="shared" si="254"/>
        <v>1</v>
      </c>
      <c r="Y1083">
        <f t="shared" si="255"/>
        <v>0</v>
      </c>
      <c r="Z1083">
        <f t="shared" si="246"/>
        <v>10</v>
      </c>
      <c r="AA1083">
        <f t="shared" si="247"/>
        <v>7.5</v>
      </c>
      <c r="AB1083">
        <f t="shared" si="248"/>
        <v>5.7142857142857144</v>
      </c>
      <c r="AC1083">
        <f t="shared" si="249"/>
        <v>0</v>
      </c>
      <c r="AD1083" s="1">
        <f t="shared" si="250"/>
        <v>0</v>
      </c>
      <c r="AE1083">
        <f t="shared" si="251"/>
        <v>0</v>
      </c>
      <c r="AF1083">
        <f t="shared" si="252"/>
        <v>0</v>
      </c>
      <c r="AG1083">
        <f t="shared" si="253"/>
        <v>0</v>
      </c>
    </row>
    <row r="1084" spans="1:33" x14ac:dyDescent="0.25">
      <c r="A1084" t="s">
        <v>1846</v>
      </c>
      <c r="B1084" t="s">
        <v>197</v>
      </c>
      <c r="C1084">
        <v>165286</v>
      </c>
      <c r="D1084">
        <v>165286</v>
      </c>
      <c r="S1084">
        <f t="shared" si="242"/>
        <v>0</v>
      </c>
      <c r="T1084">
        <f t="shared" si="243"/>
        <v>0</v>
      </c>
      <c r="U1084">
        <f t="shared" si="241"/>
        <v>0</v>
      </c>
      <c r="V1084">
        <f t="shared" si="244"/>
        <v>0</v>
      </c>
      <c r="W1084">
        <f t="shared" si="245"/>
        <v>0</v>
      </c>
      <c r="X1084">
        <f t="shared" si="254"/>
        <v>0</v>
      </c>
      <c r="Y1084">
        <f t="shared" si="255"/>
        <v>0</v>
      </c>
      <c r="Z1084">
        <f t="shared" si="246"/>
        <v>0</v>
      </c>
      <c r="AA1084">
        <f t="shared" si="247"/>
        <v>0</v>
      </c>
      <c r="AB1084">
        <f t="shared" si="248"/>
        <v>0</v>
      </c>
      <c r="AC1084">
        <f t="shared" si="249"/>
        <v>0</v>
      </c>
      <c r="AD1084" s="1">
        <f t="shared" si="250"/>
        <v>0</v>
      </c>
      <c r="AE1084">
        <f t="shared" si="251"/>
        <v>0</v>
      </c>
      <c r="AF1084">
        <f t="shared" si="252"/>
        <v>0</v>
      </c>
      <c r="AG1084">
        <f t="shared" si="253"/>
        <v>0</v>
      </c>
    </row>
    <row r="1085" spans="1:33" x14ac:dyDescent="0.25">
      <c r="A1085" t="s">
        <v>1847</v>
      </c>
      <c r="B1085" t="s">
        <v>49</v>
      </c>
      <c r="C1085">
        <v>167538</v>
      </c>
      <c r="D1085">
        <v>167538</v>
      </c>
      <c r="E1085">
        <v>10</v>
      </c>
      <c r="F1085">
        <v>0</v>
      </c>
      <c r="G1085">
        <v>30</v>
      </c>
      <c r="O1085">
        <v>40</v>
      </c>
      <c r="S1085">
        <f t="shared" si="242"/>
        <v>2.5</v>
      </c>
      <c r="T1085">
        <f t="shared" si="243"/>
        <v>0</v>
      </c>
      <c r="U1085">
        <f t="shared" si="241"/>
        <v>1</v>
      </c>
      <c r="V1085">
        <f t="shared" si="244"/>
        <v>1</v>
      </c>
      <c r="W1085">
        <f t="shared" si="245"/>
        <v>0</v>
      </c>
      <c r="X1085">
        <f t="shared" si="254"/>
        <v>0</v>
      </c>
      <c r="Y1085">
        <f t="shared" si="255"/>
        <v>0</v>
      </c>
      <c r="Z1085">
        <f t="shared" si="246"/>
        <v>2</v>
      </c>
      <c r="AA1085">
        <f t="shared" si="247"/>
        <v>0</v>
      </c>
      <c r="AB1085">
        <f t="shared" si="248"/>
        <v>4.2857142857142856</v>
      </c>
      <c r="AC1085">
        <f t="shared" si="249"/>
        <v>0</v>
      </c>
      <c r="AD1085" s="1">
        <f t="shared" si="250"/>
        <v>0</v>
      </c>
      <c r="AE1085">
        <f t="shared" si="251"/>
        <v>0</v>
      </c>
      <c r="AF1085">
        <f t="shared" si="252"/>
        <v>0</v>
      </c>
      <c r="AG1085">
        <f t="shared" si="253"/>
        <v>0</v>
      </c>
    </row>
    <row r="1086" spans="1:33" x14ac:dyDescent="0.25">
      <c r="A1086" t="s">
        <v>1848</v>
      </c>
      <c r="B1086" t="s">
        <v>1849</v>
      </c>
      <c r="C1086">
        <v>166952</v>
      </c>
      <c r="D1086">
        <v>166952</v>
      </c>
      <c r="S1086">
        <f t="shared" si="242"/>
        <v>0</v>
      </c>
      <c r="T1086">
        <f t="shared" si="243"/>
        <v>0</v>
      </c>
      <c r="U1086">
        <f t="shared" si="241"/>
        <v>0</v>
      </c>
      <c r="V1086">
        <f t="shared" si="244"/>
        <v>0</v>
      </c>
      <c r="W1086">
        <f t="shared" si="245"/>
        <v>0</v>
      </c>
      <c r="X1086">
        <f t="shared" si="254"/>
        <v>0</v>
      </c>
      <c r="Y1086">
        <f t="shared" si="255"/>
        <v>0</v>
      </c>
      <c r="Z1086">
        <f t="shared" si="246"/>
        <v>0</v>
      </c>
      <c r="AA1086">
        <f t="shared" si="247"/>
        <v>0</v>
      </c>
      <c r="AB1086">
        <f t="shared" si="248"/>
        <v>0</v>
      </c>
      <c r="AC1086">
        <f t="shared" si="249"/>
        <v>0</v>
      </c>
      <c r="AD1086" s="1">
        <f t="shared" si="250"/>
        <v>0</v>
      </c>
      <c r="AE1086">
        <f t="shared" si="251"/>
        <v>0</v>
      </c>
      <c r="AF1086">
        <f t="shared" si="252"/>
        <v>0</v>
      </c>
      <c r="AG1086">
        <f t="shared" si="253"/>
        <v>0</v>
      </c>
    </row>
    <row r="1087" spans="1:33" x14ac:dyDescent="0.25">
      <c r="A1087" t="s">
        <v>1850</v>
      </c>
      <c r="B1087" t="s">
        <v>1851</v>
      </c>
      <c r="C1087">
        <v>166389</v>
      </c>
      <c r="D1087">
        <v>166389</v>
      </c>
      <c r="H1087">
        <v>10</v>
      </c>
      <c r="I1087">
        <v>50</v>
      </c>
      <c r="J1087">
        <v>10</v>
      </c>
      <c r="K1087">
        <v>10</v>
      </c>
      <c r="L1087">
        <v>10</v>
      </c>
      <c r="M1087">
        <v>90</v>
      </c>
      <c r="S1087">
        <f t="shared" si="242"/>
        <v>0</v>
      </c>
      <c r="T1087">
        <f t="shared" si="243"/>
        <v>7.5</v>
      </c>
      <c r="U1087">
        <f t="shared" si="241"/>
        <v>1</v>
      </c>
      <c r="V1087">
        <f t="shared" si="244"/>
        <v>0</v>
      </c>
      <c r="W1087">
        <f t="shared" si="245"/>
        <v>1</v>
      </c>
      <c r="X1087">
        <f t="shared" si="254"/>
        <v>0</v>
      </c>
      <c r="Y1087">
        <f t="shared" si="255"/>
        <v>1</v>
      </c>
      <c r="Z1087">
        <f t="shared" si="246"/>
        <v>0</v>
      </c>
      <c r="AA1087">
        <f t="shared" si="247"/>
        <v>0</v>
      </c>
      <c r="AB1087">
        <f t="shared" si="248"/>
        <v>0</v>
      </c>
      <c r="AC1087">
        <f t="shared" si="249"/>
        <v>5</v>
      </c>
      <c r="AD1087" s="1">
        <f t="shared" si="250"/>
        <v>8.3333333333333339</v>
      </c>
      <c r="AE1087">
        <f t="shared" si="251"/>
        <v>5</v>
      </c>
      <c r="AF1087">
        <f t="shared" si="252"/>
        <v>10</v>
      </c>
      <c r="AG1087">
        <f t="shared" si="253"/>
        <v>10</v>
      </c>
    </row>
    <row r="1088" spans="1:33" x14ac:dyDescent="0.25">
      <c r="A1088" t="s">
        <v>1852</v>
      </c>
      <c r="B1088" t="s">
        <v>1853</v>
      </c>
      <c r="C1088">
        <v>168122</v>
      </c>
      <c r="D1088">
        <v>168122</v>
      </c>
      <c r="S1088">
        <f t="shared" si="242"/>
        <v>0</v>
      </c>
      <c r="T1088">
        <f t="shared" si="243"/>
        <v>0</v>
      </c>
      <c r="U1088">
        <f t="shared" si="241"/>
        <v>0</v>
      </c>
      <c r="V1088">
        <f t="shared" si="244"/>
        <v>0</v>
      </c>
      <c r="W1088">
        <f t="shared" si="245"/>
        <v>0</v>
      </c>
      <c r="X1088">
        <f t="shared" si="254"/>
        <v>0</v>
      </c>
      <c r="Y1088">
        <f t="shared" si="255"/>
        <v>0</v>
      </c>
      <c r="Z1088">
        <f t="shared" si="246"/>
        <v>0</v>
      </c>
      <c r="AA1088">
        <f t="shared" si="247"/>
        <v>0</v>
      </c>
      <c r="AB1088">
        <f t="shared" si="248"/>
        <v>0</v>
      </c>
      <c r="AC1088">
        <f t="shared" si="249"/>
        <v>0</v>
      </c>
      <c r="AD1088" s="1">
        <f t="shared" si="250"/>
        <v>0</v>
      </c>
      <c r="AE1088">
        <f t="shared" si="251"/>
        <v>0</v>
      </c>
      <c r="AF1088">
        <f t="shared" si="252"/>
        <v>0</v>
      </c>
      <c r="AG1088">
        <f t="shared" si="253"/>
        <v>0</v>
      </c>
    </row>
    <row r="1089" spans="1:33" x14ac:dyDescent="0.25">
      <c r="A1089" t="s">
        <v>1854</v>
      </c>
      <c r="B1089" t="s">
        <v>674</v>
      </c>
      <c r="C1089">
        <v>165954</v>
      </c>
      <c r="D1089">
        <v>165954</v>
      </c>
      <c r="E1089">
        <v>40</v>
      </c>
      <c r="F1089">
        <v>10</v>
      </c>
      <c r="G1089">
        <v>30</v>
      </c>
      <c r="O1089">
        <v>80</v>
      </c>
      <c r="S1089">
        <f t="shared" si="242"/>
        <v>5</v>
      </c>
      <c r="T1089">
        <f t="shared" si="243"/>
        <v>0</v>
      </c>
      <c r="U1089">
        <f t="shared" si="241"/>
        <v>1</v>
      </c>
      <c r="V1089">
        <f t="shared" si="244"/>
        <v>1</v>
      </c>
      <c r="W1089">
        <f t="shared" si="245"/>
        <v>0</v>
      </c>
      <c r="X1089">
        <f t="shared" si="254"/>
        <v>0</v>
      </c>
      <c r="Y1089">
        <f t="shared" si="255"/>
        <v>0</v>
      </c>
      <c r="Z1089">
        <f t="shared" si="246"/>
        <v>8</v>
      </c>
      <c r="AA1089">
        <f t="shared" si="247"/>
        <v>2.5</v>
      </c>
      <c r="AB1089">
        <f t="shared" si="248"/>
        <v>4.2857142857142856</v>
      </c>
      <c r="AC1089">
        <f t="shared" si="249"/>
        <v>0</v>
      </c>
      <c r="AD1089" s="1">
        <f t="shared" si="250"/>
        <v>0</v>
      </c>
      <c r="AE1089">
        <f t="shared" si="251"/>
        <v>0</v>
      </c>
      <c r="AF1089">
        <f t="shared" si="252"/>
        <v>0</v>
      </c>
      <c r="AG1089">
        <f t="shared" si="253"/>
        <v>0</v>
      </c>
    </row>
    <row r="1090" spans="1:33" x14ac:dyDescent="0.25">
      <c r="A1090" t="s">
        <v>1855</v>
      </c>
      <c r="B1090" t="s">
        <v>1087</v>
      </c>
      <c r="C1090">
        <v>168727</v>
      </c>
      <c r="D1090">
        <v>168727</v>
      </c>
      <c r="H1090">
        <v>0</v>
      </c>
      <c r="I1090">
        <v>30</v>
      </c>
      <c r="J1090">
        <v>20</v>
      </c>
      <c r="K1090">
        <v>0</v>
      </c>
      <c r="L1090">
        <v>0</v>
      </c>
      <c r="M1090">
        <v>50</v>
      </c>
      <c r="S1090">
        <f t="shared" si="242"/>
        <v>0</v>
      </c>
      <c r="T1090">
        <f t="shared" si="243"/>
        <v>4.166666666666667</v>
      </c>
      <c r="U1090">
        <f t="shared" ref="U1090:U1153" si="256">IF(AND(E1090="",F1090="",G1090="",H1090="",I1090="",J1090="",K1090="",L1090="",M1090=""),0,1)</f>
        <v>1</v>
      </c>
      <c r="V1090">
        <f t="shared" si="244"/>
        <v>0</v>
      </c>
      <c r="W1090">
        <f t="shared" si="245"/>
        <v>1</v>
      </c>
      <c r="X1090">
        <f t="shared" si="254"/>
        <v>0</v>
      </c>
      <c r="Y1090">
        <f t="shared" si="255"/>
        <v>0</v>
      </c>
      <c r="Z1090">
        <f t="shared" si="246"/>
        <v>0</v>
      </c>
      <c r="AA1090">
        <f t="shared" si="247"/>
        <v>0</v>
      </c>
      <c r="AB1090">
        <f t="shared" si="248"/>
        <v>0</v>
      </c>
      <c r="AC1090">
        <f t="shared" si="249"/>
        <v>0</v>
      </c>
      <c r="AD1090" s="1">
        <f t="shared" si="250"/>
        <v>5</v>
      </c>
      <c r="AE1090">
        <f t="shared" si="251"/>
        <v>10</v>
      </c>
      <c r="AF1090">
        <f t="shared" si="252"/>
        <v>0</v>
      </c>
      <c r="AG1090">
        <f t="shared" si="253"/>
        <v>0</v>
      </c>
    </row>
    <row r="1091" spans="1:33" x14ac:dyDescent="0.25">
      <c r="A1091" t="s">
        <v>1856</v>
      </c>
      <c r="B1091" t="s">
        <v>577</v>
      </c>
      <c r="C1091">
        <v>166737</v>
      </c>
      <c r="D1091">
        <v>166737</v>
      </c>
      <c r="H1091">
        <v>10</v>
      </c>
      <c r="I1091">
        <v>30</v>
      </c>
      <c r="J1091">
        <v>20</v>
      </c>
      <c r="K1091">
        <v>0</v>
      </c>
      <c r="L1091">
        <v>0</v>
      </c>
      <c r="M1091">
        <v>60</v>
      </c>
      <c r="S1091">
        <f t="shared" ref="S1091:S1154" si="257">O1091/16</f>
        <v>0</v>
      </c>
      <c r="T1091">
        <f t="shared" ref="T1091:T1154" si="258">M1091/12</f>
        <v>5</v>
      </c>
      <c r="U1091">
        <f t="shared" si="256"/>
        <v>1</v>
      </c>
      <c r="V1091">
        <f t="shared" ref="V1091:V1154" si="259">IF(O1091="",0,1)</f>
        <v>0</v>
      </c>
      <c r="W1091">
        <f t="shared" ref="W1091:W1154" si="260">IF(M1091="",0,1)</f>
        <v>1</v>
      </c>
      <c r="X1091">
        <f t="shared" si="254"/>
        <v>0</v>
      </c>
      <c r="Y1091">
        <f t="shared" si="255"/>
        <v>0</v>
      </c>
      <c r="Z1091">
        <f t="shared" ref="Z1091:Z1154" si="261">E1091/5</f>
        <v>0</v>
      </c>
      <c r="AA1091">
        <f t="shared" ref="AA1091:AA1154" si="262">F1091/4</f>
        <v>0</v>
      </c>
      <c r="AB1091">
        <f t="shared" ref="AB1091:AB1154" si="263">G1091/7</f>
        <v>0</v>
      </c>
      <c r="AC1091">
        <f t="shared" ref="AC1091:AC1154" si="264">H1091/2</f>
        <v>5</v>
      </c>
      <c r="AD1091" s="1">
        <f t="shared" ref="AD1091:AD1154" si="265">I1091/6</f>
        <v>5</v>
      </c>
      <c r="AE1091">
        <f t="shared" ref="AE1091:AE1154" si="266">J1091/2</f>
        <v>10</v>
      </c>
      <c r="AF1091">
        <f t="shared" ref="AF1091:AF1154" si="267">K1091</f>
        <v>0</v>
      </c>
      <c r="AG1091">
        <f t="shared" ref="AG1091:AG1154" si="268">L1091</f>
        <v>0</v>
      </c>
    </row>
    <row r="1092" spans="1:33" x14ac:dyDescent="0.25">
      <c r="A1092" t="s">
        <v>1857</v>
      </c>
      <c r="B1092" t="s">
        <v>1858</v>
      </c>
      <c r="C1092">
        <v>166454</v>
      </c>
      <c r="D1092">
        <v>166454</v>
      </c>
      <c r="E1092">
        <v>30</v>
      </c>
      <c r="F1092">
        <v>30</v>
      </c>
      <c r="G1092">
        <v>20</v>
      </c>
      <c r="O1092">
        <v>80</v>
      </c>
      <c r="S1092">
        <f t="shared" si="257"/>
        <v>5</v>
      </c>
      <c r="T1092">
        <f t="shared" si="258"/>
        <v>0</v>
      </c>
      <c r="U1092">
        <f t="shared" si="256"/>
        <v>1</v>
      </c>
      <c r="V1092">
        <f t="shared" si="259"/>
        <v>1</v>
      </c>
      <c r="W1092">
        <f t="shared" si="260"/>
        <v>0</v>
      </c>
      <c r="X1092">
        <f t="shared" si="254"/>
        <v>0</v>
      </c>
      <c r="Y1092">
        <f t="shared" si="255"/>
        <v>0</v>
      </c>
      <c r="Z1092">
        <f t="shared" si="261"/>
        <v>6</v>
      </c>
      <c r="AA1092">
        <f t="shared" si="262"/>
        <v>7.5</v>
      </c>
      <c r="AB1092">
        <f t="shared" si="263"/>
        <v>2.8571428571428572</v>
      </c>
      <c r="AC1092">
        <f t="shared" si="264"/>
        <v>0</v>
      </c>
      <c r="AD1092" s="1">
        <f t="shared" si="265"/>
        <v>0</v>
      </c>
      <c r="AE1092">
        <f t="shared" si="266"/>
        <v>0</v>
      </c>
      <c r="AF1092">
        <f t="shared" si="267"/>
        <v>0</v>
      </c>
      <c r="AG1092">
        <f t="shared" si="268"/>
        <v>0</v>
      </c>
    </row>
    <row r="1093" spans="1:33" x14ac:dyDescent="0.25">
      <c r="A1093" t="s">
        <v>1859</v>
      </c>
      <c r="B1093" t="s">
        <v>1860</v>
      </c>
      <c r="C1093">
        <v>167741</v>
      </c>
      <c r="D1093">
        <v>167741</v>
      </c>
      <c r="H1093">
        <v>10</v>
      </c>
      <c r="I1093">
        <v>40</v>
      </c>
      <c r="J1093">
        <v>10</v>
      </c>
      <c r="K1093">
        <v>10</v>
      </c>
      <c r="L1093">
        <v>10</v>
      </c>
      <c r="M1093">
        <v>80</v>
      </c>
      <c r="S1093">
        <f t="shared" si="257"/>
        <v>0</v>
      </c>
      <c r="T1093">
        <f t="shared" si="258"/>
        <v>6.666666666666667</v>
      </c>
      <c r="U1093">
        <f t="shared" si="256"/>
        <v>1</v>
      </c>
      <c r="V1093">
        <f t="shared" si="259"/>
        <v>0</v>
      </c>
      <c r="W1093">
        <f t="shared" si="260"/>
        <v>1</v>
      </c>
      <c r="X1093">
        <f t="shared" ref="X1093:X1156" si="269">IF(AND(V1093=1,S1093&gt;6),1,0)</f>
        <v>0</v>
      </c>
      <c r="Y1093">
        <f t="shared" ref="Y1093:Y1156" si="270">IF(AND(W1093=1,T1093&gt;6),1,0)</f>
        <v>1</v>
      </c>
      <c r="Z1093">
        <f t="shared" si="261"/>
        <v>0</v>
      </c>
      <c r="AA1093">
        <f t="shared" si="262"/>
        <v>0</v>
      </c>
      <c r="AB1093">
        <f t="shared" si="263"/>
        <v>0</v>
      </c>
      <c r="AC1093">
        <f t="shared" si="264"/>
        <v>5</v>
      </c>
      <c r="AD1093" s="1">
        <f t="shared" si="265"/>
        <v>6.666666666666667</v>
      </c>
      <c r="AE1093">
        <f t="shared" si="266"/>
        <v>5</v>
      </c>
      <c r="AF1093">
        <f t="shared" si="267"/>
        <v>10</v>
      </c>
      <c r="AG1093">
        <f t="shared" si="268"/>
        <v>10</v>
      </c>
    </row>
    <row r="1094" spans="1:33" x14ac:dyDescent="0.25">
      <c r="A1094" t="s">
        <v>1861</v>
      </c>
      <c r="B1094" t="s">
        <v>1862</v>
      </c>
      <c r="C1094">
        <v>166188</v>
      </c>
      <c r="D1094">
        <v>166188</v>
      </c>
      <c r="H1094">
        <v>10</v>
      </c>
      <c r="I1094">
        <v>0</v>
      </c>
      <c r="J1094">
        <v>20</v>
      </c>
      <c r="K1094">
        <v>10</v>
      </c>
      <c r="L1094">
        <v>0</v>
      </c>
      <c r="M1094">
        <v>40</v>
      </c>
      <c r="S1094">
        <f t="shared" si="257"/>
        <v>0</v>
      </c>
      <c r="T1094">
        <f t="shared" si="258"/>
        <v>3.3333333333333335</v>
      </c>
      <c r="U1094">
        <f t="shared" si="256"/>
        <v>1</v>
      </c>
      <c r="V1094">
        <f t="shared" si="259"/>
        <v>0</v>
      </c>
      <c r="W1094">
        <f t="shared" si="260"/>
        <v>1</v>
      </c>
      <c r="X1094">
        <f t="shared" si="269"/>
        <v>0</v>
      </c>
      <c r="Y1094">
        <f t="shared" si="270"/>
        <v>0</v>
      </c>
      <c r="Z1094">
        <f t="shared" si="261"/>
        <v>0</v>
      </c>
      <c r="AA1094">
        <f t="shared" si="262"/>
        <v>0</v>
      </c>
      <c r="AB1094">
        <f t="shared" si="263"/>
        <v>0</v>
      </c>
      <c r="AC1094">
        <f t="shared" si="264"/>
        <v>5</v>
      </c>
      <c r="AD1094" s="1">
        <f t="shared" si="265"/>
        <v>0</v>
      </c>
      <c r="AE1094">
        <f t="shared" si="266"/>
        <v>10</v>
      </c>
      <c r="AF1094">
        <f t="shared" si="267"/>
        <v>10</v>
      </c>
      <c r="AG1094">
        <f t="shared" si="268"/>
        <v>0</v>
      </c>
    </row>
    <row r="1095" spans="1:33" x14ac:dyDescent="0.25">
      <c r="A1095" t="s">
        <v>1863</v>
      </c>
      <c r="B1095" t="s">
        <v>1308</v>
      </c>
      <c r="C1095">
        <v>166871</v>
      </c>
      <c r="D1095">
        <v>166871</v>
      </c>
      <c r="H1095">
        <v>20</v>
      </c>
      <c r="I1095">
        <v>40</v>
      </c>
      <c r="J1095">
        <v>10</v>
      </c>
      <c r="K1095">
        <v>0</v>
      </c>
      <c r="L1095">
        <v>10</v>
      </c>
      <c r="M1095">
        <v>80</v>
      </c>
      <c r="S1095">
        <f t="shared" si="257"/>
        <v>0</v>
      </c>
      <c r="T1095">
        <f t="shared" si="258"/>
        <v>6.666666666666667</v>
      </c>
      <c r="U1095">
        <f t="shared" si="256"/>
        <v>1</v>
      </c>
      <c r="V1095">
        <f t="shared" si="259"/>
        <v>0</v>
      </c>
      <c r="W1095">
        <f t="shared" si="260"/>
        <v>1</v>
      </c>
      <c r="X1095">
        <f t="shared" si="269"/>
        <v>0</v>
      </c>
      <c r="Y1095">
        <f t="shared" si="270"/>
        <v>1</v>
      </c>
      <c r="Z1095">
        <f t="shared" si="261"/>
        <v>0</v>
      </c>
      <c r="AA1095">
        <f t="shared" si="262"/>
        <v>0</v>
      </c>
      <c r="AB1095">
        <f t="shared" si="263"/>
        <v>0</v>
      </c>
      <c r="AC1095">
        <f t="shared" si="264"/>
        <v>10</v>
      </c>
      <c r="AD1095" s="1">
        <f t="shared" si="265"/>
        <v>6.666666666666667</v>
      </c>
      <c r="AE1095">
        <f t="shared" si="266"/>
        <v>5</v>
      </c>
      <c r="AF1095">
        <f t="shared" si="267"/>
        <v>0</v>
      </c>
      <c r="AG1095">
        <f t="shared" si="268"/>
        <v>10</v>
      </c>
    </row>
    <row r="1096" spans="1:33" x14ac:dyDescent="0.25">
      <c r="A1096" t="s">
        <v>1864</v>
      </c>
      <c r="B1096" t="s">
        <v>53</v>
      </c>
      <c r="C1096">
        <v>168469</v>
      </c>
      <c r="D1096">
        <v>168469</v>
      </c>
      <c r="E1096">
        <v>30</v>
      </c>
      <c r="F1096">
        <v>20</v>
      </c>
      <c r="G1096">
        <v>10</v>
      </c>
      <c r="O1096">
        <v>60</v>
      </c>
      <c r="S1096">
        <f t="shared" si="257"/>
        <v>3.75</v>
      </c>
      <c r="T1096">
        <f t="shared" si="258"/>
        <v>0</v>
      </c>
      <c r="U1096">
        <f t="shared" si="256"/>
        <v>1</v>
      </c>
      <c r="V1096">
        <f t="shared" si="259"/>
        <v>1</v>
      </c>
      <c r="W1096">
        <f t="shared" si="260"/>
        <v>0</v>
      </c>
      <c r="X1096">
        <f t="shared" si="269"/>
        <v>0</v>
      </c>
      <c r="Y1096">
        <f t="shared" si="270"/>
        <v>0</v>
      </c>
      <c r="Z1096">
        <f t="shared" si="261"/>
        <v>6</v>
      </c>
      <c r="AA1096">
        <f t="shared" si="262"/>
        <v>5</v>
      </c>
      <c r="AB1096">
        <f t="shared" si="263"/>
        <v>1.4285714285714286</v>
      </c>
      <c r="AC1096">
        <f t="shared" si="264"/>
        <v>0</v>
      </c>
      <c r="AD1096" s="1">
        <f t="shared" si="265"/>
        <v>0</v>
      </c>
      <c r="AE1096">
        <f t="shared" si="266"/>
        <v>0</v>
      </c>
      <c r="AF1096">
        <f t="shared" si="267"/>
        <v>0</v>
      </c>
      <c r="AG1096">
        <f t="shared" si="268"/>
        <v>0</v>
      </c>
    </row>
    <row r="1097" spans="1:33" x14ac:dyDescent="0.25">
      <c r="A1097" t="s">
        <v>1865</v>
      </c>
      <c r="B1097" t="s">
        <v>1866</v>
      </c>
      <c r="C1097">
        <v>168483</v>
      </c>
      <c r="D1097">
        <v>168483</v>
      </c>
      <c r="E1097">
        <v>10</v>
      </c>
      <c r="F1097">
        <v>20</v>
      </c>
      <c r="G1097">
        <v>10</v>
      </c>
      <c r="O1097">
        <v>40</v>
      </c>
      <c r="S1097">
        <f t="shared" si="257"/>
        <v>2.5</v>
      </c>
      <c r="T1097">
        <f t="shared" si="258"/>
        <v>0</v>
      </c>
      <c r="U1097">
        <f t="shared" si="256"/>
        <v>1</v>
      </c>
      <c r="V1097">
        <f t="shared" si="259"/>
        <v>1</v>
      </c>
      <c r="W1097">
        <f t="shared" si="260"/>
        <v>0</v>
      </c>
      <c r="X1097">
        <f t="shared" si="269"/>
        <v>0</v>
      </c>
      <c r="Y1097">
        <f t="shared" si="270"/>
        <v>0</v>
      </c>
      <c r="Z1097">
        <f t="shared" si="261"/>
        <v>2</v>
      </c>
      <c r="AA1097">
        <f t="shared" si="262"/>
        <v>5</v>
      </c>
      <c r="AB1097">
        <f t="shared" si="263"/>
        <v>1.4285714285714286</v>
      </c>
      <c r="AC1097">
        <f t="shared" si="264"/>
        <v>0</v>
      </c>
      <c r="AD1097" s="1">
        <f t="shared" si="265"/>
        <v>0</v>
      </c>
      <c r="AE1097">
        <f t="shared" si="266"/>
        <v>0</v>
      </c>
      <c r="AF1097">
        <f t="shared" si="267"/>
        <v>0</v>
      </c>
      <c r="AG1097">
        <f t="shared" si="268"/>
        <v>0</v>
      </c>
    </row>
    <row r="1098" spans="1:33" x14ac:dyDescent="0.25">
      <c r="A1098" t="s">
        <v>1867</v>
      </c>
      <c r="B1098" t="s">
        <v>1868</v>
      </c>
      <c r="C1098">
        <v>162750</v>
      </c>
      <c r="D1098">
        <v>162750</v>
      </c>
      <c r="H1098">
        <v>0</v>
      </c>
      <c r="I1098">
        <v>10</v>
      </c>
      <c r="J1098">
        <v>10</v>
      </c>
      <c r="K1098">
        <v>0</v>
      </c>
      <c r="L1098">
        <v>0</v>
      </c>
      <c r="M1098">
        <v>20</v>
      </c>
      <c r="S1098">
        <f t="shared" si="257"/>
        <v>0</v>
      </c>
      <c r="T1098">
        <f t="shared" si="258"/>
        <v>1.6666666666666667</v>
      </c>
      <c r="U1098">
        <f t="shared" si="256"/>
        <v>1</v>
      </c>
      <c r="V1098">
        <f t="shared" si="259"/>
        <v>0</v>
      </c>
      <c r="W1098">
        <f t="shared" si="260"/>
        <v>1</v>
      </c>
      <c r="X1098">
        <f t="shared" si="269"/>
        <v>0</v>
      </c>
      <c r="Y1098">
        <f t="shared" si="270"/>
        <v>0</v>
      </c>
      <c r="Z1098">
        <f t="shared" si="261"/>
        <v>0</v>
      </c>
      <c r="AA1098">
        <f t="shared" si="262"/>
        <v>0</v>
      </c>
      <c r="AB1098">
        <f t="shared" si="263"/>
        <v>0</v>
      </c>
      <c r="AC1098">
        <f t="shared" si="264"/>
        <v>0</v>
      </c>
      <c r="AD1098" s="1">
        <f t="shared" si="265"/>
        <v>1.6666666666666667</v>
      </c>
      <c r="AE1098">
        <f t="shared" si="266"/>
        <v>5</v>
      </c>
      <c r="AF1098">
        <f t="shared" si="267"/>
        <v>0</v>
      </c>
      <c r="AG1098">
        <f t="shared" si="268"/>
        <v>0</v>
      </c>
    </row>
    <row r="1099" spans="1:33" x14ac:dyDescent="0.25">
      <c r="A1099" t="s">
        <v>1869</v>
      </c>
      <c r="B1099" t="s">
        <v>797</v>
      </c>
      <c r="C1099">
        <v>156857</v>
      </c>
      <c r="D1099">
        <v>156857</v>
      </c>
      <c r="S1099">
        <f t="shared" si="257"/>
        <v>0</v>
      </c>
      <c r="T1099">
        <f t="shared" si="258"/>
        <v>0</v>
      </c>
      <c r="U1099">
        <f t="shared" si="256"/>
        <v>0</v>
      </c>
      <c r="V1099">
        <f t="shared" si="259"/>
        <v>0</v>
      </c>
      <c r="W1099">
        <f t="shared" si="260"/>
        <v>0</v>
      </c>
      <c r="X1099">
        <f t="shared" si="269"/>
        <v>0</v>
      </c>
      <c r="Y1099">
        <f t="shared" si="270"/>
        <v>0</v>
      </c>
      <c r="Z1099">
        <f t="shared" si="261"/>
        <v>0</v>
      </c>
      <c r="AA1099">
        <f t="shared" si="262"/>
        <v>0</v>
      </c>
      <c r="AB1099">
        <f t="shared" si="263"/>
        <v>0</v>
      </c>
      <c r="AC1099">
        <f t="shared" si="264"/>
        <v>0</v>
      </c>
      <c r="AD1099" s="1">
        <f t="shared" si="265"/>
        <v>0</v>
      </c>
      <c r="AE1099">
        <f t="shared" si="266"/>
        <v>0</v>
      </c>
      <c r="AF1099">
        <f t="shared" si="267"/>
        <v>0</v>
      </c>
      <c r="AG1099">
        <f t="shared" si="268"/>
        <v>0</v>
      </c>
    </row>
    <row r="1100" spans="1:33" x14ac:dyDescent="0.25">
      <c r="A1100" t="s">
        <v>1870</v>
      </c>
      <c r="B1100" t="s">
        <v>457</v>
      </c>
      <c r="C1100">
        <v>168782</v>
      </c>
      <c r="D1100">
        <v>168782</v>
      </c>
      <c r="H1100">
        <v>0</v>
      </c>
      <c r="I1100">
        <v>30</v>
      </c>
      <c r="J1100">
        <v>10</v>
      </c>
      <c r="K1100">
        <v>0</v>
      </c>
      <c r="L1100">
        <v>10</v>
      </c>
      <c r="M1100">
        <v>50</v>
      </c>
      <c r="S1100">
        <f t="shared" si="257"/>
        <v>0</v>
      </c>
      <c r="T1100">
        <f t="shared" si="258"/>
        <v>4.166666666666667</v>
      </c>
      <c r="U1100">
        <f t="shared" si="256"/>
        <v>1</v>
      </c>
      <c r="V1100">
        <f t="shared" si="259"/>
        <v>0</v>
      </c>
      <c r="W1100">
        <f t="shared" si="260"/>
        <v>1</v>
      </c>
      <c r="X1100">
        <f t="shared" si="269"/>
        <v>0</v>
      </c>
      <c r="Y1100">
        <f t="shared" si="270"/>
        <v>0</v>
      </c>
      <c r="Z1100">
        <f t="shared" si="261"/>
        <v>0</v>
      </c>
      <c r="AA1100">
        <f t="shared" si="262"/>
        <v>0</v>
      </c>
      <c r="AB1100">
        <f t="shared" si="263"/>
        <v>0</v>
      </c>
      <c r="AC1100">
        <f t="shared" si="264"/>
        <v>0</v>
      </c>
      <c r="AD1100" s="1">
        <f t="shared" si="265"/>
        <v>5</v>
      </c>
      <c r="AE1100">
        <f t="shared" si="266"/>
        <v>5</v>
      </c>
      <c r="AF1100">
        <f t="shared" si="267"/>
        <v>0</v>
      </c>
      <c r="AG1100">
        <f t="shared" si="268"/>
        <v>10</v>
      </c>
    </row>
    <row r="1101" spans="1:33" x14ac:dyDescent="0.25">
      <c r="A1101" t="s">
        <v>1871</v>
      </c>
      <c r="B1101" t="s">
        <v>1872</v>
      </c>
      <c r="C1101">
        <v>167564</v>
      </c>
      <c r="D1101">
        <v>167564</v>
      </c>
      <c r="H1101">
        <v>10</v>
      </c>
      <c r="I1101">
        <v>40</v>
      </c>
      <c r="J1101">
        <v>10</v>
      </c>
      <c r="K1101">
        <v>10</v>
      </c>
      <c r="L1101">
        <v>10</v>
      </c>
      <c r="M1101">
        <v>80</v>
      </c>
      <c r="R1101">
        <v>0</v>
      </c>
      <c r="S1101">
        <f t="shared" si="257"/>
        <v>0</v>
      </c>
      <c r="T1101">
        <f t="shared" si="258"/>
        <v>6.666666666666667</v>
      </c>
      <c r="U1101">
        <f t="shared" si="256"/>
        <v>1</v>
      </c>
      <c r="V1101">
        <f t="shared" si="259"/>
        <v>0</v>
      </c>
      <c r="W1101">
        <f t="shared" si="260"/>
        <v>1</v>
      </c>
      <c r="X1101">
        <f t="shared" si="269"/>
        <v>0</v>
      </c>
      <c r="Y1101">
        <f t="shared" si="270"/>
        <v>1</v>
      </c>
      <c r="Z1101">
        <f t="shared" si="261"/>
        <v>0</v>
      </c>
      <c r="AA1101">
        <f t="shared" si="262"/>
        <v>0</v>
      </c>
      <c r="AB1101">
        <f t="shared" si="263"/>
        <v>0</v>
      </c>
      <c r="AC1101">
        <f t="shared" si="264"/>
        <v>5</v>
      </c>
      <c r="AD1101" s="1">
        <f t="shared" si="265"/>
        <v>6.666666666666667</v>
      </c>
      <c r="AE1101">
        <f t="shared" si="266"/>
        <v>5</v>
      </c>
      <c r="AF1101">
        <f t="shared" si="267"/>
        <v>10</v>
      </c>
      <c r="AG1101">
        <f t="shared" si="268"/>
        <v>10</v>
      </c>
    </row>
    <row r="1102" spans="1:33" x14ac:dyDescent="0.25">
      <c r="A1102" t="s">
        <v>1873</v>
      </c>
      <c r="B1102" t="s">
        <v>1874</v>
      </c>
      <c r="C1102">
        <v>167400</v>
      </c>
      <c r="D1102">
        <v>167400</v>
      </c>
      <c r="S1102">
        <f t="shared" si="257"/>
        <v>0</v>
      </c>
      <c r="T1102">
        <f t="shared" si="258"/>
        <v>0</v>
      </c>
      <c r="U1102">
        <f t="shared" si="256"/>
        <v>0</v>
      </c>
      <c r="V1102">
        <f t="shared" si="259"/>
        <v>0</v>
      </c>
      <c r="W1102">
        <f t="shared" si="260"/>
        <v>0</v>
      </c>
      <c r="X1102">
        <f t="shared" si="269"/>
        <v>0</v>
      </c>
      <c r="Y1102">
        <f t="shared" si="270"/>
        <v>0</v>
      </c>
      <c r="Z1102">
        <f t="shared" si="261"/>
        <v>0</v>
      </c>
      <c r="AA1102">
        <f t="shared" si="262"/>
        <v>0</v>
      </c>
      <c r="AB1102">
        <f t="shared" si="263"/>
        <v>0</v>
      </c>
      <c r="AC1102">
        <f t="shared" si="264"/>
        <v>0</v>
      </c>
      <c r="AD1102" s="1">
        <f t="shared" si="265"/>
        <v>0</v>
      </c>
      <c r="AE1102">
        <f t="shared" si="266"/>
        <v>0</v>
      </c>
      <c r="AF1102">
        <f t="shared" si="267"/>
        <v>0</v>
      </c>
      <c r="AG1102">
        <f t="shared" si="268"/>
        <v>0</v>
      </c>
    </row>
    <row r="1103" spans="1:33" x14ac:dyDescent="0.25">
      <c r="A1103" t="s">
        <v>1875</v>
      </c>
      <c r="B1103" t="s">
        <v>577</v>
      </c>
      <c r="C1103">
        <v>166122</v>
      </c>
      <c r="D1103">
        <v>166122</v>
      </c>
      <c r="E1103">
        <v>0</v>
      </c>
      <c r="F1103">
        <v>40</v>
      </c>
      <c r="G1103">
        <v>50</v>
      </c>
      <c r="O1103">
        <v>90</v>
      </c>
      <c r="S1103">
        <f t="shared" si="257"/>
        <v>5.625</v>
      </c>
      <c r="T1103">
        <f t="shared" si="258"/>
        <v>0</v>
      </c>
      <c r="U1103">
        <f t="shared" si="256"/>
        <v>1</v>
      </c>
      <c r="V1103">
        <f t="shared" si="259"/>
        <v>1</v>
      </c>
      <c r="W1103">
        <f t="shared" si="260"/>
        <v>0</v>
      </c>
      <c r="X1103">
        <f t="shared" si="269"/>
        <v>0</v>
      </c>
      <c r="Y1103">
        <f t="shared" si="270"/>
        <v>0</v>
      </c>
      <c r="Z1103">
        <f t="shared" si="261"/>
        <v>0</v>
      </c>
      <c r="AA1103">
        <f t="shared" si="262"/>
        <v>10</v>
      </c>
      <c r="AB1103">
        <f t="shared" si="263"/>
        <v>7.1428571428571432</v>
      </c>
      <c r="AC1103">
        <f t="shared" si="264"/>
        <v>0</v>
      </c>
      <c r="AD1103" s="1">
        <f t="shared" si="265"/>
        <v>0</v>
      </c>
      <c r="AE1103">
        <f t="shared" si="266"/>
        <v>0</v>
      </c>
      <c r="AF1103">
        <f t="shared" si="267"/>
        <v>0</v>
      </c>
      <c r="AG1103">
        <f t="shared" si="268"/>
        <v>0</v>
      </c>
    </row>
    <row r="1104" spans="1:33" x14ac:dyDescent="0.25">
      <c r="A1104" t="s">
        <v>1876</v>
      </c>
      <c r="B1104" t="s">
        <v>1877</v>
      </c>
      <c r="C1104">
        <v>168141</v>
      </c>
      <c r="D1104">
        <v>168141</v>
      </c>
      <c r="H1104">
        <v>20</v>
      </c>
      <c r="I1104">
        <v>60</v>
      </c>
      <c r="J1104">
        <v>20</v>
      </c>
      <c r="K1104">
        <v>10</v>
      </c>
      <c r="L1104">
        <v>10</v>
      </c>
      <c r="M1104">
        <v>120</v>
      </c>
      <c r="S1104">
        <f t="shared" si="257"/>
        <v>0</v>
      </c>
      <c r="T1104">
        <f t="shared" si="258"/>
        <v>10</v>
      </c>
      <c r="U1104">
        <f t="shared" si="256"/>
        <v>1</v>
      </c>
      <c r="V1104">
        <f t="shared" si="259"/>
        <v>0</v>
      </c>
      <c r="W1104">
        <f t="shared" si="260"/>
        <v>1</v>
      </c>
      <c r="X1104">
        <f t="shared" si="269"/>
        <v>0</v>
      </c>
      <c r="Y1104">
        <f t="shared" si="270"/>
        <v>1</v>
      </c>
      <c r="Z1104">
        <f t="shared" si="261"/>
        <v>0</v>
      </c>
      <c r="AA1104">
        <f t="shared" si="262"/>
        <v>0</v>
      </c>
      <c r="AB1104">
        <f t="shared" si="263"/>
        <v>0</v>
      </c>
      <c r="AC1104">
        <f t="shared" si="264"/>
        <v>10</v>
      </c>
      <c r="AD1104" s="1">
        <f t="shared" si="265"/>
        <v>10</v>
      </c>
      <c r="AE1104">
        <f t="shared" si="266"/>
        <v>10</v>
      </c>
      <c r="AF1104">
        <f t="shared" si="267"/>
        <v>10</v>
      </c>
      <c r="AG1104">
        <f t="shared" si="268"/>
        <v>10</v>
      </c>
    </row>
    <row r="1105" spans="1:33" x14ac:dyDescent="0.25">
      <c r="A1105" t="s">
        <v>1878</v>
      </c>
      <c r="B1105" t="s">
        <v>489</v>
      </c>
      <c r="C1105">
        <v>162538</v>
      </c>
      <c r="D1105">
        <v>162538</v>
      </c>
      <c r="S1105">
        <f t="shared" si="257"/>
        <v>0</v>
      </c>
      <c r="T1105">
        <f t="shared" si="258"/>
        <v>0</v>
      </c>
      <c r="U1105">
        <f t="shared" si="256"/>
        <v>0</v>
      </c>
      <c r="V1105">
        <f t="shared" si="259"/>
        <v>0</v>
      </c>
      <c r="W1105">
        <f t="shared" si="260"/>
        <v>0</v>
      </c>
      <c r="X1105">
        <f t="shared" si="269"/>
        <v>0</v>
      </c>
      <c r="Y1105">
        <f t="shared" si="270"/>
        <v>0</v>
      </c>
      <c r="Z1105">
        <f t="shared" si="261"/>
        <v>0</v>
      </c>
      <c r="AA1105">
        <f t="shared" si="262"/>
        <v>0</v>
      </c>
      <c r="AB1105">
        <f t="shared" si="263"/>
        <v>0</v>
      </c>
      <c r="AC1105">
        <f t="shared" si="264"/>
        <v>0</v>
      </c>
      <c r="AD1105" s="1">
        <f t="shared" si="265"/>
        <v>0</v>
      </c>
      <c r="AE1105">
        <f t="shared" si="266"/>
        <v>0</v>
      </c>
      <c r="AF1105">
        <f t="shared" si="267"/>
        <v>0</v>
      </c>
      <c r="AG1105">
        <f t="shared" si="268"/>
        <v>0</v>
      </c>
    </row>
    <row r="1106" spans="1:33" x14ac:dyDescent="0.25">
      <c r="A1106" t="s">
        <v>1879</v>
      </c>
      <c r="B1106" t="s">
        <v>83</v>
      </c>
      <c r="C1106">
        <v>166977</v>
      </c>
      <c r="D1106">
        <v>166977</v>
      </c>
      <c r="H1106">
        <v>10</v>
      </c>
      <c r="I1106">
        <v>40</v>
      </c>
      <c r="J1106">
        <v>10</v>
      </c>
      <c r="K1106">
        <v>10</v>
      </c>
      <c r="L1106">
        <v>0</v>
      </c>
      <c r="M1106">
        <v>70</v>
      </c>
      <c r="S1106">
        <f t="shared" si="257"/>
        <v>0</v>
      </c>
      <c r="T1106">
        <f t="shared" si="258"/>
        <v>5.833333333333333</v>
      </c>
      <c r="U1106">
        <f t="shared" si="256"/>
        <v>1</v>
      </c>
      <c r="V1106">
        <f t="shared" si="259"/>
        <v>0</v>
      </c>
      <c r="W1106">
        <f t="shared" si="260"/>
        <v>1</v>
      </c>
      <c r="X1106">
        <f t="shared" si="269"/>
        <v>0</v>
      </c>
      <c r="Y1106">
        <f t="shared" si="270"/>
        <v>0</v>
      </c>
      <c r="Z1106">
        <f t="shared" si="261"/>
        <v>0</v>
      </c>
      <c r="AA1106">
        <f t="shared" si="262"/>
        <v>0</v>
      </c>
      <c r="AB1106">
        <f t="shared" si="263"/>
        <v>0</v>
      </c>
      <c r="AC1106">
        <f t="shared" si="264"/>
        <v>5</v>
      </c>
      <c r="AD1106" s="1">
        <f t="shared" si="265"/>
        <v>6.666666666666667</v>
      </c>
      <c r="AE1106">
        <f t="shared" si="266"/>
        <v>5</v>
      </c>
      <c r="AF1106">
        <f t="shared" si="267"/>
        <v>10</v>
      </c>
      <c r="AG1106">
        <f t="shared" si="268"/>
        <v>0</v>
      </c>
    </row>
    <row r="1107" spans="1:33" x14ac:dyDescent="0.25">
      <c r="A1107" t="s">
        <v>1880</v>
      </c>
      <c r="B1107" t="s">
        <v>53</v>
      </c>
      <c r="C1107">
        <v>167077</v>
      </c>
      <c r="D1107">
        <v>167077</v>
      </c>
      <c r="E1107">
        <v>20</v>
      </c>
      <c r="F1107">
        <v>10</v>
      </c>
      <c r="G1107">
        <v>40</v>
      </c>
      <c r="O1107">
        <v>70</v>
      </c>
      <c r="S1107">
        <f t="shared" si="257"/>
        <v>4.375</v>
      </c>
      <c r="T1107">
        <f t="shared" si="258"/>
        <v>0</v>
      </c>
      <c r="U1107">
        <f t="shared" si="256"/>
        <v>1</v>
      </c>
      <c r="V1107">
        <f t="shared" si="259"/>
        <v>1</v>
      </c>
      <c r="W1107">
        <f t="shared" si="260"/>
        <v>0</v>
      </c>
      <c r="X1107">
        <f t="shared" si="269"/>
        <v>0</v>
      </c>
      <c r="Y1107">
        <f t="shared" si="270"/>
        <v>0</v>
      </c>
      <c r="Z1107">
        <f t="shared" si="261"/>
        <v>4</v>
      </c>
      <c r="AA1107">
        <f t="shared" si="262"/>
        <v>2.5</v>
      </c>
      <c r="AB1107">
        <f t="shared" si="263"/>
        <v>5.7142857142857144</v>
      </c>
      <c r="AC1107">
        <f t="shared" si="264"/>
        <v>0</v>
      </c>
      <c r="AD1107" s="1">
        <f t="shared" si="265"/>
        <v>0</v>
      </c>
      <c r="AE1107">
        <f t="shared" si="266"/>
        <v>0</v>
      </c>
      <c r="AF1107">
        <f t="shared" si="267"/>
        <v>0</v>
      </c>
      <c r="AG1107">
        <f t="shared" si="268"/>
        <v>0</v>
      </c>
    </row>
    <row r="1108" spans="1:33" x14ac:dyDescent="0.25">
      <c r="A1108" t="s">
        <v>1881</v>
      </c>
      <c r="B1108" t="s">
        <v>1882</v>
      </c>
      <c r="C1108">
        <v>167071</v>
      </c>
      <c r="D1108">
        <v>167071</v>
      </c>
      <c r="H1108">
        <v>10</v>
      </c>
      <c r="I1108">
        <v>50</v>
      </c>
      <c r="J1108">
        <v>20</v>
      </c>
      <c r="K1108">
        <v>0</v>
      </c>
      <c r="L1108">
        <v>10</v>
      </c>
      <c r="M1108">
        <v>90</v>
      </c>
      <c r="S1108">
        <f t="shared" si="257"/>
        <v>0</v>
      </c>
      <c r="T1108">
        <f t="shared" si="258"/>
        <v>7.5</v>
      </c>
      <c r="U1108">
        <f t="shared" si="256"/>
        <v>1</v>
      </c>
      <c r="V1108">
        <f t="shared" si="259"/>
        <v>0</v>
      </c>
      <c r="W1108">
        <f t="shared" si="260"/>
        <v>1</v>
      </c>
      <c r="X1108">
        <f t="shared" si="269"/>
        <v>0</v>
      </c>
      <c r="Y1108">
        <f t="shared" si="270"/>
        <v>1</v>
      </c>
      <c r="Z1108">
        <f t="shared" si="261"/>
        <v>0</v>
      </c>
      <c r="AA1108">
        <f t="shared" si="262"/>
        <v>0</v>
      </c>
      <c r="AB1108">
        <f t="shared" si="263"/>
        <v>0</v>
      </c>
      <c r="AC1108">
        <f t="shared" si="264"/>
        <v>5</v>
      </c>
      <c r="AD1108" s="1">
        <f t="shared" si="265"/>
        <v>8.3333333333333339</v>
      </c>
      <c r="AE1108">
        <f t="shared" si="266"/>
        <v>10</v>
      </c>
      <c r="AF1108">
        <f t="shared" si="267"/>
        <v>0</v>
      </c>
      <c r="AG1108">
        <f t="shared" si="268"/>
        <v>10</v>
      </c>
    </row>
    <row r="1109" spans="1:33" x14ac:dyDescent="0.25">
      <c r="A1109" t="s">
        <v>1883</v>
      </c>
      <c r="B1109" t="s">
        <v>1884</v>
      </c>
      <c r="C1109">
        <v>155064</v>
      </c>
      <c r="D1109">
        <v>155064</v>
      </c>
      <c r="H1109">
        <v>0</v>
      </c>
      <c r="I1109">
        <v>10</v>
      </c>
      <c r="J1109">
        <v>10</v>
      </c>
      <c r="K1109">
        <v>0</v>
      </c>
      <c r="L1109">
        <v>10</v>
      </c>
      <c r="M1109">
        <v>30</v>
      </c>
      <c r="S1109">
        <f t="shared" si="257"/>
        <v>0</v>
      </c>
      <c r="T1109">
        <f t="shared" si="258"/>
        <v>2.5</v>
      </c>
      <c r="U1109">
        <f t="shared" si="256"/>
        <v>1</v>
      </c>
      <c r="V1109">
        <f t="shared" si="259"/>
        <v>0</v>
      </c>
      <c r="W1109">
        <f t="shared" si="260"/>
        <v>1</v>
      </c>
      <c r="X1109">
        <f t="shared" si="269"/>
        <v>0</v>
      </c>
      <c r="Y1109">
        <f t="shared" si="270"/>
        <v>0</v>
      </c>
      <c r="Z1109">
        <f t="shared" si="261"/>
        <v>0</v>
      </c>
      <c r="AA1109">
        <f t="shared" si="262"/>
        <v>0</v>
      </c>
      <c r="AB1109">
        <f t="shared" si="263"/>
        <v>0</v>
      </c>
      <c r="AC1109">
        <f t="shared" si="264"/>
        <v>0</v>
      </c>
      <c r="AD1109" s="1">
        <f t="shared" si="265"/>
        <v>1.6666666666666667</v>
      </c>
      <c r="AE1109">
        <f t="shared" si="266"/>
        <v>5</v>
      </c>
      <c r="AF1109">
        <f t="shared" si="267"/>
        <v>0</v>
      </c>
      <c r="AG1109">
        <f t="shared" si="268"/>
        <v>10</v>
      </c>
    </row>
    <row r="1110" spans="1:33" x14ac:dyDescent="0.25">
      <c r="A1110" t="s">
        <v>1885</v>
      </c>
      <c r="B1110" t="s">
        <v>1886</v>
      </c>
      <c r="C1110">
        <v>168031</v>
      </c>
      <c r="D1110">
        <v>168031</v>
      </c>
      <c r="S1110">
        <f t="shared" si="257"/>
        <v>0</v>
      </c>
      <c r="T1110">
        <f t="shared" si="258"/>
        <v>0</v>
      </c>
      <c r="U1110">
        <f t="shared" si="256"/>
        <v>0</v>
      </c>
      <c r="V1110">
        <f t="shared" si="259"/>
        <v>0</v>
      </c>
      <c r="W1110">
        <f t="shared" si="260"/>
        <v>0</v>
      </c>
      <c r="X1110">
        <f t="shared" si="269"/>
        <v>0</v>
      </c>
      <c r="Y1110">
        <f t="shared" si="270"/>
        <v>0</v>
      </c>
      <c r="Z1110">
        <f t="shared" si="261"/>
        <v>0</v>
      </c>
      <c r="AA1110">
        <f t="shared" si="262"/>
        <v>0</v>
      </c>
      <c r="AB1110">
        <f t="shared" si="263"/>
        <v>0</v>
      </c>
      <c r="AC1110">
        <f t="shared" si="264"/>
        <v>0</v>
      </c>
      <c r="AD1110" s="1">
        <f t="shared" si="265"/>
        <v>0</v>
      </c>
      <c r="AE1110">
        <f t="shared" si="266"/>
        <v>0</v>
      </c>
      <c r="AF1110">
        <f t="shared" si="267"/>
        <v>0</v>
      </c>
      <c r="AG1110">
        <f t="shared" si="268"/>
        <v>0</v>
      </c>
    </row>
    <row r="1111" spans="1:33" x14ac:dyDescent="0.25">
      <c r="A1111" t="s">
        <v>1887</v>
      </c>
      <c r="B1111" t="s">
        <v>1888</v>
      </c>
      <c r="C1111">
        <v>164527</v>
      </c>
      <c r="D1111">
        <v>164527</v>
      </c>
      <c r="E1111">
        <v>50</v>
      </c>
      <c r="F1111">
        <v>40</v>
      </c>
      <c r="G1111">
        <v>50</v>
      </c>
      <c r="O1111">
        <v>140</v>
      </c>
      <c r="S1111">
        <f t="shared" si="257"/>
        <v>8.75</v>
      </c>
      <c r="T1111">
        <f t="shared" si="258"/>
        <v>0</v>
      </c>
      <c r="U1111">
        <f t="shared" si="256"/>
        <v>1</v>
      </c>
      <c r="V1111">
        <f t="shared" si="259"/>
        <v>1</v>
      </c>
      <c r="W1111">
        <f t="shared" si="260"/>
        <v>0</v>
      </c>
      <c r="X1111">
        <f t="shared" si="269"/>
        <v>1</v>
      </c>
      <c r="Y1111">
        <f t="shared" si="270"/>
        <v>0</v>
      </c>
      <c r="Z1111">
        <f t="shared" si="261"/>
        <v>10</v>
      </c>
      <c r="AA1111">
        <f t="shared" si="262"/>
        <v>10</v>
      </c>
      <c r="AB1111">
        <f t="shared" si="263"/>
        <v>7.1428571428571432</v>
      </c>
      <c r="AC1111">
        <f t="shared" si="264"/>
        <v>0</v>
      </c>
      <c r="AD1111" s="1">
        <f t="shared" si="265"/>
        <v>0</v>
      </c>
      <c r="AE1111">
        <f t="shared" si="266"/>
        <v>0</v>
      </c>
      <c r="AF1111">
        <f t="shared" si="267"/>
        <v>0</v>
      </c>
      <c r="AG1111">
        <f t="shared" si="268"/>
        <v>0</v>
      </c>
    </row>
    <row r="1112" spans="1:33" x14ac:dyDescent="0.25">
      <c r="A1112" t="s">
        <v>1889</v>
      </c>
      <c r="B1112" t="s">
        <v>1890</v>
      </c>
      <c r="C1112">
        <v>159167</v>
      </c>
      <c r="D1112">
        <v>159167</v>
      </c>
      <c r="R1112" t="s">
        <v>20</v>
      </c>
      <c r="S1112">
        <f t="shared" si="257"/>
        <v>0</v>
      </c>
      <c r="T1112">
        <f t="shared" si="258"/>
        <v>0</v>
      </c>
      <c r="U1112">
        <f t="shared" si="256"/>
        <v>0</v>
      </c>
      <c r="V1112">
        <f t="shared" si="259"/>
        <v>0</v>
      </c>
      <c r="W1112">
        <f t="shared" si="260"/>
        <v>0</v>
      </c>
      <c r="X1112">
        <f t="shared" si="269"/>
        <v>0</v>
      </c>
      <c r="Y1112">
        <f t="shared" si="270"/>
        <v>0</v>
      </c>
      <c r="Z1112">
        <f t="shared" si="261"/>
        <v>0</v>
      </c>
      <c r="AA1112">
        <f t="shared" si="262"/>
        <v>0</v>
      </c>
      <c r="AB1112">
        <f t="shared" si="263"/>
        <v>0</v>
      </c>
      <c r="AC1112">
        <f t="shared" si="264"/>
        <v>0</v>
      </c>
      <c r="AD1112" s="1">
        <f t="shared" si="265"/>
        <v>0</v>
      </c>
      <c r="AE1112">
        <f t="shared" si="266"/>
        <v>0</v>
      </c>
      <c r="AF1112">
        <f t="shared" si="267"/>
        <v>0</v>
      </c>
      <c r="AG1112">
        <f t="shared" si="268"/>
        <v>0</v>
      </c>
    </row>
    <row r="1113" spans="1:33" x14ac:dyDescent="0.25">
      <c r="A1113" t="s">
        <v>1891</v>
      </c>
      <c r="B1113" t="s">
        <v>1221</v>
      </c>
      <c r="C1113">
        <v>168856</v>
      </c>
      <c r="D1113">
        <v>168856</v>
      </c>
      <c r="E1113">
        <v>10</v>
      </c>
      <c r="F1113">
        <v>10</v>
      </c>
      <c r="G1113">
        <v>0</v>
      </c>
      <c r="O1113">
        <v>20</v>
      </c>
      <c r="S1113">
        <f t="shared" si="257"/>
        <v>1.25</v>
      </c>
      <c r="T1113">
        <f t="shared" si="258"/>
        <v>0</v>
      </c>
      <c r="U1113">
        <f t="shared" si="256"/>
        <v>1</v>
      </c>
      <c r="V1113">
        <f t="shared" si="259"/>
        <v>1</v>
      </c>
      <c r="W1113">
        <f t="shared" si="260"/>
        <v>0</v>
      </c>
      <c r="X1113">
        <f t="shared" si="269"/>
        <v>0</v>
      </c>
      <c r="Y1113">
        <f t="shared" si="270"/>
        <v>0</v>
      </c>
      <c r="Z1113">
        <f t="shared" si="261"/>
        <v>2</v>
      </c>
      <c r="AA1113">
        <f t="shared" si="262"/>
        <v>2.5</v>
      </c>
      <c r="AB1113">
        <f t="shared" si="263"/>
        <v>0</v>
      </c>
      <c r="AC1113">
        <f t="shared" si="264"/>
        <v>0</v>
      </c>
      <c r="AD1113" s="1">
        <f t="shared" si="265"/>
        <v>0</v>
      </c>
      <c r="AE1113">
        <f t="shared" si="266"/>
        <v>0</v>
      </c>
      <c r="AF1113">
        <f t="shared" si="267"/>
        <v>0</v>
      </c>
      <c r="AG1113">
        <f t="shared" si="268"/>
        <v>0</v>
      </c>
    </row>
    <row r="1114" spans="1:33" x14ac:dyDescent="0.25">
      <c r="A1114" t="s">
        <v>1892</v>
      </c>
      <c r="B1114" t="s">
        <v>596</v>
      </c>
      <c r="C1114">
        <v>168599</v>
      </c>
      <c r="D1114">
        <v>168599</v>
      </c>
      <c r="E1114">
        <v>40</v>
      </c>
      <c r="F1114">
        <v>0</v>
      </c>
      <c r="G1114">
        <v>30</v>
      </c>
      <c r="O1114">
        <v>70</v>
      </c>
      <c r="S1114">
        <f t="shared" si="257"/>
        <v>4.375</v>
      </c>
      <c r="T1114">
        <f t="shared" si="258"/>
        <v>0</v>
      </c>
      <c r="U1114">
        <f t="shared" si="256"/>
        <v>1</v>
      </c>
      <c r="V1114">
        <f t="shared" si="259"/>
        <v>1</v>
      </c>
      <c r="W1114">
        <f t="shared" si="260"/>
        <v>0</v>
      </c>
      <c r="X1114">
        <f t="shared" si="269"/>
        <v>0</v>
      </c>
      <c r="Y1114">
        <f t="shared" si="270"/>
        <v>0</v>
      </c>
      <c r="Z1114">
        <f t="shared" si="261"/>
        <v>8</v>
      </c>
      <c r="AA1114">
        <f t="shared" si="262"/>
        <v>0</v>
      </c>
      <c r="AB1114">
        <f t="shared" si="263"/>
        <v>4.2857142857142856</v>
      </c>
      <c r="AC1114">
        <f t="shared" si="264"/>
        <v>0</v>
      </c>
      <c r="AD1114" s="1">
        <f t="shared" si="265"/>
        <v>0</v>
      </c>
      <c r="AE1114">
        <f t="shared" si="266"/>
        <v>0</v>
      </c>
      <c r="AF1114">
        <f t="shared" si="267"/>
        <v>0</v>
      </c>
      <c r="AG1114">
        <f t="shared" si="268"/>
        <v>0</v>
      </c>
    </row>
    <row r="1115" spans="1:33" x14ac:dyDescent="0.25">
      <c r="A1115" t="s">
        <v>1893</v>
      </c>
      <c r="B1115" t="s">
        <v>1894</v>
      </c>
      <c r="C1115">
        <v>167554</v>
      </c>
      <c r="D1115">
        <v>167554</v>
      </c>
      <c r="E1115">
        <v>10</v>
      </c>
      <c r="F1115">
        <v>10</v>
      </c>
      <c r="G1115">
        <v>20</v>
      </c>
      <c r="O1115">
        <v>40</v>
      </c>
      <c r="R1115">
        <v>0</v>
      </c>
      <c r="S1115">
        <f t="shared" si="257"/>
        <v>2.5</v>
      </c>
      <c r="T1115">
        <f t="shared" si="258"/>
        <v>0</v>
      </c>
      <c r="U1115">
        <f t="shared" si="256"/>
        <v>1</v>
      </c>
      <c r="V1115">
        <f t="shared" si="259"/>
        <v>1</v>
      </c>
      <c r="W1115">
        <f t="shared" si="260"/>
        <v>0</v>
      </c>
      <c r="X1115">
        <f t="shared" si="269"/>
        <v>0</v>
      </c>
      <c r="Y1115">
        <f t="shared" si="270"/>
        <v>0</v>
      </c>
      <c r="Z1115">
        <f t="shared" si="261"/>
        <v>2</v>
      </c>
      <c r="AA1115">
        <f t="shared" si="262"/>
        <v>2.5</v>
      </c>
      <c r="AB1115">
        <f t="shared" si="263"/>
        <v>2.8571428571428572</v>
      </c>
      <c r="AC1115">
        <f t="shared" si="264"/>
        <v>0</v>
      </c>
      <c r="AD1115" s="1">
        <f t="shared" si="265"/>
        <v>0</v>
      </c>
      <c r="AE1115">
        <f t="shared" si="266"/>
        <v>0</v>
      </c>
      <c r="AF1115">
        <f t="shared" si="267"/>
        <v>0</v>
      </c>
      <c r="AG1115">
        <f t="shared" si="268"/>
        <v>0</v>
      </c>
    </row>
    <row r="1116" spans="1:33" x14ac:dyDescent="0.25">
      <c r="A1116" t="s">
        <v>1895</v>
      </c>
      <c r="B1116" t="s">
        <v>1896</v>
      </c>
      <c r="C1116">
        <v>167618</v>
      </c>
      <c r="D1116">
        <v>167618</v>
      </c>
      <c r="E1116">
        <v>10</v>
      </c>
      <c r="F1116">
        <v>20</v>
      </c>
      <c r="G1116">
        <v>30</v>
      </c>
      <c r="O1116">
        <v>60</v>
      </c>
      <c r="S1116">
        <f t="shared" si="257"/>
        <v>3.75</v>
      </c>
      <c r="T1116">
        <f t="shared" si="258"/>
        <v>0</v>
      </c>
      <c r="U1116">
        <f t="shared" si="256"/>
        <v>1</v>
      </c>
      <c r="V1116">
        <f t="shared" si="259"/>
        <v>1</v>
      </c>
      <c r="W1116">
        <f t="shared" si="260"/>
        <v>0</v>
      </c>
      <c r="X1116">
        <f t="shared" si="269"/>
        <v>0</v>
      </c>
      <c r="Y1116">
        <f t="shared" si="270"/>
        <v>0</v>
      </c>
      <c r="Z1116">
        <f t="shared" si="261"/>
        <v>2</v>
      </c>
      <c r="AA1116">
        <f t="shared" si="262"/>
        <v>5</v>
      </c>
      <c r="AB1116">
        <f t="shared" si="263"/>
        <v>4.2857142857142856</v>
      </c>
      <c r="AC1116">
        <f t="shared" si="264"/>
        <v>0</v>
      </c>
      <c r="AD1116" s="1">
        <f t="shared" si="265"/>
        <v>0</v>
      </c>
      <c r="AE1116">
        <f t="shared" si="266"/>
        <v>0</v>
      </c>
      <c r="AF1116">
        <f t="shared" si="267"/>
        <v>0</v>
      </c>
      <c r="AG1116">
        <f t="shared" si="268"/>
        <v>0</v>
      </c>
    </row>
    <row r="1117" spans="1:33" x14ac:dyDescent="0.25">
      <c r="A1117" t="s">
        <v>1895</v>
      </c>
      <c r="B1117" t="s">
        <v>130</v>
      </c>
      <c r="C1117">
        <v>163352</v>
      </c>
      <c r="D1117">
        <v>163352</v>
      </c>
      <c r="E1117">
        <v>30</v>
      </c>
      <c r="F1117">
        <v>20</v>
      </c>
      <c r="G1117">
        <v>30</v>
      </c>
      <c r="O1117">
        <v>80</v>
      </c>
      <c r="S1117">
        <f t="shared" si="257"/>
        <v>5</v>
      </c>
      <c r="T1117">
        <f t="shared" si="258"/>
        <v>0</v>
      </c>
      <c r="U1117">
        <f t="shared" si="256"/>
        <v>1</v>
      </c>
      <c r="V1117">
        <f t="shared" si="259"/>
        <v>1</v>
      </c>
      <c r="W1117">
        <f t="shared" si="260"/>
        <v>0</v>
      </c>
      <c r="X1117">
        <f t="shared" si="269"/>
        <v>0</v>
      </c>
      <c r="Y1117">
        <f t="shared" si="270"/>
        <v>0</v>
      </c>
      <c r="Z1117">
        <f t="shared" si="261"/>
        <v>6</v>
      </c>
      <c r="AA1117">
        <f t="shared" si="262"/>
        <v>5</v>
      </c>
      <c r="AB1117">
        <f t="shared" si="263"/>
        <v>4.2857142857142856</v>
      </c>
      <c r="AC1117">
        <f t="shared" si="264"/>
        <v>0</v>
      </c>
      <c r="AD1117" s="1">
        <f t="shared" si="265"/>
        <v>0</v>
      </c>
      <c r="AE1117">
        <f t="shared" si="266"/>
        <v>0</v>
      </c>
      <c r="AF1117">
        <f t="shared" si="267"/>
        <v>0</v>
      </c>
      <c r="AG1117">
        <f t="shared" si="268"/>
        <v>0</v>
      </c>
    </row>
    <row r="1118" spans="1:33" x14ac:dyDescent="0.25">
      <c r="A1118" t="s">
        <v>1897</v>
      </c>
      <c r="B1118" t="s">
        <v>197</v>
      </c>
      <c r="C1118">
        <v>167539</v>
      </c>
      <c r="D1118">
        <v>167539</v>
      </c>
      <c r="E1118">
        <v>30</v>
      </c>
      <c r="F1118">
        <v>10</v>
      </c>
      <c r="G1118">
        <v>30</v>
      </c>
      <c r="O1118">
        <v>70</v>
      </c>
      <c r="S1118">
        <f t="shared" si="257"/>
        <v>4.375</v>
      </c>
      <c r="T1118">
        <f t="shared" si="258"/>
        <v>0</v>
      </c>
      <c r="U1118">
        <f t="shared" si="256"/>
        <v>1</v>
      </c>
      <c r="V1118">
        <f t="shared" si="259"/>
        <v>1</v>
      </c>
      <c r="W1118">
        <f t="shared" si="260"/>
        <v>0</v>
      </c>
      <c r="X1118">
        <f t="shared" si="269"/>
        <v>0</v>
      </c>
      <c r="Y1118">
        <f t="shared" si="270"/>
        <v>0</v>
      </c>
      <c r="Z1118">
        <f t="shared" si="261"/>
        <v>6</v>
      </c>
      <c r="AA1118">
        <f t="shared" si="262"/>
        <v>2.5</v>
      </c>
      <c r="AB1118">
        <f t="shared" si="263"/>
        <v>4.2857142857142856</v>
      </c>
      <c r="AC1118">
        <f t="shared" si="264"/>
        <v>0</v>
      </c>
      <c r="AD1118" s="1">
        <f t="shared" si="265"/>
        <v>0</v>
      </c>
      <c r="AE1118">
        <f t="shared" si="266"/>
        <v>0</v>
      </c>
      <c r="AF1118">
        <f t="shared" si="267"/>
        <v>0</v>
      </c>
      <c r="AG1118">
        <f t="shared" si="268"/>
        <v>0</v>
      </c>
    </row>
    <row r="1119" spans="1:33" x14ac:dyDescent="0.25">
      <c r="A1119" t="s">
        <v>1898</v>
      </c>
      <c r="B1119" t="s">
        <v>1543</v>
      </c>
      <c r="C1119">
        <v>165683</v>
      </c>
      <c r="D1119">
        <v>165683</v>
      </c>
      <c r="E1119">
        <v>20</v>
      </c>
      <c r="F1119">
        <v>20</v>
      </c>
      <c r="G1119">
        <v>30</v>
      </c>
      <c r="O1119">
        <v>70</v>
      </c>
      <c r="S1119">
        <f t="shared" si="257"/>
        <v>4.375</v>
      </c>
      <c r="T1119">
        <f t="shared" si="258"/>
        <v>0</v>
      </c>
      <c r="U1119">
        <f t="shared" si="256"/>
        <v>1</v>
      </c>
      <c r="V1119">
        <f t="shared" si="259"/>
        <v>1</v>
      </c>
      <c r="W1119">
        <f t="shared" si="260"/>
        <v>0</v>
      </c>
      <c r="X1119">
        <f t="shared" si="269"/>
        <v>0</v>
      </c>
      <c r="Y1119">
        <f t="shared" si="270"/>
        <v>0</v>
      </c>
      <c r="Z1119">
        <f t="shared" si="261"/>
        <v>4</v>
      </c>
      <c r="AA1119">
        <f t="shared" si="262"/>
        <v>5</v>
      </c>
      <c r="AB1119">
        <f t="shared" si="263"/>
        <v>4.2857142857142856</v>
      </c>
      <c r="AC1119">
        <f t="shared" si="264"/>
        <v>0</v>
      </c>
      <c r="AD1119" s="1">
        <f t="shared" si="265"/>
        <v>0</v>
      </c>
      <c r="AE1119">
        <f t="shared" si="266"/>
        <v>0</v>
      </c>
      <c r="AF1119">
        <f t="shared" si="267"/>
        <v>0</v>
      </c>
      <c r="AG1119">
        <f t="shared" si="268"/>
        <v>0</v>
      </c>
    </row>
    <row r="1120" spans="1:33" x14ac:dyDescent="0.25">
      <c r="A1120" t="s">
        <v>1899</v>
      </c>
      <c r="B1120" t="s">
        <v>1900</v>
      </c>
      <c r="C1120">
        <v>168907</v>
      </c>
      <c r="D1120">
        <v>168907</v>
      </c>
      <c r="E1120">
        <v>10</v>
      </c>
      <c r="F1120">
        <v>0</v>
      </c>
      <c r="G1120">
        <v>10</v>
      </c>
      <c r="O1120">
        <v>20</v>
      </c>
      <c r="S1120">
        <f t="shared" si="257"/>
        <v>1.25</v>
      </c>
      <c r="T1120">
        <f t="shared" si="258"/>
        <v>0</v>
      </c>
      <c r="U1120">
        <f t="shared" si="256"/>
        <v>1</v>
      </c>
      <c r="V1120">
        <f t="shared" si="259"/>
        <v>1</v>
      </c>
      <c r="W1120">
        <f t="shared" si="260"/>
        <v>0</v>
      </c>
      <c r="X1120">
        <f t="shared" si="269"/>
        <v>0</v>
      </c>
      <c r="Y1120">
        <f t="shared" si="270"/>
        <v>0</v>
      </c>
      <c r="Z1120">
        <f t="shared" si="261"/>
        <v>2</v>
      </c>
      <c r="AA1120">
        <f t="shared" si="262"/>
        <v>0</v>
      </c>
      <c r="AB1120">
        <f t="shared" si="263"/>
        <v>1.4285714285714286</v>
      </c>
      <c r="AC1120">
        <f t="shared" si="264"/>
        <v>0</v>
      </c>
      <c r="AD1120" s="1">
        <f t="shared" si="265"/>
        <v>0</v>
      </c>
      <c r="AE1120">
        <f t="shared" si="266"/>
        <v>0</v>
      </c>
      <c r="AF1120">
        <f t="shared" si="267"/>
        <v>0</v>
      </c>
      <c r="AG1120">
        <f t="shared" si="268"/>
        <v>0</v>
      </c>
    </row>
    <row r="1121" spans="1:33" x14ac:dyDescent="0.25">
      <c r="A1121" t="s">
        <v>1901</v>
      </c>
      <c r="B1121" t="s">
        <v>1902</v>
      </c>
      <c r="C1121">
        <v>168326</v>
      </c>
      <c r="D1121">
        <v>168326</v>
      </c>
      <c r="E1121">
        <v>20</v>
      </c>
      <c r="F1121">
        <v>30</v>
      </c>
      <c r="G1121">
        <v>30</v>
      </c>
      <c r="O1121">
        <v>80</v>
      </c>
      <c r="S1121">
        <f t="shared" si="257"/>
        <v>5</v>
      </c>
      <c r="T1121">
        <f t="shared" si="258"/>
        <v>0</v>
      </c>
      <c r="U1121">
        <f t="shared" si="256"/>
        <v>1</v>
      </c>
      <c r="V1121">
        <f t="shared" si="259"/>
        <v>1</v>
      </c>
      <c r="W1121">
        <f t="shared" si="260"/>
        <v>0</v>
      </c>
      <c r="X1121">
        <f t="shared" si="269"/>
        <v>0</v>
      </c>
      <c r="Y1121">
        <f t="shared" si="270"/>
        <v>0</v>
      </c>
      <c r="Z1121">
        <f t="shared" si="261"/>
        <v>4</v>
      </c>
      <c r="AA1121">
        <f t="shared" si="262"/>
        <v>7.5</v>
      </c>
      <c r="AB1121">
        <f t="shared" si="263"/>
        <v>4.2857142857142856</v>
      </c>
      <c r="AC1121">
        <f t="shared" si="264"/>
        <v>0</v>
      </c>
      <c r="AD1121" s="1">
        <f t="shared" si="265"/>
        <v>0</v>
      </c>
      <c r="AE1121">
        <f t="shared" si="266"/>
        <v>0</v>
      </c>
      <c r="AF1121">
        <f t="shared" si="267"/>
        <v>0</v>
      </c>
      <c r="AG1121">
        <f t="shared" si="268"/>
        <v>0</v>
      </c>
    </row>
    <row r="1122" spans="1:33" x14ac:dyDescent="0.25">
      <c r="A1122" t="s">
        <v>1903</v>
      </c>
      <c r="B1122" t="s">
        <v>1904</v>
      </c>
      <c r="C1122">
        <v>166888</v>
      </c>
      <c r="D1122">
        <v>166888</v>
      </c>
      <c r="H1122">
        <v>0</v>
      </c>
      <c r="I1122">
        <v>40</v>
      </c>
      <c r="J1122">
        <v>20</v>
      </c>
      <c r="K1122">
        <v>10</v>
      </c>
      <c r="L1122">
        <v>0</v>
      </c>
      <c r="M1122">
        <v>70</v>
      </c>
      <c r="S1122">
        <f t="shared" si="257"/>
        <v>0</v>
      </c>
      <c r="T1122">
        <f t="shared" si="258"/>
        <v>5.833333333333333</v>
      </c>
      <c r="U1122">
        <f t="shared" si="256"/>
        <v>1</v>
      </c>
      <c r="V1122">
        <f t="shared" si="259"/>
        <v>0</v>
      </c>
      <c r="W1122">
        <f t="shared" si="260"/>
        <v>1</v>
      </c>
      <c r="X1122">
        <f t="shared" si="269"/>
        <v>0</v>
      </c>
      <c r="Y1122">
        <f t="shared" si="270"/>
        <v>0</v>
      </c>
      <c r="Z1122">
        <f t="shared" si="261"/>
        <v>0</v>
      </c>
      <c r="AA1122">
        <f t="shared" si="262"/>
        <v>0</v>
      </c>
      <c r="AB1122">
        <f t="shared" si="263"/>
        <v>0</v>
      </c>
      <c r="AC1122">
        <f t="shared" si="264"/>
        <v>0</v>
      </c>
      <c r="AD1122" s="1">
        <f t="shared" si="265"/>
        <v>6.666666666666667</v>
      </c>
      <c r="AE1122">
        <f t="shared" si="266"/>
        <v>10</v>
      </c>
      <c r="AF1122">
        <f t="shared" si="267"/>
        <v>10</v>
      </c>
      <c r="AG1122">
        <f t="shared" si="268"/>
        <v>0</v>
      </c>
    </row>
    <row r="1123" spans="1:33" x14ac:dyDescent="0.25">
      <c r="A1123" t="s">
        <v>1905</v>
      </c>
      <c r="B1123" t="s">
        <v>1906</v>
      </c>
      <c r="C1123">
        <v>168042</v>
      </c>
      <c r="D1123">
        <v>168042</v>
      </c>
      <c r="E1123">
        <v>10</v>
      </c>
      <c r="F1123">
        <v>10</v>
      </c>
      <c r="G1123">
        <v>20</v>
      </c>
      <c r="O1123">
        <v>40</v>
      </c>
      <c r="S1123">
        <f t="shared" si="257"/>
        <v>2.5</v>
      </c>
      <c r="T1123">
        <f t="shared" si="258"/>
        <v>0</v>
      </c>
      <c r="U1123">
        <f t="shared" si="256"/>
        <v>1</v>
      </c>
      <c r="V1123">
        <f t="shared" si="259"/>
        <v>1</v>
      </c>
      <c r="W1123">
        <f t="shared" si="260"/>
        <v>0</v>
      </c>
      <c r="X1123">
        <f t="shared" si="269"/>
        <v>0</v>
      </c>
      <c r="Y1123">
        <f t="shared" si="270"/>
        <v>0</v>
      </c>
      <c r="Z1123">
        <f t="shared" si="261"/>
        <v>2</v>
      </c>
      <c r="AA1123">
        <f t="shared" si="262"/>
        <v>2.5</v>
      </c>
      <c r="AB1123">
        <f t="shared" si="263"/>
        <v>2.8571428571428572</v>
      </c>
      <c r="AC1123">
        <f t="shared" si="264"/>
        <v>0</v>
      </c>
      <c r="AD1123" s="1">
        <f t="shared" si="265"/>
        <v>0</v>
      </c>
      <c r="AE1123">
        <f t="shared" si="266"/>
        <v>0</v>
      </c>
      <c r="AF1123">
        <f t="shared" si="267"/>
        <v>0</v>
      </c>
      <c r="AG1123">
        <f t="shared" si="268"/>
        <v>0</v>
      </c>
    </row>
    <row r="1124" spans="1:33" x14ac:dyDescent="0.25">
      <c r="A1124" t="s">
        <v>1907</v>
      </c>
      <c r="B1124" t="s">
        <v>1908</v>
      </c>
      <c r="C1124">
        <v>164495</v>
      </c>
      <c r="D1124">
        <v>164495</v>
      </c>
      <c r="S1124">
        <f t="shared" si="257"/>
        <v>0</v>
      </c>
      <c r="T1124">
        <f t="shared" si="258"/>
        <v>0</v>
      </c>
      <c r="U1124">
        <f t="shared" si="256"/>
        <v>0</v>
      </c>
      <c r="V1124">
        <f t="shared" si="259"/>
        <v>0</v>
      </c>
      <c r="W1124">
        <f t="shared" si="260"/>
        <v>0</v>
      </c>
      <c r="X1124">
        <f t="shared" si="269"/>
        <v>0</v>
      </c>
      <c r="Y1124">
        <f t="shared" si="270"/>
        <v>0</v>
      </c>
      <c r="Z1124">
        <f t="shared" si="261"/>
        <v>0</v>
      </c>
      <c r="AA1124">
        <f t="shared" si="262"/>
        <v>0</v>
      </c>
      <c r="AB1124">
        <f t="shared" si="263"/>
        <v>0</v>
      </c>
      <c r="AC1124">
        <f t="shared" si="264"/>
        <v>0</v>
      </c>
      <c r="AD1124" s="1">
        <f t="shared" si="265"/>
        <v>0</v>
      </c>
      <c r="AE1124">
        <f t="shared" si="266"/>
        <v>0</v>
      </c>
      <c r="AF1124">
        <f t="shared" si="267"/>
        <v>0</v>
      </c>
      <c r="AG1124">
        <f t="shared" si="268"/>
        <v>0</v>
      </c>
    </row>
    <row r="1125" spans="1:33" x14ac:dyDescent="0.25">
      <c r="A1125" t="s">
        <v>1909</v>
      </c>
      <c r="B1125" t="s">
        <v>49</v>
      </c>
      <c r="C1125">
        <v>166571</v>
      </c>
      <c r="D1125">
        <v>166571</v>
      </c>
      <c r="E1125">
        <v>30</v>
      </c>
      <c r="F1125">
        <v>30</v>
      </c>
      <c r="G1125">
        <v>40</v>
      </c>
      <c r="O1125">
        <v>100</v>
      </c>
      <c r="S1125">
        <f t="shared" si="257"/>
        <v>6.25</v>
      </c>
      <c r="T1125">
        <f t="shared" si="258"/>
        <v>0</v>
      </c>
      <c r="U1125">
        <f t="shared" si="256"/>
        <v>1</v>
      </c>
      <c r="V1125">
        <f t="shared" si="259"/>
        <v>1</v>
      </c>
      <c r="W1125">
        <f t="shared" si="260"/>
        <v>0</v>
      </c>
      <c r="X1125">
        <f t="shared" si="269"/>
        <v>1</v>
      </c>
      <c r="Y1125">
        <f t="shared" si="270"/>
        <v>0</v>
      </c>
      <c r="Z1125">
        <f t="shared" si="261"/>
        <v>6</v>
      </c>
      <c r="AA1125">
        <f t="shared" si="262"/>
        <v>7.5</v>
      </c>
      <c r="AB1125">
        <f t="shared" si="263"/>
        <v>5.7142857142857144</v>
      </c>
      <c r="AC1125">
        <f t="shared" si="264"/>
        <v>0</v>
      </c>
      <c r="AD1125" s="1">
        <f t="shared" si="265"/>
        <v>0</v>
      </c>
      <c r="AE1125">
        <f t="shared" si="266"/>
        <v>0</v>
      </c>
      <c r="AF1125">
        <f t="shared" si="267"/>
        <v>0</v>
      </c>
      <c r="AG1125">
        <f t="shared" si="268"/>
        <v>0</v>
      </c>
    </row>
    <row r="1126" spans="1:33" x14ac:dyDescent="0.25">
      <c r="A1126" t="s">
        <v>1910</v>
      </c>
      <c r="B1126" t="s">
        <v>391</v>
      </c>
      <c r="C1126">
        <v>166574</v>
      </c>
      <c r="D1126">
        <v>166574</v>
      </c>
      <c r="H1126">
        <v>20</v>
      </c>
      <c r="I1126">
        <v>30</v>
      </c>
      <c r="J1126">
        <v>10</v>
      </c>
      <c r="K1126">
        <v>0</v>
      </c>
      <c r="L1126">
        <v>0</v>
      </c>
      <c r="M1126">
        <v>60</v>
      </c>
      <c r="S1126">
        <f t="shared" si="257"/>
        <v>0</v>
      </c>
      <c r="T1126">
        <f t="shared" si="258"/>
        <v>5</v>
      </c>
      <c r="U1126">
        <f t="shared" si="256"/>
        <v>1</v>
      </c>
      <c r="V1126">
        <f t="shared" si="259"/>
        <v>0</v>
      </c>
      <c r="W1126">
        <f t="shared" si="260"/>
        <v>1</v>
      </c>
      <c r="X1126">
        <f t="shared" si="269"/>
        <v>0</v>
      </c>
      <c r="Y1126">
        <f t="shared" si="270"/>
        <v>0</v>
      </c>
      <c r="Z1126">
        <f t="shared" si="261"/>
        <v>0</v>
      </c>
      <c r="AA1126">
        <f t="shared" si="262"/>
        <v>0</v>
      </c>
      <c r="AB1126">
        <f t="shared" si="263"/>
        <v>0</v>
      </c>
      <c r="AC1126">
        <f t="shared" si="264"/>
        <v>10</v>
      </c>
      <c r="AD1126" s="1">
        <f t="shared" si="265"/>
        <v>5</v>
      </c>
      <c r="AE1126">
        <f t="shared" si="266"/>
        <v>5</v>
      </c>
      <c r="AF1126">
        <f t="shared" si="267"/>
        <v>0</v>
      </c>
      <c r="AG1126">
        <f t="shared" si="268"/>
        <v>0</v>
      </c>
    </row>
    <row r="1127" spans="1:33" x14ac:dyDescent="0.25">
      <c r="A1127" t="s">
        <v>1911</v>
      </c>
      <c r="B1127" t="s">
        <v>1912</v>
      </c>
      <c r="C1127">
        <v>165859</v>
      </c>
      <c r="D1127">
        <v>165859</v>
      </c>
      <c r="S1127">
        <f t="shared" si="257"/>
        <v>0</v>
      </c>
      <c r="T1127">
        <f t="shared" si="258"/>
        <v>0</v>
      </c>
      <c r="U1127">
        <f t="shared" si="256"/>
        <v>0</v>
      </c>
      <c r="V1127">
        <f t="shared" si="259"/>
        <v>0</v>
      </c>
      <c r="W1127">
        <f t="shared" si="260"/>
        <v>0</v>
      </c>
      <c r="X1127">
        <f t="shared" si="269"/>
        <v>0</v>
      </c>
      <c r="Y1127">
        <f t="shared" si="270"/>
        <v>0</v>
      </c>
      <c r="Z1127">
        <f t="shared" si="261"/>
        <v>0</v>
      </c>
      <c r="AA1127">
        <f t="shared" si="262"/>
        <v>0</v>
      </c>
      <c r="AB1127">
        <f t="shared" si="263"/>
        <v>0</v>
      </c>
      <c r="AC1127">
        <f t="shared" si="264"/>
        <v>0</v>
      </c>
      <c r="AD1127" s="1">
        <f t="shared" si="265"/>
        <v>0</v>
      </c>
      <c r="AE1127">
        <f t="shared" si="266"/>
        <v>0</v>
      </c>
      <c r="AF1127">
        <f t="shared" si="267"/>
        <v>0</v>
      </c>
      <c r="AG1127">
        <f t="shared" si="268"/>
        <v>0</v>
      </c>
    </row>
    <row r="1128" spans="1:33" x14ac:dyDescent="0.25">
      <c r="A1128" t="s">
        <v>1913</v>
      </c>
      <c r="B1128" t="s">
        <v>1914</v>
      </c>
      <c r="C1128">
        <v>165640</v>
      </c>
      <c r="D1128">
        <v>165640</v>
      </c>
      <c r="E1128">
        <v>50</v>
      </c>
      <c r="F1128">
        <v>30</v>
      </c>
      <c r="G1128">
        <v>30</v>
      </c>
      <c r="O1128">
        <v>110</v>
      </c>
      <c r="S1128">
        <f t="shared" si="257"/>
        <v>6.875</v>
      </c>
      <c r="T1128">
        <f t="shared" si="258"/>
        <v>0</v>
      </c>
      <c r="U1128">
        <f t="shared" si="256"/>
        <v>1</v>
      </c>
      <c r="V1128">
        <f t="shared" si="259"/>
        <v>1</v>
      </c>
      <c r="W1128">
        <f t="shared" si="260"/>
        <v>0</v>
      </c>
      <c r="X1128">
        <f t="shared" si="269"/>
        <v>1</v>
      </c>
      <c r="Y1128">
        <f t="shared" si="270"/>
        <v>0</v>
      </c>
      <c r="Z1128">
        <f t="shared" si="261"/>
        <v>10</v>
      </c>
      <c r="AA1128">
        <f t="shared" si="262"/>
        <v>7.5</v>
      </c>
      <c r="AB1128">
        <f t="shared" si="263"/>
        <v>4.2857142857142856</v>
      </c>
      <c r="AC1128">
        <f t="shared" si="264"/>
        <v>0</v>
      </c>
      <c r="AD1128" s="1">
        <f t="shared" si="265"/>
        <v>0</v>
      </c>
      <c r="AE1128">
        <f t="shared" si="266"/>
        <v>0</v>
      </c>
      <c r="AF1128">
        <f t="shared" si="267"/>
        <v>0</v>
      </c>
      <c r="AG1128">
        <f t="shared" si="268"/>
        <v>0</v>
      </c>
    </row>
    <row r="1129" spans="1:33" x14ac:dyDescent="0.25">
      <c r="A1129" t="s">
        <v>1915</v>
      </c>
      <c r="B1129" t="s">
        <v>1916</v>
      </c>
      <c r="C1129">
        <v>168186</v>
      </c>
      <c r="D1129">
        <v>168186</v>
      </c>
      <c r="E1129">
        <v>10</v>
      </c>
      <c r="F1129">
        <v>30</v>
      </c>
      <c r="G1129">
        <v>50</v>
      </c>
      <c r="O1129">
        <v>90</v>
      </c>
      <c r="S1129">
        <f t="shared" si="257"/>
        <v>5.625</v>
      </c>
      <c r="T1129">
        <f t="shared" si="258"/>
        <v>0</v>
      </c>
      <c r="U1129">
        <f t="shared" si="256"/>
        <v>1</v>
      </c>
      <c r="V1129">
        <f t="shared" si="259"/>
        <v>1</v>
      </c>
      <c r="W1129">
        <f t="shared" si="260"/>
        <v>0</v>
      </c>
      <c r="X1129">
        <f t="shared" si="269"/>
        <v>0</v>
      </c>
      <c r="Y1129">
        <f t="shared" si="270"/>
        <v>0</v>
      </c>
      <c r="Z1129">
        <f t="shared" si="261"/>
        <v>2</v>
      </c>
      <c r="AA1129">
        <f t="shared" si="262"/>
        <v>7.5</v>
      </c>
      <c r="AB1129">
        <f t="shared" si="263"/>
        <v>7.1428571428571432</v>
      </c>
      <c r="AC1129">
        <f t="shared" si="264"/>
        <v>0</v>
      </c>
      <c r="AD1129" s="1">
        <f t="shared" si="265"/>
        <v>0</v>
      </c>
      <c r="AE1129">
        <f t="shared" si="266"/>
        <v>0</v>
      </c>
      <c r="AF1129">
        <f t="shared" si="267"/>
        <v>0</v>
      </c>
      <c r="AG1129">
        <f t="shared" si="268"/>
        <v>0</v>
      </c>
    </row>
    <row r="1130" spans="1:33" x14ac:dyDescent="0.25">
      <c r="A1130" t="s">
        <v>1917</v>
      </c>
      <c r="B1130" t="s">
        <v>1918</v>
      </c>
      <c r="C1130">
        <v>168062</v>
      </c>
      <c r="D1130">
        <v>168062</v>
      </c>
      <c r="H1130">
        <v>10</v>
      </c>
      <c r="I1130">
        <v>40</v>
      </c>
      <c r="J1130">
        <v>10</v>
      </c>
      <c r="K1130">
        <v>10</v>
      </c>
      <c r="L1130">
        <v>10</v>
      </c>
      <c r="M1130">
        <v>80</v>
      </c>
      <c r="S1130">
        <f t="shared" si="257"/>
        <v>0</v>
      </c>
      <c r="T1130">
        <f t="shared" si="258"/>
        <v>6.666666666666667</v>
      </c>
      <c r="U1130">
        <f t="shared" si="256"/>
        <v>1</v>
      </c>
      <c r="V1130">
        <f t="shared" si="259"/>
        <v>0</v>
      </c>
      <c r="W1130">
        <f t="shared" si="260"/>
        <v>1</v>
      </c>
      <c r="X1130">
        <f t="shared" si="269"/>
        <v>0</v>
      </c>
      <c r="Y1130">
        <f t="shared" si="270"/>
        <v>1</v>
      </c>
      <c r="Z1130">
        <f t="shared" si="261"/>
        <v>0</v>
      </c>
      <c r="AA1130">
        <f t="shared" si="262"/>
        <v>0</v>
      </c>
      <c r="AB1130">
        <f t="shared" si="263"/>
        <v>0</v>
      </c>
      <c r="AC1130">
        <f t="shared" si="264"/>
        <v>5</v>
      </c>
      <c r="AD1130" s="1">
        <f t="shared" si="265"/>
        <v>6.666666666666667</v>
      </c>
      <c r="AE1130">
        <f t="shared" si="266"/>
        <v>5</v>
      </c>
      <c r="AF1130">
        <f t="shared" si="267"/>
        <v>10</v>
      </c>
      <c r="AG1130">
        <f t="shared" si="268"/>
        <v>10</v>
      </c>
    </row>
    <row r="1131" spans="1:33" x14ac:dyDescent="0.25">
      <c r="A1131" t="s">
        <v>1919</v>
      </c>
      <c r="B1131" t="s">
        <v>1920</v>
      </c>
      <c r="C1131">
        <v>166935</v>
      </c>
      <c r="D1131">
        <v>166935</v>
      </c>
      <c r="H1131">
        <v>10</v>
      </c>
      <c r="I1131">
        <v>10</v>
      </c>
      <c r="J1131">
        <v>10</v>
      </c>
      <c r="K1131">
        <v>10</v>
      </c>
      <c r="L1131">
        <v>10</v>
      </c>
      <c r="M1131">
        <v>50</v>
      </c>
      <c r="S1131">
        <f t="shared" si="257"/>
        <v>0</v>
      </c>
      <c r="T1131">
        <f t="shared" si="258"/>
        <v>4.166666666666667</v>
      </c>
      <c r="U1131">
        <f t="shared" si="256"/>
        <v>1</v>
      </c>
      <c r="V1131">
        <f t="shared" si="259"/>
        <v>0</v>
      </c>
      <c r="W1131">
        <f t="shared" si="260"/>
        <v>1</v>
      </c>
      <c r="X1131">
        <f t="shared" si="269"/>
        <v>0</v>
      </c>
      <c r="Y1131">
        <f t="shared" si="270"/>
        <v>0</v>
      </c>
      <c r="Z1131">
        <f t="shared" si="261"/>
        <v>0</v>
      </c>
      <c r="AA1131">
        <f t="shared" si="262"/>
        <v>0</v>
      </c>
      <c r="AB1131">
        <f t="shared" si="263"/>
        <v>0</v>
      </c>
      <c r="AC1131">
        <f t="shared" si="264"/>
        <v>5</v>
      </c>
      <c r="AD1131" s="1">
        <f t="shared" si="265"/>
        <v>1.6666666666666667</v>
      </c>
      <c r="AE1131">
        <f t="shared" si="266"/>
        <v>5</v>
      </c>
      <c r="AF1131">
        <f t="shared" si="267"/>
        <v>10</v>
      </c>
      <c r="AG1131">
        <f t="shared" si="268"/>
        <v>10</v>
      </c>
    </row>
    <row r="1132" spans="1:33" x14ac:dyDescent="0.25">
      <c r="A1132" t="s">
        <v>1921</v>
      </c>
      <c r="B1132" t="s">
        <v>1922</v>
      </c>
      <c r="C1132">
        <v>168363</v>
      </c>
      <c r="D1132">
        <v>168363</v>
      </c>
      <c r="S1132">
        <f t="shared" si="257"/>
        <v>0</v>
      </c>
      <c r="T1132">
        <f t="shared" si="258"/>
        <v>0</v>
      </c>
      <c r="U1132">
        <f t="shared" si="256"/>
        <v>0</v>
      </c>
      <c r="V1132">
        <f t="shared" si="259"/>
        <v>0</v>
      </c>
      <c r="W1132">
        <f t="shared" si="260"/>
        <v>0</v>
      </c>
      <c r="X1132">
        <f t="shared" si="269"/>
        <v>0</v>
      </c>
      <c r="Y1132">
        <f t="shared" si="270"/>
        <v>0</v>
      </c>
      <c r="Z1132">
        <f t="shared" si="261"/>
        <v>0</v>
      </c>
      <c r="AA1132">
        <f t="shared" si="262"/>
        <v>0</v>
      </c>
      <c r="AB1132">
        <f t="shared" si="263"/>
        <v>0</v>
      </c>
      <c r="AC1132">
        <f t="shared" si="264"/>
        <v>0</v>
      </c>
      <c r="AD1132" s="1">
        <f t="shared" si="265"/>
        <v>0</v>
      </c>
      <c r="AE1132">
        <f t="shared" si="266"/>
        <v>0</v>
      </c>
      <c r="AF1132">
        <f t="shared" si="267"/>
        <v>0</v>
      </c>
      <c r="AG1132">
        <f t="shared" si="268"/>
        <v>0</v>
      </c>
    </row>
    <row r="1133" spans="1:33" x14ac:dyDescent="0.25">
      <c r="A1133" t="s">
        <v>1923</v>
      </c>
      <c r="B1133" t="s">
        <v>1924</v>
      </c>
      <c r="C1133">
        <v>164486</v>
      </c>
      <c r="D1133">
        <v>164486</v>
      </c>
      <c r="E1133">
        <v>50</v>
      </c>
      <c r="F1133">
        <v>40</v>
      </c>
      <c r="G1133">
        <v>40</v>
      </c>
      <c r="O1133">
        <v>130</v>
      </c>
      <c r="S1133">
        <f t="shared" si="257"/>
        <v>8.125</v>
      </c>
      <c r="T1133">
        <f t="shared" si="258"/>
        <v>0</v>
      </c>
      <c r="U1133">
        <f t="shared" si="256"/>
        <v>1</v>
      </c>
      <c r="V1133">
        <f t="shared" si="259"/>
        <v>1</v>
      </c>
      <c r="W1133">
        <f t="shared" si="260"/>
        <v>0</v>
      </c>
      <c r="X1133">
        <f t="shared" si="269"/>
        <v>1</v>
      </c>
      <c r="Y1133">
        <f t="shared" si="270"/>
        <v>0</v>
      </c>
      <c r="Z1133">
        <f t="shared" si="261"/>
        <v>10</v>
      </c>
      <c r="AA1133">
        <f t="shared" si="262"/>
        <v>10</v>
      </c>
      <c r="AB1133">
        <f t="shared" si="263"/>
        <v>5.7142857142857144</v>
      </c>
      <c r="AC1133">
        <f t="shared" si="264"/>
        <v>0</v>
      </c>
      <c r="AD1133" s="1">
        <f t="shared" si="265"/>
        <v>0</v>
      </c>
      <c r="AE1133">
        <f t="shared" si="266"/>
        <v>0</v>
      </c>
      <c r="AF1133">
        <f t="shared" si="267"/>
        <v>0</v>
      </c>
      <c r="AG1133">
        <f t="shared" si="268"/>
        <v>0</v>
      </c>
    </row>
    <row r="1134" spans="1:33" x14ac:dyDescent="0.25">
      <c r="A1134" t="s">
        <v>1925</v>
      </c>
      <c r="B1134" t="s">
        <v>1926</v>
      </c>
      <c r="C1134">
        <v>167646</v>
      </c>
      <c r="D1134">
        <v>167646</v>
      </c>
      <c r="H1134">
        <v>20</v>
      </c>
      <c r="I1134">
        <v>40</v>
      </c>
      <c r="J1134">
        <v>20</v>
      </c>
      <c r="K1134">
        <v>10</v>
      </c>
      <c r="L1134">
        <v>0</v>
      </c>
      <c r="M1134">
        <v>90</v>
      </c>
      <c r="S1134">
        <f t="shared" si="257"/>
        <v>0</v>
      </c>
      <c r="T1134">
        <f t="shared" si="258"/>
        <v>7.5</v>
      </c>
      <c r="U1134">
        <f t="shared" si="256"/>
        <v>1</v>
      </c>
      <c r="V1134">
        <f t="shared" si="259"/>
        <v>0</v>
      </c>
      <c r="W1134">
        <f t="shared" si="260"/>
        <v>1</v>
      </c>
      <c r="X1134">
        <f t="shared" si="269"/>
        <v>0</v>
      </c>
      <c r="Y1134">
        <f t="shared" si="270"/>
        <v>1</v>
      </c>
      <c r="Z1134">
        <f t="shared" si="261"/>
        <v>0</v>
      </c>
      <c r="AA1134">
        <f t="shared" si="262"/>
        <v>0</v>
      </c>
      <c r="AB1134">
        <f t="shared" si="263"/>
        <v>0</v>
      </c>
      <c r="AC1134">
        <f t="shared" si="264"/>
        <v>10</v>
      </c>
      <c r="AD1134" s="1">
        <f t="shared" si="265"/>
        <v>6.666666666666667</v>
      </c>
      <c r="AE1134">
        <f t="shared" si="266"/>
        <v>10</v>
      </c>
      <c r="AF1134">
        <f t="shared" si="267"/>
        <v>10</v>
      </c>
      <c r="AG1134">
        <f t="shared" si="268"/>
        <v>0</v>
      </c>
    </row>
    <row r="1135" spans="1:33" x14ac:dyDescent="0.25">
      <c r="A1135" t="s">
        <v>1927</v>
      </c>
      <c r="B1135" t="s">
        <v>839</v>
      </c>
      <c r="C1135">
        <v>165459</v>
      </c>
      <c r="D1135">
        <v>165459</v>
      </c>
      <c r="H1135">
        <v>0</v>
      </c>
      <c r="I1135">
        <v>20</v>
      </c>
      <c r="J1135">
        <v>10</v>
      </c>
      <c r="K1135">
        <v>0</v>
      </c>
      <c r="L1135">
        <v>0</v>
      </c>
      <c r="M1135">
        <v>30</v>
      </c>
      <c r="N1135" t="s">
        <v>20</v>
      </c>
      <c r="S1135">
        <f t="shared" si="257"/>
        <v>0</v>
      </c>
      <c r="T1135">
        <f t="shared" si="258"/>
        <v>2.5</v>
      </c>
      <c r="U1135">
        <f t="shared" si="256"/>
        <v>1</v>
      </c>
      <c r="V1135">
        <f t="shared" si="259"/>
        <v>0</v>
      </c>
      <c r="W1135">
        <f t="shared" si="260"/>
        <v>1</v>
      </c>
      <c r="X1135">
        <f t="shared" si="269"/>
        <v>0</v>
      </c>
      <c r="Y1135">
        <f t="shared" si="270"/>
        <v>0</v>
      </c>
      <c r="Z1135">
        <f t="shared" si="261"/>
        <v>0</v>
      </c>
      <c r="AA1135">
        <f t="shared" si="262"/>
        <v>0</v>
      </c>
      <c r="AB1135">
        <f t="shared" si="263"/>
        <v>0</v>
      </c>
      <c r="AC1135">
        <f t="shared" si="264"/>
        <v>0</v>
      </c>
      <c r="AD1135" s="1">
        <f t="shared" si="265"/>
        <v>3.3333333333333335</v>
      </c>
      <c r="AE1135">
        <f t="shared" si="266"/>
        <v>5</v>
      </c>
      <c r="AF1135">
        <f t="shared" si="267"/>
        <v>0</v>
      </c>
      <c r="AG1135">
        <f t="shared" si="268"/>
        <v>0</v>
      </c>
    </row>
    <row r="1136" spans="1:33" x14ac:dyDescent="0.25">
      <c r="A1136" t="s">
        <v>1928</v>
      </c>
      <c r="B1136" t="s">
        <v>1929</v>
      </c>
      <c r="C1136">
        <v>167583</v>
      </c>
      <c r="D1136">
        <v>167583</v>
      </c>
      <c r="E1136">
        <v>50</v>
      </c>
      <c r="F1136">
        <v>40</v>
      </c>
      <c r="G1136">
        <v>30</v>
      </c>
      <c r="O1136">
        <v>120</v>
      </c>
      <c r="S1136">
        <f t="shared" si="257"/>
        <v>7.5</v>
      </c>
      <c r="T1136">
        <f t="shared" si="258"/>
        <v>0</v>
      </c>
      <c r="U1136">
        <f t="shared" si="256"/>
        <v>1</v>
      </c>
      <c r="V1136">
        <f t="shared" si="259"/>
        <v>1</v>
      </c>
      <c r="W1136">
        <f t="shared" si="260"/>
        <v>0</v>
      </c>
      <c r="X1136">
        <f t="shared" si="269"/>
        <v>1</v>
      </c>
      <c r="Y1136">
        <f t="shared" si="270"/>
        <v>0</v>
      </c>
      <c r="Z1136">
        <f t="shared" si="261"/>
        <v>10</v>
      </c>
      <c r="AA1136">
        <f t="shared" si="262"/>
        <v>10</v>
      </c>
      <c r="AB1136">
        <f t="shared" si="263"/>
        <v>4.2857142857142856</v>
      </c>
      <c r="AC1136">
        <f t="shared" si="264"/>
        <v>0</v>
      </c>
      <c r="AD1136" s="1">
        <f t="shared" si="265"/>
        <v>0</v>
      </c>
      <c r="AE1136">
        <f t="shared" si="266"/>
        <v>0</v>
      </c>
      <c r="AF1136">
        <f t="shared" si="267"/>
        <v>0</v>
      </c>
      <c r="AG1136">
        <f t="shared" si="268"/>
        <v>0</v>
      </c>
    </row>
    <row r="1137" spans="1:33" x14ac:dyDescent="0.25">
      <c r="A1137" t="s">
        <v>1930</v>
      </c>
      <c r="B1137" t="s">
        <v>59</v>
      </c>
      <c r="C1137">
        <v>168676</v>
      </c>
      <c r="D1137">
        <v>168676</v>
      </c>
      <c r="S1137">
        <f t="shared" si="257"/>
        <v>0</v>
      </c>
      <c r="T1137">
        <f t="shared" si="258"/>
        <v>0</v>
      </c>
      <c r="U1137">
        <f t="shared" si="256"/>
        <v>0</v>
      </c>
      <c r="V1137">
        <f t="shared" si="259"/>
        <v>0</v>
      </c>
      <c r="W1137">
        <f t="shared" si="260"/>
        <v>0</v>
      </c>
      <c r="X1137">
        <f t="shared" si="269"/>
        <v>0</v>
      </c>
      <c r="Y1137">
        <f t="shared" si="270"/>
        <v>0</v>
      </c>
      <c r="Z1137">
        <f t="shared" si="261"/>
        <v>0</v>
      </c>
      <c r="AA1137">
        <f t="shared" si="262"/>
        <v>0</v>
      </c>
      <c r="AB1137">
        <f t="shared" si="263"/>
        <v>0</v>
      </c>
      <c r="AC1137">
        <f t="shared" si="264"/>
        <v>0</v>
      </c>
      <c r="AD1137" s="1">
        <f t="shared" si="265"/>
        <v>0</v>
      </c>
      <c r="AE1137">
        <f t="shared" si="266"/>
        <v>0</v>
      </c>
      <c r="AF1137">
        <f t="shared" si="267"/>
        <v>0</v>
      </c>
      <c r="AG1137">
        <f t="shared" si="268"/>
        <v>0</v>
      </c>
    </row>
    <row r="1138" spans="1:33" x14ac:dyDescent="0.25">
      <c r="A1138" t="s">
        <v>1931</v>
      </c>
      <c r="B1138" t="s">
        <v>1932</v>
      </c>
      <c r="C1138">
        <v>164693</v>
      </c>
      <c r="D1138">
        <v>164693</v>
      </c>
      <c r="S1138">
        <f t="shared" si="257"/>
        <v>0</v>
      </c>
      <c r="T1138">
        <f t="shared" si="258"/>
        <v>0</v>
      </c>
      <c r="U1138">
        <f t="shared" si="256"/>
        <v>0</v>
      </c>
      <c r="V1138">
        <f t="shared" si="259"/>
        <v>0</v>
      </c>
      <c r="W1138">
        <f t="shared" si="260"/>
        <v>0</v>
      </c>
      <c r="X1138">
        <f t="shared" si="269"/>
        <v>0</v>
      </c>
      <c r="Y1138">
        <f t="shared" si="270"/>
        <v>0</v>
      </c>
      <c r="Z1138">
        <f t="shared" si="261"/>
        <v>0</v>
      </c>
      <c r="AA1138">
        <f t="shared" si="262"/>
        <v>0</v>
      </c>
      <c r="AB1138">
        <f t="shared" si="263"/>
        <v>0</v>
      </c>
      <c r="AC1138">
        <f t="shared" si="264"/>
        <v>0</v>
      </c>
      <c r="AD1138" s="1">
        <f t="shared" si="265"/>
        <v>0</v>
      </c>
      <c r="AE1138">
        <f t="shared" si="266"/>
        <v>0</v>
      </c>
      <c r="AF1138">
        <f t="shared" si="267"/>
        <v>0</v>
      </c>
      <c r="AG1138">
        <f t="shared" si="268"/>
        <v>0</v>
      </c>
    </row>
    <row r="1139" spans="1:33" x14ac:dyDescent="0.25">
      <c r="A1139" t="s">
        <v>1933</v>
      </c>
      <c r="B1139" t="s">
        <v>1631</v>
      </c>
      <c r="C1139">
        <v>166772</v>
      </c>
      <c r="D1139">
        <v>166772</v>
      </c>
      <c r="E1139">
        <v>50</v>
      </c>
      <c r="F1139">
        <v>20</v>
      </c>
      <c r="G1139">
        <v>20</v>
      </c>
      <c r="O1139">
        <v>90</v>
      </c>
      <c r="S1139">
        <f t="shared" si="257"/>
        <v>5.625</v>
      </c>
      <c r="T1139">
        <f t="shared" si="258"/>
        <v>0</v>
      </c>
      <c r="U1139">
        <f t="shared" si="256"/>
        <v>1</v>
      </c>
      <c r="V1139">
        <f t="shared" si="259"/>
        <v>1</v>
      </c>
      <c r="W1139">
        <f t="shared" si="260"/>
        <v>0</v>
      </c>
      <c r="X1139">
        <f t="shared" si="269"/>
        <v>0</v>
      </c>
      <c r="Y1139">
        <f t="shared" si="270"/>
        <v>0</v>
      </c>
      <c r="Z1139">
        <f t="shared" si="261"/>
        <v>10</v>
      </c>
      <c r="AA1139">
        <f t="shared" si="262"/>
        <v>5</v>
      </c>
      <c r="AB1139">
        <f t="shared" si="263"/>
        <v>2.8571428571428572</v>
      </c>
      <c r="AC1139">
        <f t="shared" si="264"/>
        <v>0</v>
      </c>
      <c r="AD1139" s="1">
        <f t="shared" si="265"/>
        <v>0</v>
      </c>
      <c r="AE1139">
        <f t="shared" si="266"/>
        <v>0</v>
      </c>
      <c r="AF1139">
        <f t="shared" si="267"/>
        <v>0</v>
      </c>
      <c r="AG1139">
        <f t="shared" si="268"/>
        <v>0</v>
      </c>
    </row>
    <row r="1140" spans="1:33" x14ac:dyDescent="0.25">
      <c r="A1140" t="s">
        <v>1934</v>
      </c>
      <c r="B1140" t="s">
        <v>1557</v>
      </c>
      <c r="C1140">
        <v>168505</v>
      </c>
      <c r="D1140">
        <v>168505</v>
      </c>
      <c r="H1140">
        <v>10</v>
      </c>
      <c r="I1140">
        <v>30</v>
      </c>
      <c r="J1140">
        <v>10</v>
      </c>
      <c r="K1140">
        <v>10</v>
      </c>
      <c r="L1140">
        <v>0</v>
      </c>
      <c r="M1140">
        <v>60</v>
      </c>
      <c r="S1140">
        <f t="shared" si="257"/>
        <v>0</v>
      </c>
      <c r="T1140">
        <f t="shared" si="258"/>
        <v>5</v>
      </c>
      <c r="U1140">
        <f t="shared" si="256"/>
        <v>1</v>
      </c>
      <c r="V1140">
        <f t="shared" si="259"/>
        <v>0</v>
      </c>
      <c r="W1140">
        <f t="shared" si="260"/>
        <v>1</v>
      </c>
      <c r="X1140">
        <f t="shared" si="269"/>
        <v>0</v>
      </c>
      <c r="Y1140">
        <f t="shared" si="270"/>
        <v>0</v>
      </c>
      <c r="Z1140">
        <f t="shared" si="261"/>
        <v>0</v>
      </c>
      <c r="AA1140">
        <f t="shared" si="262"/>
        <v>0</v>
      </c>
      <c r="AB1140">
        <f t="shared" si="263"/>
        <v>0</v>
      </c>
      <c r="AC1140">
        <f t="shared" si="264"/>
        <v>5</v>
      </c>
      <c r="AD1140" s="1">
        <f t="shared" si="265"/>
        <v>5</v>
      </c>
      <c r="AE1140">
        <f t="shared" si="266"/>
        <v>5</v>
      </c>
      <c r="AF1140">
        <f t="shared" si="267"/>
        <v>10</v>
      </c>
      <c r="AG1140">
        <f t="shared" si="268"/>
        <v>0</v>
      </c>
    </row>
    <row r="1141" spans="1:33" x14ac:dyDescent="0.25">
      <c r="A1141" t="s">
        <v>1935</v>
      </c>
      <c r="B1141" t="s">
        <v>958</v>
      </c>
      <c r="C1141">
        <v>164504</v>
      </c>
      <c r="D1141">
        <v>164504</v>
      </c>
      <c r="H1141">
        <v>10</v>
      </c>
      <c r="I1141">
        <v>10</v>
      </c>
      <c r="J1141">
        <v>10</v>
      </c>
      <c r="K1141">
        <v>10</v>
      </c>
      <c r="L1141">
        <v>10</v>
      </c>
      <c r="M1141">
        <v>50</v>
      </c>
      <c r="S1141">
        <f t="shared" si="257"/>
        <v>0</v>
      </c>
      <c r="T1141">
        <f t="shared" si="258"/>
        <v>4.166666666666667</v>
      </c>
      <c r="U1141">
        <f t="shared" si="256"/>
        <v>1</v>
      </c>
      <c r="V1141">
        <f t="shared" si="259"/>
        <v>0</v>
      </c>
      <c r="W1141">
        <f t="shared" si="260"/>
        <v>1</v>
      </c>
      <c r="X1141">
        <f t="shared" si="269"/>
        <v>0</v>
      </c>
      <c r="Y1141">
        <f t="shared" si="270"/>
        <v>0</v>
      </c>
      <c r="Z1141">
        <f t="shared" si="261"/>
        <v>0</v>
      </c>
      <c r="AA1141">
        <f t="shared" si="262"/>
        <v>0</v>
      </c>
      <c r="AB1141">
        <f t="shared" si="263"/>
        <v>0</v>
      </c>
      <c r="AC1141">
        <f t="shared" si="264"/>
        <v>5</v>
      </c>
      <c r="AD1141" s="1">
        <f t="shared" si="265"/>
        <v>1.6666666666666667</v>
      </c>
      <c r="AE1141">
        <f t="shared" si="266"/>
        <v>5</v>
      </c>
      <c r="AF1141">
        <f t="shared" si="267"/>
        <v>10</v>
      </c>
      <c r="AG1141">
        <f t="shared" si="268"/>
        <v>10</v>
      </c>
    </row>
    <row r="1142" spans="1:33" x14ac:dyDescent="0.25">
      <c r="A1142" t="s">
        <v>1936</v>
      </c>
      <c r="B1142" t="s">
        <v>1937</v>
      </c>
      <c r="C1142">
        <v>165990</v>
      </c>
      <c r="D1142">
        <v>165990</v>
      </c>
      <c r="H1142">
        <v>10</v>
      </c>
      <c r="I1142">
        <v>40</v>
      </c>
      <c r="J1142">
        <v>20</v>
      </c>
      <c r="K1142">
        <v>10</v>
      </c>
      <c r="L1142">
        <v>10</v>
      </c>
      <c r="M1142">
        <v>90</v>
      </c>
      <c r="S1142">
        <f t="shared" si="257"/>
        <v>0</v>
      </c>
      <c r="T1142">
        <f t="shared" si="258"/>
        <v>7.5</v>
      </c>
      <c r="U1142">
        <f t="shared" si="256"/>
        <v>1</v>
      </c>
      <c r="V1142">
        <f t="shared" si="259"/>
        <v>0</v>
      </c>
      <c r="W1142">
        <f t="shared" si="260"/>
        <v>1</v>
      </c>
      <c r="X1142">
        <f t="shared" si="269"/>
        <v>0</v>
      </c>
      <c r="Y1142">
        <f t="shared" si="270"/>
        <v>1</v>
      </c>
      <c r="Z1142">
        <f t="shared" si="261"/>
        <v>0</v>
      </c>
      <c r="AA1142">
        <f t="shared" si="262"/>
        <v>0</v>
      </c>
      <c r="AB1142">
        <f t="shared" si="263"/>
        <v>0</v>
      </c>
      <c r="AC1142">
        <f t="shared" si="264"/>
        <v>5</v>
      </c>
      <c r="AD1142" s="1">
        <f t="shared" si="265"/>
        <v>6.666666666666667</v>
      </c>
      <c r="AE1142">
        <f t="shared" si="266"/>
        <v>10</v>
      </c>
      <c r="AF1142">
        <f t="shared" si="267"/>
        <v>10</v>
      </c>
      <c r="AG1142">
        <f t="shared" si="268"/>
        <v>10</v>
      </c>
    </row>
    <row r="1143" spans="1:33" x14ac:dyDescent="0.25">
      <c r="A1143" t="s">
        <v>1938</v>
      </c>
      <c r="B1143" t="s">
        <v>1939</v>
      </c>
      <c r="C1143">
        <v>168668</v>
      </c>
      <c r="D1143">
        <v>168668</v>
      </c>
      <c r="E1143">
        <v>20</v>
      </c>
      <c r="F1143">
        <v>30</v>
      </c>
      <c r="G1143">
        <v>30</v>
      </c>
      <c r="O1143">
        <v>80</v>
      </c>
      <c r="S1143">
        <f t="shared" si="257"/>
        <v>5</v>
      </c>
      <c r="T1143">
        <f t="shared" si="258"/>
        <v>0</v>
      </c>
      <c r="U1143">
        <f t="shared" si="256"/>
        <v>1</v>
      </c>
      <c r="V1143">
        <f t="shared" si="259"/>
        <v>1</v>
      </c>
      <c r="W1143">
        <f t="shared" si="260"/>
        <v>0</v>
      </c>
      <c r="X1143">
        <f t="shared" si="269"/>
        <v>0</v>
      </c>
      <c r="Y1143">
        <f t="shared" si="270"/>
        <v>0</v>
      </c>
      <c r="Z1143">
        <f t="shared" si="261"/>
        <v>4</v>
      </c>
      <c r="AA1143">
        <f t="shared" si="262"/>
        <v>7.5</v>
      </c>
      <c r="AB1143">
        <f t="shared" si="263"/>
        <v>4.2857142857142856</v>
      </c>
      <c r="AC1143">
        <f t="shared" si="264"/>
        <v>0</v>
      </c>
      <c r="AD1143" s="1">
        <f t="shared" si="265"/>
        <v>0</v>
      </c>
      <c r="AE1143">
        <f t="shared" si="266"/>
        <v>0</v>
      </c>
      <c r="AF1143">
        <f t="shared" si="267"/>
        <v>0</v>
      </c>
      <c r="AG1143">
        <f t="shared" si="268"/>
        <v>0</v>
      </c>
    </row>
    <row r="1144" spans="1:33" x14ac:dyDescent="0.25">
      <c r="A1144" t="s">
        <v>1940</v>
      </c>
      <c r="B1144" t="s">
        <v>1941</v>
      </c>
      <c r="C1144">
        <v>167804</v>
      </c>
      <c r="D1144">
        <v>167804</v>
      </c>
      <c r="H1144">
        <v>0</v>
      </c>
      <c r="I1144">
        <v>20</v>
      </c>
      <c r="J1144">
        <v>10</v>
      </c>
      <c r="K1144">
        <v>0</v>
      </c>
      <c r="L1144">
        <v>0</v>
      </c>
      <c r="M1144">
        <v>30</v>
      </c>
      <c r="S1144">
        <f t="shared" si="257"/>
        <v>0</v>
      </c>
      <c r="T1144">
        <f t="shared" si="258"/>
        <v>2.5</v>
      </c>
      <c r="U1144">
        <f t="shared" si="256"/>
        <v>1</v>
      </c>
      <c r="V1144">
        <f t="shared" si="259"/>
        <v>0</v>
      </c>
      <c r="W1144">
        <f t="shared" si="260"/>
        <v>1</v>
      </c>
      <c r="X1144">
        <f t="shared" si="269"/>
        <v>0</v>
      </c>
      <c r="Y1144">
        <f t="shared" si="270"/>
        <v>0</v>
      </c>
      <c r="Z1144">
        <f t="shared" si="261"/>
        <v>0</v>
      </c>
      <c r="AA1144">
        <f t="shared" si="262"/>
        <v>0</v>
      </c>
      <c r="AB1144">
        <f t="shared" si="263"/>
        <v>0</v>
      </c>
      <c r="AC1144">
        <f t="shared" si="264"/>
        <v>0</v>
      </c>
      <c r="AD1144" s="1">
        <f t="shared" si="265"/>
        <v>3.3333333333333335</v>
      </c>
      <c r="AE1144">
        <f t="shared" si="266"/>
        <v>5</v>
      </c>
      <c r="AF1144">
        <f t="shared" si="267"/>
        <v>0</v>
      </c>
      <c r="AG1144">
        <f t="shared" si="268"/>
        <v>0</v>
      </c>
    </row>
    <row r="1145" spans="1:33" x14ac:dyDescent="0.25">
      <c r="A1145" t="s">
        <v>1942</v>
      </c>
      <c r="B1145" t="s">
        <v>57</v>
      </c>
      <c r="C1145">
        <v>168593</v>
      </c>
      <c r="D1145">
        <v>168593</v>
      </c>
      <c r="H1145">
        <v>10</v>
      </c>
      <c r="I1145">
        <v>20</v>
      </c>
      <c r="J1145">
        <v>10</v>
      </c>
      <c r="K1145">
        <v>10</v>
      </c>
      <c r="L1145">
        <v>10</v>
      </c>
      <c r="M1145">
        <v>60</v>
      </c>
      <c r="S1145">
        <f t="shared" si="257"/>
        <v>0</v>
      </c>
      <c r="T1145">
        <f t="shared" si="258"/>
        <v>5</v>
      </c>
      <c r="U1145">
        <f t="shared" si="256"/>
        <v>1</v>
      </c>
      <c r="V1145">
        <f t="shared" si="259"/>
        <v>0</v>
      </c>
      <c r="W1145">
        <f t="shared" si="260"/>
        <v>1</v>
      </c>
      <c r="X1145">
        <f t="shared" si="269"/>
        <v>0</v>
      </c>
      <c r="Y1145">
        <f t="shared" si="270"/>
        <v>0</v>
      </c>
      <c r="Z1145">
        <f t="shared" si="261"/>
        <v>0</v>
      </c>
      <c r="AA1145">
        <f t="shared" si="262"/>
        <v>0</v>
      </c>
      <c r="AB1145">
        <f t="shared" si="263"/>
        <v>0</v>
      </c>
      <c r="AC1145">
        <f t="shared" si="264"/>
        <v>5</v>
      </c>
      <c r="AD1145" s="1">
        <f t="shared" si="265"/>
        <v>3.3333333333333335</v>
      </c>
      <c r="AE1145">
        <f t="shared" si="266"/>
        <v>5</v>
      </c>
      <c r="AF1145">
        <f t="shared" si="267"/>
        <v>10</v>
      </c>
      <c r="AG1145">
        <f t="shared" si="268"/>
        <v>10</v>
      </c>
    </row>
    <row r="1146" spans="1:33" x14ac:dyDescent="0.25">
      <c r="A1146" t="s">
        <v>1943</v>
      </c>
      <c r="B1146" t="s">
        <v>286</v>
      </c>
      <c r="C1146">
        <v>168840</v>
      </c>
      <c r="D1146">
        <v>168840</v>
      </c>
      <c r="E1146">
        <v>30</v>
      </c>
      <c r="F1146">
        <v>0</v>
      </c>
      <c r="G1146">
        <v>10</v>
      </c>
      <c r="O1146">
        <v>40</v>
      </c>
      <c r="S1146">
        <f t="shared" si="257"/>
        <v>2.5</v>
      </c>
      <c r="T1146">
        <f t="shared" si="258"/>
        <v>0</v>
      </c>
      <c r="U1146">
        <f t="shared" si="256"/>
        <v>1</v>
      </c>
      <c r="V1146">
        <f t="shared" si="259"/>
        <v>1</v>
      </c>
      <c r="W1146">
        <f t="shared" si="260"/>
        <v>0</v>
      </c>
      <c r="X1146">
        <f t="shared" si="269"/>
        <v>0</v>
      </c>
      <c r="Y1146">
        <f t="shared" si="270"/>
        <v>0</v>
      </c>
      <c r="Z1146">
        <f t="shared" si="261"/>
        <v>6</v>
      </c>
      <c r="AA1146">
        <f t="shared" si="262"/>
        <v>0</v>
      </c>
      <c r="AB1146">
        <f t="shared" si="263"/>
        <v>1.4285714285714286</v>
      </c>
      <c r="AC1146">
        <f t="shared" si="264"/>
        <v>0</v>
      </c>
      <c r="AD1146" s="1">
        <f t="shared" si="265"/>
        <v>0</v>
      </c>
      <c r="AE1146">
        <f t="shared" si="266"/>
        <v>0</v>
      </c>
      <c r="AF1146">
        <f t="shared" si="267"/>
        <v>0</v>
      </c>
      <c r="AG1146">
        <f t="shared" si="268"/>
        <v>0</v>
      </c>
    </row>
    <row r="1147" spans="1:33" x14ac:dyDescent="0.25">
      <c r="A1147" t="s">
        <v>1944</v>
      </c>
      <c r="B1147" t="s">
        <v>510</v>
      </c>
      <c r="C1147">
        <v>167316</v>
      </c>
      <c r="D1147">
        <v>167316</v>
      </c>
      <c r="S1147">
        <f t="shared" si="257"/>
        <v>0</v>
      </c>
      <c r="T1147">
        <f t="shared" si="258"/>
        <v>0</v>
      </c>
      <c r="U1147">
        <f t="shared" si="256"/>
        <v>0</v>
      </c>
      <c r="V1147">
        <f t="shared" si="259"/>
        <v>0</v>
      </c>
      <c r="W1147">
        <f t="shared" si="260"/>
        <v>0</v>
      </c>
      <c r="X1147">
        <f t="shared" si="269"/>
        <v>0</v>
      </c>
      <c r="Y1147">
        <f t="shared" si="270"/>
        <v>0</v>
      </c>
      <c r="Z1147">
        <f t="shared" si="261"/>
        <v>0</v>
      </c>
      <c r="AA1147">
        <f t="shared" si="262"/>
        <v>0</v>
      </c>
      <c r="AB1147">
        <f t="shared" si="263"/>
        <v>0</v>
      </c>
      <c r="AC1147">
        <f t="shared" si="264"/>
        <v>0</v>
      </c>
      <c r="AD1147" s="1">
        <f t="shared" si="265"/>
        <v>0</v>
      </c>
      <c r="AE1147">
        <f t="shared" si="266"/>
        <v>0</v>
      </c>
      <c r="AF1147">
        <f t="shared" si="267"/>
        <v>0</v>
      </c>
      <c r="AG1147">
        <f t="shared" si="268"/>
        <v>0</v>
      </c>
    </row>
    <row r="1148" spans="1:33" x14ac:dyDescent="0.25">
      <c r="A1148" t="s">
        <v>1945</v>
      </c>
      <c r="B1148" t="s">
        <v>729</v>
      </c>
      <c r="C1148">
        <v>168333</v>
      </c>
      <c r="D1148">
        <v>168333</v>
      </c>
      <c r="E1148">
        <v>20</v>
      </c>
      <c r="F1148">
        <v>10</v>
      </c>
      <c r="G1148">
        <v>10</v>
      </c>
      <c r="O1148">
        <v>40</v>
      </c>
      <c r="S1148">
        <f t="shared" si="257"/>
        <v>2.5</v>
      </c>
      <c r="T1148">
        <f t="shared" si="258"/>
        <v>0</v>
      </c>
      <c r="U1148">
        <f t="shared" si="256"/>
        <v>1</v>
      </c>
      <c r="V1148">
        <f t="shared" si="259"/>
        <v>1</v>
      </c>
      <c r="W1148">
        <f t="shared" si="260"/>
        <v>0</v>
      </c>
      <c r="X1148">
        <f t="shared" si="269"/>
        <v>0</v>
      </c>
      <c r="Y1148">
        <f t="shared" si="270"/>
        <v>0</v>
      </c>
      <c r="Z1148">
        <f t="shared" si="261"/>
        <v>4</v>
      </c>
      <c r="AA1148">
        <f t="shared" si="262"/>
        <v>2.5</v>
      </c>
      <c r="AB1148">
        <f t="shared" si="263"/>
        <v>1.4285714285714286</v>
      </c>
      <c r="AC1148">
        <f t="shared" si="264"/>
        <v>0</v>
      </c>
      <c r="AD1148" s="1">
        <f t="shared" si="265"/>
        <v>0</v>
      </c>
      <c r="AE1148">
        <f t="shared" si="266"/>
        <v>0</v>
      </c>
      <c r="AF1148">
        <f t="shared" si="267"/>
        <v>0</v>
      </c>
      <c r="AG1148">
        <f t="shared" si="268"/>
        <v>0</v>
      </c>
    </row>
    <row r="1149" spans="1:33" x14ac:dyDescent="0.25">
      <c r="A1149" t="s">
        <v>1946</v>
      </c>
      <c r="B1149" t="s">
        <v>1947</v>
      </c>
      <c r="C1149">
        <v>168144</v>
      </c>
      <c r="D1149">
        <v>168144</v>
      </c>
      <c r="S1149">
        <f t="shared" si="257"/>
        <v>0</v>
      </c>
      <c r="T1149">
        <f t="shared" si="258"/>
        <v>0</v>
      </c>
      <c r="U1149">
        <f t="shared" si="256"/>
        <v>0</v>
      </c>
      <c r="V1149">
        <f t="shared" si="259"/>
        <v>0</v>
      </c>
      <c r="W1149">
        <f t="shared" si="260"/>
        <v>0</v>
      </c>
      <c r="X1149">
        <f t="shared" si="269"/>
        <v>0</v>
      </c>
      <c r="Y1149">
        <f t="shared" si="270"/>
        <v>0</v>
      </c>
      <c r="Z1149">
        <f t="shared" si="261"/>
        <v>0</v>
      </c>
      <c r="AA1149">
        <f t="shared" si="262"/>
        <v>0</v>
      </c>
      <c r="AB1149">
        <f t="shared" si="263"/>
        <v>0</v>
      </c>
      <c r="AC1149">
        <f t="shared" si="264"/>
        <v>0</v>
      </c>
      <c r="AD1149" s="1">
        <f t="shared" si="265"/>
        <v>0</v>
      </c>
      <c r="AE1149">
        <f t="shared" si="266"/>
        <v>0</v>
      </c>
      <c r="AF1149">
        <f t="shared" si="267"/>
        <v>0</v>
      </c>
      <c r="AG1149">
        <f t="shared" si="268"/>
        <v>0</v>
      </c>
    </row>
    <row r="1150" spans="1:33" x14ac:dyDescent="0.25">
      <c r="A1150" t="s">
        <v>1948</v>
      </c>
      <c r="B1150" t="s">
        <v>1949</v>
      </c>
      <c r="C1150">
        <v>157720</v>
      </c>
      <c r="D1150">
        <v>157720</v>
      </c>
      <c r="S1150">
        <f t="shared" si="257"/>
        <v>0</v>
      </c>
      <c r="T1150">
        <f t="shared" si="258"/>
        <v>0</v>
      </c>
      <c r="U1150">
        <f t="shared" si="256"/>
        <v>0</v>
      </c>
      <c r="V1150">
        <f t="shared" si="259"/>
        <v>0</v>
      </c>
      <c r="W1150">
        <f t="shared" si="260"/>
        <v>0</v>
      </c>
      <c r="X1150">
        <f t="shared" si="269"/>
        <v>0</v>
      </c>
      <c r="Y1150">
        <f t="shared" si="270"/>
        <v>0</v>
      </c>
      <c r="Z1150">
        <f t="shared" si="261"/>
        <v>0</v>
      </c>
      <c r="AA1150">
        <f t="shared" si="262"/>
        <v>0</v>
      </c>
      <c r="AB1150">
        <f t="shared" si="263"/>
        <v>0</v>
      </c>
      <c r="AC1150">
        <f t="shared" si="264"/>
        <v>0</v>
      </c>
      <c r="AD1150" s="1">
        <f t="shared" si="265"/>
        <v>0</v>
      </c>
      <c r="AE1150">
        <f t="shared" si="266"/>
        <v>0</v>
      </c>
      <c r="AF1150">
        <f t="shared" si="267"/>
        <v>0</v>
      </c>
      <c r="AG1150">
        <f t="shared" si="268"/>
        <v>0</v>
      </c>
    </row>
    <row r="1151" spans="1:33" x14ac:dyDescent="0.25">
      <c r="A1151" t="s">
        <v>1950</v>
      </c>
      <c r="B1151" t="s">
        <v>924</v>
      </c>
      <c r="C1151">
        <v>166588</v>
      </c>
      <c r="D1151">
        <v>166588</v>
      </c>
      <c r="H1151">
        <v>0</v>
      </c>
      <c r="I1151">
        <v>0</v>
      </c>
      <c r="J1151">
        <v>0</v>
      </c>
      <c r="K1151">
        <v>10</v>
      </c>
      <c r="L1151">
        <v>0</v>
      </c>
      <c r="M1151">
        <v>10</v>
      </c>
      <c r="S1151">
        <f t="shared" si="257"/>
        <v>0</v>
      </c>
      <c r="T1151">
        <f t="shared" si="258"/>
        <v>0.83333333333333337</v>
      </c>
      <c r="U1151">
        <f t="shared" si="256"/>
        <v>1</v>
      </c>
      <c r="V1151">
        <f t="shared" si="259"/>
        <v>0</v>
      </c>
      <c r="W1151">
        <f t="shared" si="260"/>
        <v>1</v>
      </c>
      <c r="X1151">
        <f t="shared" si="269"/>
        <v>0</v>
      </c>
      <c r="Y1151">
        <f t="shared" si="270"/>
        <v>0</v>
      </c>
      <c r="Z1151">
        <f t="shared" si="261"/>
        <v>0</v>
      </c>
      <c r="AA1151">
        <f t="shared" si="262"/>
        <v>0</v>
      </c>
      <c r="AB1151">
        <f t="shared" si="263"/>
        <v>0</v>
      </c>
      <c r="AC1151">
        <f t="shared" si="264"/>
        <v>0</v>
      </c>
      <c r="AD1151" s="1">
        <f t="shared" si="265"/>
        <v>0</v>
      </c>
      <c r="AE1151">
        <f t="shared" si="266"/>
        <v>0</v>
      </c>
      <c r="AF1151">
        <f t="shared" si="267"/>
        <v>10</v>
      </c>
      <c r="AG1151">
        <f t="shared" si="268"/>
        <v>0</v>
      </c>
    </row>
    <row r="1152" spans="1:33" x14ac:dyDescent="0.25">
      <c r="A1152" t="s">
        <v>1951</v>
      </c>
      <c r="B1152" t="s">
        <v>1507</v>
      </c>
      <c r="C1152">
        <v>159904</v>
      </c>
      <c r="D1152">
        <v>159904</v>
      </c>
      <c r="S1152">
        <f t="shared" si="257"/>
        <v>0</v>
      </c>
      <c r="T1152">
        <f t="shared" si="258"/>
        <v>0</v>
      </c>
      <c r="U1152">
        <f t="shared" si="256"/>
        <v>0</v>
      </c>
      <c r="V1152">
        <f t="shared" si="259"/>
        <v>0</v>
      </c>
      <c r="W1152">
        <f t="shared" si="260"/>
        <v>0</v>
      </c>
      <c r="X1152">
        <f t="shared" si="269"/>
        <v>0</v>
      </c>
      <c r="Y1152">
        <f t="shared" si="270"/>
        <v>0</v>
      </c>
      <c r="Z1152">
        <f t="shared" si="261"/>
        <v>0</v>
      </c>
      <c r="AA1152">
        <f t="shared" si="262"/>
        <v>0</v>
      </c>
      <c r="AB1152">
        <f t="shared" si="263"/>
        <v>0</v>
      </c>
      <c r="AC1152">
        <f t="shared" si="264"/>
        <v>0</v>
      </c>
      <c r="AD1152" s="1">
        <f t="shared" si="265"/>
        <v>0</v>
      </c>
      <c r="AE1152">
        <f t="shared" si="266"/>
        <v>0</v>
      </c>
      <c r="AF1152">
        <f t="shared" si="267"/>
        <v>0</v>
      </c>
      <c r="AG1152">
        <f t="shared" si="268"/>
        <v>0</v>
      </c>
    </row>
    <row r="1153" spans="1:33" x14ac:dyDescent="0.25">
      <c r="A1153" t="s">
        <v>1952</v>
      </c>
      <c r="B1153" t="s">
        <v>1953</v>
      </c>
      <c r="C1153">
        <v>166496</v>
      </c>
      <c r="D1153">
        <v>166496</v>
      </c>
      <c r="H1153">
        <v>10</v>
      </c>
      <c r="I1153">
        <v>20</v>
      </c>
      <c r="J1153">
        <v>20</v>
      </c>
      <c r="K1153">
        <v>0</v>
      </c>
      <c r="L1153">
        <v>0</v>
      </c>
      <c r="M1153">
        <v>50</v>
      </c>
      <c r="S1153">
        <f t="shared" si="257"/>
        <v>0</v>
      </c>
      <c r="T1153">
        <f t="shared" si="258"/>
        <v>4.166666666666667</v>
      </c>
      <c r="U1153">
        <f t="shared" si="256"/>
        <v>1</v>
      </c>
      <c r="V1153">
        <f t="shared" si="259"/>
        <v>0</v>
      </c>
      <c r="W1153">
        <f t="shared" si="260"/>
        <v>1</v>
      </c>
      <c r="X1153">
        <f t="shared" si="269"/>
        <v>0</v>
      </c>
      <c r="Y1153">
        <f t="shared" si="270"/>
        <v>0</v>
      </c>
      <c r="Z1153">
        <f t="shared" si="261"/>
        <v>0</v>
      </c>
      <c r="AA1153">
        <f t="shared" si="262"/>
        <v>0</v>
      </c>
      <c r="AB1153">
        <f t="shared" si="263"/>
        <v>0</v>
      </c>
      <c r="AC1153">
        <f t="shared" si="264"/>
        <v>5</v>
      </c>
      <c r="AD1153" s="1">
        <f t="shared" si="265"/>
        <v>3.3333333333333335</v>
      </c>
      <c r="AE1153">
        <f t="shared" si="266"/>
        <v>10</v>
      </c>
      <c r="AF1153">
        <f t="shared" si="267"/>
        <v>0</v>
      </c>
      <c r="AG1153">
        <f t="shared" si="268"/>
        <v>0</v>
      </c>
    </row>
    <row r="1154" spans="1:33" x14ac:dyDescent="0.25">
      <c r="A1154" t="s">
        <v>1954</v>
      </c>
      <c r="B1154" t="s">
        <v>176</v>
      </c>
      <c r="C1154">
        <v>165420</v>
      </c>
      <c r="D1154">
        <v>165420</v>
      </c>
      <c r="S1154">
        <f t="shared" si="257"/>
        <v>0</v>
      </c>
      <c r="T1154">
        <f t="shared" si="258"/>
        <v>0</v>
      </c>
      <c r="U1154">
        <f t="shared" ref="U1154:U1217" si="271">IF(AND(E1154="",F1154="",G1154="",H1154="",I1154="",J1154="",K1154="",L1154="",M1154=""),0,1)</f>
        <v>0</v>
      </c>
      <c r="V1154">
        <f t="shared" si="259"/>
        <v>0</v>
      </c>
      <c r="W1154">
        <f t="shared" si="260"/>
        <v>0</v>
      </c>
      <c r="X1154">
        <f t="shared" si="269"/>
        <v>0</v>
      </c>
      <c r="Y1154">
        <f t="shared" si="270"/>
        <v>0</v>
      </c>
      <c r="Z1154">
        <f t="shared" si="261"/>
        <v>0</v>
      </c>
      <c r="AA1154">
        <f t="shared" si="262"/>
        <v>0</v>
      </c>
      <c r="AB1154">
        <f t="shared" si="263"/>
        <v>0</v>
      </c>
      <c r="AC1154">
        <f t="shared" si="264"/>
        <v>0</v>
      </c>
      <c r="AD1154" s="1">
        <f t="shared" si="265"/>
        <v>0</v>
      </c>
      <c r="AE1154">
        <f t="shared" si="266"/>
        <v>0</v>
      </c>
      <c r="AF1154">
        <f t="shared" si="267"/>
        <v>0</v>
      </c>
      <c r="AG1154">
        <f t="shared" si="268"/>
        <v>0</v>
      </c>
    </row>
    <row r="1155" spans="1:33" x14ac:dyDescent="0.25">
      <c r="A1155" t="s">
        <v>1955</v>
      </c>
      <c r="B1155" t="s">
        <v>126</v>
      </c>
      <c r="C1155">
        <v>162241</v>
      </c>
      <c r="D1155">
        <v>162241</v>
      </c>
      <c r="S1155">
        <f t="shared" ref="S1155:S1218" si="272">O1155/16</f>
        <v>0</v>
      </c>
      <c r="T1155">
        <f t="shared" ref="T1155:T1218" si="273">M1155/12</f>
        <v>0</v>
      </c>
      <c r="U1155">
        <f t="shared" si="271"/>
        <v>0</v>
      </c>
      <c r="V1155">
        <f t="shared" ref="V1155:V1218" si="274">IF(O1155="",0,1)</f>
        <v>0</v>
      </c>
      <c r="W1155">
        <f t="shared" ref="W1155:W1218" si="275">IF(M1155="",0,1)</f>
        <v>0</v>
      </c>
      <c r="X1155">
        <f t="shared" si="269"/>
        <v>0</v>
      </c>
      <c r="Y1155">
        <f t="shared" si="270"/>
        <v>0</v>
      </c>
      <c r="Z1155">
        <f t="shared" ref="Z1155:Z1218" si="276">E1155/5</f>
        <v>0</v>
      </c>
      <c r="AA1155">
        <f t="shared" ref="AA1155:AA1218" si="277">F1155/4</f>
        <v>0</v>
      </c>
      <c r="AB1155">
        <f t="shared" ref="AB1155:AB1218" si="278">G1155/7</f>
        <v>0</v>
      </c>
      <c r="AC1155">
        <f t="shared" ref="AC1155:AC1218" si="279">H1155/2</f>
        <v>0</v>
      </c>
      <c r="AD1155" s="1">
        <f t="shared" ref="AD1155:AD1218" si="280">I1155/6</f>
        <v>0</v>
      </c>
      <c r="AE1155">
        <f t="shared" ref="AE1155:AE1218" si="281">J1155/2</f>
        <v>0</v>
      </c>
      <c r="AF1155">
        <f t="shared" ref="AF1155:AF1218" si="282">K1155</f>
        <v>0</v>
      </c>
      <c r="AG1155">
        <f t="shared" ref="AG1155:AG1218" si="283">L1155</f>
        <v>0</v>
      </c>
    </row>
    <row r="1156" spans="1:33" x14ac:dyDescent="0.25">
      <c r="A1156" t="s">
        <v>1956</v>
      </c>
      <c r="B1156" t="s">
        <v>1957</v>
      </c>
      <c r="C1156">
        <v>167296</v>
      </c>
      <c r="D1156">
        <v>167296</v>
      </c>
      <c r="H1156">
        <v>20</v>
      </c>
      <c r="I1156">
        <v>50</v>
      </c>
      <c r="J1156">
        <v>10</v>
      </c>
      <c r="K1156">
        <v>10</v>
      </c>
      <c r="L1156">
        <v>0</v>
      </c>
      <c r="M1156">
        <v>90</v>
      </c>
      <c r="S1156">
        <f t="shared" si="272"/>
        <v>0</v>
      </c>
      <c r="T1156">
        <f t="shared" si="273"/>
        <v>7.5</v>
      </c>
      <c r="U1156">
        <f t="shared" si="271"/>
        <v>1</v>
      </c>
      <c r="V1156">
        <f t="shared" si="274"/>
        <v>0</v>
      </c>
      <c r="W1156">
        <f t="shared" si="275"/>
        <v>1</v>
      </c>
      <c r="X1156">
        <f t="shared" si="269"/>
        <v>0</v>
      </c>
      <c r="Y1156">
        <f t="shared" si="270"/>
        <v>1</v>
      </c>
      <c r="Z1156">
        <f t="shared" si="276"/>
        <v>0</v>
      </c>
      <c r="AA1156">
        <f t="shared" si="277"/>
        <v>0</v>
      </c>
      <c r="AB1156">
        <f t="shared" si="278"/>
        <v>0</v>
      </c>
      <c r="AC1156">
        <f t="shared" si="279"/>
        <v>10</v>
      </c>
      <c r="AD1156" s="1">
        <f t="shared" si="280"/>
        <v>8.3333333333333339</v>
      </c>
      <c r="AE1156">
        <f t="shared" si="281"/>
        <v>5</v>
      </c>
      <c r="AF1156">
        <f t="shared" si="282"/>
        <v>10</v>
      </c>
      <c r="AG1156">
        <f t="shared" si="283"/>
        <v>0</v>
      </c>
    </row>
    <row r="1157" spans="1:33" x14ac:dyDescent="0.25">
      <c r="A1157" t="s">
        <v>1958</v>
      </c>
      <c r="B1157" t="s">
        <v>870</v>
      </c>
      <c r="C1157">
        <v>165696</v>
      </c>
      <c r="D1157">
        <v>165696</v>
      </c>
      <c r="H1157">
        <v>10</v>
      </c>
      <c r="I1157">
        <v>30</v>
      </c>
      <c r="J1157">
        <v>20</v>
      </c>
      <c r="K1157">
        <v>0</v>
      </c>
      <c r="L1157">
        <v>10</v>
      </c>
      <c r="M1157">
        <v>70</v>
      </c>
      <c r="S1157">
        <f t="shared" si="272"/>
        <v>0</v>
      </c>
      <c r="T1157">
        <f t="shared" si="273"/>
        <v>5.833333333333333</v>
      </c>
      <c r="U1157">
        <f t="shared" si="271"/>
        <v>1</v>
      </c>
      <c r="V1157">
        <f t="shared" si="274"/>
        <v>0</v>
      </c>
      <c r="W1157">
        <f t="shared" si="275"/>
        <v>1</v>
      </c>
      <c r="X1157">
        <f t="shared" ref="X1157:X1220" si="284">IF(AND(V1157=1,S1157&gt;6),1,0)</f>
        <v>0</v>
      </c>
      <c r="Y1157">
        <f t="shared" ref="Y1157:Y1220" si="285">IF(AND(W1157=1,T1157&gt;6),1,0)</f>
        <v>0</v>
      </c>
      <c r="Z1157">
        <f t="shared" si="276"/>
        <v>0</v>
      </c>
      <c r="AA1157">
        <f t="shared" si="277"/>
        <v>0</v>
      </c>
      <c r="AB1157">
        <f t="shared" si="278"/>
        <v>0</v>
      </c>
      <c r="AC1157">
        <f t="shared" si="279"/>
        <v>5</v>
      </c>
      <c r="AD1157" s="1">
        <f t="shared" si="280"/>
        <v>5</v>
      </c>
      <c r="AE1157">
        <f t="shared" si="281"/>
        <v>10</v>
      </c>
      <c r="AF1157">
        <f t="shared" si="282"/>
        <v>0</v>
      </c>
      <c r="AG1157">
        <f t="shared" si="283"/>
        <v>10</v>
      </c>
    </row>
    <row r="1158" spans="1:33" x14ac:dyDescent="0.25">
      <c r="A1158" t="s">
        <v>1959</v>
      </c>
      <c r="B1158" t="s">
        <v>1960</v>
      </c>
      <c r="C1158">
        <v>166449</v>
      </c>
      <c r="D1158">
        <v>166449</v>
      </c>
      <c r="S1158">
        <f t="shared" si="272"/>
        <v>0</v>
      </c>
      <c r="T1158">
        <f t="shared" si="273"/>
        <v>0</v>
      </c>
      <c r="U1158">
        <f t="shared" si="271"/>
        <v>0</v>
      </c>
      <c r="V1158">
        <f t="shared" si="274"/>
        <v>0</v>
      </c>
      <c r="W1158">
        <f t="shared" si="275"/>
        <v>0</v>
      </c>
      <c r="X1158">
        <f t="shared" si="284"/>
        <v>0</v>
      </c>
      <c r="Y1158">
        <f t="shared" si="285"/>
        <v>0</v>
      </c>
      <c r="Z1158">
        <f t="shared" si="276"/>
        <v>0</v>
      </c>
      <c r="AA1158">
        <f t="shared" si="277"/>
        <v>0</v>
      </c>
      <c r="AB1158">
        <f t="shared" si="278"/>
        <v>0</v>
      </c>
      <c r="AC1158">
        <f t="shared" si="279"/>
        <v>0</v>
      </c>
      <c r="AD1158" s="1">
        <f t="shared" si="280"/>
        <v>0</v>
      </c>
      <c r="AE1158">
        <f t="shared" si="281"/>
        <v>0</v>
      </c>
      <c r="AF1158">
        <f t="shared" si="282"/>
        <v>0</v>
      </c>
      <c r="AG1158">
        <f t="shared" si="283"/>
        <v>0</v>
      </c>
    </row>
    <row r="1159" spans="1:33" x14ac:dyDescent="0.25">
      <c r="A1159" t="s">
        <v>1961</v>
      </c>
      <c r="B1159" t="s">
        <v>270</v>
      </c>
      <c r="C1159">
        <v>166508</v>
      </c>
      <c r="D1159">
        <v>166508</v>
      </c>
      <c r="E1159">
        <v>30</v>
      </c>
      <c r="F1159">
        <v>10</v>
      </c>
      <c r="G1159">
        <v>40</v>
      </c>
      <c r="O1159">
        <v>80</v>
      </c>
      <c r="S1159">
        <f t="shared" si="272"/>
        <v>5</v>
      </c>
      <c r="T1159">
        <f t="shared" si="273"/>
        <v>0</v>
      </c>
      <c r="U1159">
        <f t="shared" si="271"/>
        <v>1</v>
      </c>
      <c r="V1159">
        <f t="shared" si="274"/>
        <v>1</v>
      </c>
      <c r="W1159">
        <f t="shared" si="275"/>
        <v>0</v>
      </c>
      <c r="X1159">
        <f t="shared" si="284"/>
        <v>0</v>
      </c>
      <c r="Y1159">
        <f t="shared" si="285"/>
        <v>0</v>
      </c>
      <c r="Z1159">
        <f t="shared" si="276"/>
        <v>6</v>
      </c>
      <c r="AA1159">
        <f t="shared" si="277"/>
        <v>2.5</v>
      </c>
      <c r="AB1159">
        <f t="shared" si="278"/>
        <v>5.7142857142857144</v>
      </c>
      <c r="AC1159">
        <f t="shared" si="279"/>
        <v>0</v>
      </c>
      <c r="AD1159" s="1">
        <f t="shared" si="280"/>
        <v>0</v>
      </c>
      <c r="AE1159">
        <f t="shared" si="281"/>
        <v>0</v>
      </c>
      <c r="AF1159">
        <f t="shared" si="282"/>
        <v>0</v>
      </c>
      <c r="AG1159">
        <f t="shared" si="283"/>
        <v>0</v>
      </c>
    </row>
    <row r="1160" spans="1:33" x14ac:dyDescent="0.25">
      <c r="A1160" t="s">
        <v>1962</v>
      </c>
      <c r="B1160" t="s">
        <v>1963</v>
      </c>
      <c r="C1160">
        <v>160530</v>
      </c>
      <c r="D1160">
        <v>160530</v>
      </c>
      <c r="R1160">
        <v>10</v>
      </c>
      <c r="S1160">
        <f t="shared" si="272"/>
        <v>0</v>
      </c>
      <c r="T1160">
        <f t="shared" si="273"/>
        <v>0</v>
      </c>
      <c r="U1160">
        <f t="shared" si="271"/>
        <v>0</v>
      </c>
      <c r="V1160">
        <f t="shared" si="274"/>
        <v>0</v>
      </c>
      <c r="W1160">
        <f t="shared" si="275"/>
        <v>0</v>
      </c>
      <c r="X1160">
        <f t="shared" si="284"/>
        <v>0</v>
      </c>
      <c r="Y1160">
        <f t="shared" si="285"/>
        <v>0</v>
      </c>
      <c r="Z1160">
        <f t="shared" si="276"/>
        <v>0</v>
      </c>
      <c r="AA1160">
        <f t="shared" si="277"/>
        <v>0</v>
      </c>
      <c r="AB1160">
        <f t="shared" si="278"/>
        <v>0</v>
      </c>
      <c r="AC1160">
        <f t="shared" si="279"/>
        <v>0</v>
      </c>
      <c r="AD1160" s="1">
        <f t="shared" si="280"/>
        <v>0</v>
      </c>
      <c r="AE1160">
        <f t="shared" si="281"/>
        <v>0</v>
      </c>
      <c r="AF1160">
        <f t="shared" si="282"/>
        <v>0</v>
      </c>
      <c r="AG1160">
        <f t="shared" si="283"/>
        <v>0</v>
      </c>
    </row>
    <row r="1161" spans="1:33" x14ac:dyDescent="0.25">
      <c r="A1161" t="s">
        <v>1964</v>
      </c>
      <c r="B1161" t="s">
        <v>674</v>
      </c>
      <c r="C1161">
        <v>162403</v>
      </c>
      <c r="D1161">
        <v>162403</v>
      </c>
      <c r="E1161">
        <v>40</v>
      </c>
      <c r="F1161">
        <v>20</v>
      </c>
      <c r="G1161">
        <v>30</v>
      </c>
      <c r="O1161">
        <v>90</v>
      </c>
      <c r="S1161">
        <f t="shared" si="272"/>
        <v>5.625</v>
      </c>
      <c r="T1161">
        <f t="shared" si="273"/>
        <v>0</v>
      </c>
      <c r="U1161">
        <f t="shared" si="271"/>
        <v>1</v>
      </c>
      <c r="V1161">
        <f t="shared" si="274"/>
        <v>1</v>
      </c>
      <c r="W1161">
        <f t="shared" si="275"/>
        <v>0</v>
      </c>
      <c r="X1161">
        <f t="shared" si="284"/>
        <v>0</v>
      </c>
      <c r="Y1161">
        <f t="shared" si="285"/>
        <v>0</v>
      </c>
      <c r="Z1161">
        <f t="shared" si="276"/>
        <v>8</v>
      </c>
      <c r="AA1161">
        <f t="shared" si="277"/>
        <v>5</v>
      </c>
      <c r="AB1161">
        <f t="shared" si="278"/>
        <v>4.2857142857142856</v>
      </c>
      <c r="AC1161">
        <f t="shared" si="279"/>
        <v>0</v>
      </c>
      <c r="AD1161" s="1">
        <f t="shared" si="280"/>
        <v>0</v>
      </c>
      <c r="AE1161">
        <f t="shared" si="281"/>
        <v>0</v>
      </c>
      <c r="AF1161">
        <f t="shared" si="282"/>
        <v>0</v>
      </c>
      <c r="AG1161">
        <f t="shared" si="283"/>
        <v>0</v>
      </c>
    </row>
    <row r="1162" spans="1:33" x14ac:dyDescent="0.25">
      <c r="A1162" t="s">
        <v>1965</v>
      </c>
      <c r="B1162" t="s">
        <v>130</v>
      </c>
      <c r="C1162">
        <v>163615</v>
      </c>
      <c r="D1162">
        <v>163615</v>
      </c>
      <c r="H1162">
        <v>10</v>
      </c>
      <c r="I1162">
        <v>30</v>
      </c>
      <c r="J1162">
        <v>10</v>
      </c>
      <c r="K1162">
        <v>10</v>
      </c>
      <c r="L1162">
        <v>10</v>
      </c>
      <c r="M1162">
        <v>70</v>
      </c>
      <c r="S1162">
        <f t="shared" si="272"/>
        <v>0</v>
      </c>
      <c r="T1162">
        <f t="shared" si="273"/>
        <v>5.833333333333333</v>
      </c>
      <c r="U1162">
        <f t="shared" si="271"/>
        <v>1</v>
      </c>
      <c r="V1162">
        <f t="shared" si="274"/>
        <v>0</v>
      </c>
      <c r="W1162">
        <f t="shared" si="275"/>
        <v>1</v>
      </c>
      <c r="X1162">
        <f t="shared" si="284"/>
        <v>0</v>
      </c>
      <c r="Y1162">
        <f t="shared" si="285"/>
        <v>0</v>
      </c>
      <c r="Z1162">
        <f t="shared" si="276"/>
        <v>0</v>
      </c>
      <c r="AA1162">
        <f t="shared" si="277"/>
        <v>0</v>
      </c>
      <c r="AB1162">
        <f t="shared" si="278"/>
        <v>0</v>
      </c>
      <c r="AC1162">
        <f t="shared" si="279"/>
        <v>5</v>
      </c>
      <c r="AD1162" s="1">
        <f t="shared" si="280"/>
        <v>5</v>
      </c>
      <c r="AE1162">
        <f t="shared" si="281"/>
        <v>5</v>
      </c>
      <c r="AF1162">
        <f t="shared" si="282"/>
        <v>10</v>
      </c>
      <c r="AG1162">
        <f t="shared" si="283"/>
        <v>10</v>
      </c>
    </row>
    <row r="1163" spans="1:33" x14ac:dyDescent="0.25">
      <c r="A1163" t="s">
        <v>1966</v>
      </c>
      <c r="B1163" t="s">
        <v>697</v>
      </c>
      <c r="C1163">
        <v>167232</v>
      </c>
      <c r="D1163">
        <v>167232</v>
      </c>
      <c r="E1163">
        <v>20</v>
      </c>
      <c r="F1163">
        <v>40</v>
      </c>
      <c r="G1163">
        <v>40</v>
      </c>
      <c r="O1163">
        <v>100</v>
      </c>
      <c r="S1163">
        <f t="shared" si="272"/>
        <v>6.25</v>
      </c>
      <c r="T1163">
        <f t="shared" si="273"/>
        <v>0</v>
      </c>
      <c r="U1163">
        <f t="shared" si="271"/>
        <v>1</v>
      </c>
      <c r="V1163">
        <f t="shared" si="274"/>
        <v>1</v>
      </c>
      <c r="W1163">
        <f t="shared" si="275"/>
        <v>0</v>
      </c>
      <c r="X1163">
        <f t="shared" si="284"/>
        <v>1</v>
      </c>
      <c r="Y1163">
        <f t="shared" si="285"/>
        <v>0</v>
      </c>
      <c r="Z1163">
        <f t="shared" si="276"/>
        <v>4</v>
      </c>
      <c r="AA1163">
        <f t="shared" si="277"/>
        <v>10</v>
      </c>
      <c r="AB1163">
        <f t="shared" si="278"/>
        <v>5.7142857142857144</v>
      </c>
      <c r="AC1163">
        <f t="shared" si="279"/>
        <v>0</v>
      </c>
      <c r="AD1163" s="1">
        <f t="shared" si="280"/>
        <v>0</v>
      </c>
      <c r="AE1163">
        <f t="shared" si="281"/>
        <v>0</v>
      </c>
      <c r="AF1163">
        <f t="shared" si="282"/>
        <v>0</v>
      </c>
      <c r="AG1163">
        <f t="shared" si="283"/>
        <v>0</v>
      </c>
    </row>
    <row r="1164" spans="1:33" x14ac:dyDescent="0.25">
      <c r="A1164" t="s">
        <v>1967</v>
      </c>
      <c r="B1164" t="s">
        <v>1968</v>
      </c>
      <c r="C1164">
        <v>168460</v>
      </c>
      <c r="D1164">
        <v>168460</v>
      </c>
      <c r="E1164">
        <v>50</v>
      </c>
      <c r="F1164">
        <v>20</v>
      </c>
      <c r="G1164">
        <v>20</v>
      </c>
      <c r="O1164">
        <v>90</v>
      </c>
      <c r="S1164">
        <f t="shared" si="272"/>
        <v>5.625</v>
      </c>
      <c r="T1164">
        <f t="shared" si="273"/>
        <v>0</v>
      </c>
      <c r="U1164">
        <f t="shared" si="271"/>
        <v>1</v>
      </c>
      <c r="V1164">
        <f t="shared" si="274"/>
        <v>1</v>
      </c>
      <c r="W1164">
        <f t="shared" si="275"/>
        <v>0</v>
      </c>
      <c r="X1164">
        <f t="shared" si="284"/>
        <v>0</v>
      </c>
      <c r="Y1164">
        <f t="shared" si="285"/>
        <v>0</v>
      </c>
      <c r="Z1164">
        <f t="shared" si="276"/>
        <v>10</v>
      </c>
      <c r="AA1164">
        <f t="shared" si="277"/>
        <v>5</v>
      </c>
      <c r="AB1164">
        <f t="shared" si="278"/>
        <v>2.8571428571428572</v>
      </c>
      <c r="AC1164">
        <f t="shared" si="279"/>
        <v>0</v>
      </c>
      <c r="AD1164" s="1">
        <f t="shared" si="280"/>
        <v>0</v>
      </c>
      <c r="AE1164">
        <f t="shared" si="281"/>
        <v>0</v>
      </c>
      <c r="AF1164">
        <f t="shared" si="282"/>
        <v>0</v>
      </c>
      <c r="AG1164">
        <f t="shared" si="283"/>
        <v>0</v>
      </c>
    </row>
    <row r="1165" spans="1:33" x14ac:dyDescent="0.25">
      <c r="A1165" t="s">
        <v>1969</v>
      </c>
      <c r="B1165" t="s">
        <v>1970</v>
      </c>
      <c r="C1165">
        <v>166589</v>
      </c>
      <c r="D1165">
        <v>166589</v>
      </c>
      <c r="H1165">
        <v>0</v>
      </c>
      <c r="I1165">
        <v>30</v>
      </c>
      <c r="J1165">
        <v>0</v>
      </c>
      <c r="K1165">
        <v>10</v>
      </c>
      <c r="L1165">
        <v>10</v>
      </c>
      <c r="M1165">
        <v>50</v>
      </c>
      <c r="R1165">
        <v>10</v>
      </c>
      <c r="S1165">
        <f t="shared" si="272"/>
        <v>0</v>
      </c>
      <c r="T1165">
        <f t="shared" si="273"/>
        <v>4.166666666666667</v>
      </c>
      <c r="U1165">
        <f t="shared" si="271"/>
        <v>1</v>
      </c>
      <c r="V1165">
        <f t="shared" si="274"/>
        <v>0</v>
      </c>
      <c r="W1165">
        <f t="shared" si="275"/>
        <v>1</v>
      </c>
      <c r="X1165">
        <f t="shared" si="284"/>
        <v>0</v>
      </c>
      <c r="Y1165">
        <f t="shared" si="285"/>
        <v>0</v>
      </c>
      <c r="Z1165">
        <f t="shared" si="276"/>
        <v>0</v>
      </c>
      <c r="AA1165">
        <f t="shared" si="277"/>
        <v>0</v>
      </c>
      <c r="AB1165">
        <f t="shared" si="278"/>
        <v>0</v>
      </c>
      <c r="AC1165">
        <f t="shared" si="279"/>
        <v>0</v>
      </c>
      <c r="AD1165" s="1">
        <f t="shared" si="280"/>
        <v>5</v>
      </c>
      <c r="AE1165">
        <f t="shared" si="281"/>
        <v>0</v>
      </c>
      <c r="AF1165">
        <f t="shared" si="282"/>
        <v>10</v>
      </c>
      <c r="AG1165">
        <f t="shared" si="283"/>
        <v>10</v>
      </c>
    </row>
    <row r="1166" spans="1:33" x14ac:dyDescent="0.25">
      <c r="A1166" t="s">
        <v>1971</v>
      </c>
      <c r="B1166" t="s">
        <v>1972</v>
      </c>
      <c r="C1166">
        <v>167605</v>
      </c>
      <c r="D1166">
        <v>167605</v>
      </c>
      <c r="H1166">
        <v>10</v>
      </c>
      <c r="I1166">
        <v>30</v>
      </c>
      <c r="J1166">
        <v>20</v>
      </c>
      <c r="K1166">
        <v>10</v>
      </c>
      <c r="L1166">
        <v>0</v>
      </c>
      <c r="M1166">
        <v>70</v>
      </c>
      <c r="S1166">
        <f t="shared" si="272"/>
        <v>0</v>
      </c>
      <c r="T1166">
        <f t="shared" si="273"/>
        <v>5.833333333333333</v>
      </c>
      <c r="U1166">
        <f t="shared" si="271"/>
        <v>1</v>
      </c>
      <c r="V1166">
        <f t="shared" si="274"/>
        <v>0</v>
      </c>
      <c r="W1166">
        <f t="shared" si="275"/>
        <v>1</v>
      </c>
      <c r="X1166">
        <f t="shared" si="284"/>
        <v>0</v>
      </c>
      <c r="Y1166">
        <f t="shared" si="285"/>
        <v>0</v>
      </c>
      <c r="Z1166">
        <f t="shared" si="276"/>
        <v>0</v>
      </c>
      <c r="AA1166">
        <f t="shared" si="277"/>
        <v>0</v>
      </c>
      <c r="AB1166">
        <f t="shared" si="278"/>
        <v>0</v>
      </c>
      <c r="AC1166">
        <f t="shared" si="279"/>
        <v>5</v>
      </c>
      <c r="AD1166" s="1">
        <f t="shared" si="280"/>
        <v>5</v>
      </c>
      <c r="AE1166">
        <f t="shared" si="281"/>
        <v>10</v>
      </c>
      <c r="AF1166">
        <f t="shared" si="282"/>
        <v>10</v>
      </c>
      <c r="AG1166">
        <f t="shared" si="283"/>
        <v>0</v>
      </c>
    </row>
    <row r="1167" spans="1:33" x14ac:dyDescent="0.25">
      <c r="A1167" t="s">
        <v>1973</v>
      </c>
      <c r="B1167" t="s">
        <v>558</v>
      </c>
      <c r="C1167">
        <v>166868</v>
      </c>
      <c r="D1167">
        <v>166868</v>
      </c>
      <c r="E1167">
        <v>40</v>
      </c>
      <c r="F1167">
        <v>40</v>
      </c>
      <c r="G1167">
        <v>50</v>
      </c>
      <c r="O1167">
        <v>130</v>
      </c>
      <c r="S1167">
        <f t="shared" si="272"/>
        <v>8.125</v>
      </c>
      <c r="T1167">
        <f t="shared" si="273"/>
        <v>0</v>
      </c>
      <c r="U1167">
        <f t="shared" si="271"/>
        <v>1</v>
      </c>
      <c r="V1167">
        <f t="shared" si="274"/>
        <v>1</v>
      </c>
      <c r="W1167">
        <f t="shared" si="275"/>
        <v>0</v>
      </c>
      <c r="X1167">
        <f t="shared" si="284"/>
        <v>1</v>
      </c>
      <c r="Y1167">
        <f t="shared" si="285"/>
        <v>0</v>
      </c>
      <c r="Z1167">
        <f t="shared" si="276"/>
        <v>8</v>
      </c>
      <c r="AA1167">
        <f t="shared" si="277"/>
        <v>10</v>
      </c>
      <c r="AB1167">
        <f t="shared" si="278"/>
        <v>7.1428571428571432</v>
      </c>
      <c r="AC1167">
        <f t="shared" si="279"/>
        <v>0</v>
      </c>
      <c r="AD1167" s="1">
        <f t="shared" si="280"/>
        <v>0</v>
      </c>
      <c r="AE1167">
        <f t="shared" si="281"/>
        <v>0</v>
      </c>
      <c r="AF1167">
        <f t="shared" si="282"/>
        <v>0</v>
      </c>
      <c r="AG1167">
        <f t="shared" si="283"/>
        <v>0</v>
      </c>
    </row>
    <row r="1168" spans="1:33" x14ac:dyDescent="0.25">
      <c r="A1168" t="s">
        <v>1974</v>
      </c>
      <c r="B1168" t="s">
        <v>562</v>
      </c>
      <c r="C1168">
        <v>166867</v>
      </c>
      <c r="D1168">
        <v>166867</v>
      </c>
      <c r="E1168">
        <v>20</v>
      </c>
      <c r="F1168">
        <v>30</v>
      </c>
      <c r="G1168">
        <v>40</v>
      </c>
      <c r="O1168">
        <v>90</v>
      </c>
      <c r="S1168">
        <f t="shared" si="272"/>
        <v>5.625</v>
      </c>
      <c r="T1168">
        <f t="shared" si="273"/>
        <v>0</v>
      </c>
      <c r="U1168">
        <f t="shared" si="271"/>
        <v>1</v>
      </c>
      <c r="V1168">
        <f t="shared" si="274"/>
        <v>1</v>
      </c>
      <c r="W1168">
        <f t="shared" si="275"/>
        <v>0</v>
      </c>
      <c r="X1168">
        <f t="shared" si="284"/>
        <v>0</v>
      </c>
      <c r="Y1168">
        <f t="shared" si="285"/>
        <v>0</v>
      </c>
      <c r="Z1168">
        <f t="shared" si="276"/>
        <v>4</v>
      </c>
      <c r="AA1168">
        <f t="shared" si="277"/>
        <v>7.5</v>
      </c>
      <c r="AB1168">
        <f t="shared" si="278"/>
        <v>5.7142857142857144</v>
      </c>
      <c r="AC1168">
        <f t="shared" si="279"/>
        <v>0</v>
      </c>
      <c r="AD1168" s="1">
        <f t="shared" si="280"/>
        <v>0</v>
      </c>
      <c r="AE1168">
        <f t="shared" si="281"/>
        <v>0</v>
      </c>
      <c r="AF1168">
        <f t="shared" si="282"/>
        <v>0</v>
      </c>
      <c r="AG1168">
        <f t="shared" si="283"/>
        <v>0</v>
      </c>
    </row>
    <row r="1169" spans="1:33" x14ac:dyDescent="0.25">
      <c r="A1169" t="s">
        <v>1975</v>
      </c>
      <c r="B1169" t="s">
        <v>1976</v>
      </c>
      <c r="C1169">
        <v>166821</v>
      </c>
      <c r="D1169">
        <v>166821</v>
      </c>
      <c r="E1169">
        <v>50</v>
      </c>
      <c r="F1169">
        <v>20</v>
      </c>
      <c r="G1169">
        <v>50</v>
      </c>
      <c r="N1169" t="s">
        <v>20</v>
      </c>
      <c r="O1169">
        <v>120</v>
      </c>
      <c r="S1169">
        <f t="shared" si="272"/>
        <v>7.5</v>
      </c>
      <c r="T1169">
        <f t="shared" si="273"/>
        <v>0</v>
      </c>
      <c r="U1169">
        <f t="shared" si="271"/>
        <v>1</v>
      </c>
      <c r="V1169">
        <f t="shared" si="274"/>
        <v>1</v>
      </c>
      <c r="W1169">
        <f t="shared" si="275"/>
        <v>0</v>
      </c>
      <c r="X1169">
        <f t="shared" si="284"/>
        <v>1</v>
      </c>
      <c r="Y1169">
        <f t="shared" si="285"/>
        <v>0</v>
      </c>
      <c r="Z1169">
        <f t="shared" si="276"/>
        <v>10</v>
      </c>
      <c r="AA1169">
        <f t="shared" si="277"/>
        <v>5</v>
      </c>
      <c r="AB1169">
        <f t="shared" si="278"/>
        <v>7.1428571428571432</v>
      </c>
      <c r="AC1169">
        <f t="shared" si="279"/>
        <v>0</v>
      </c>
      <c r="AD1169" s="1">
        <f t="shared" si="280"/>
        <v>0</v>
      </c>
      <c r="AE1169">
        <f t="shared" si="281"/>
        <v>0</v>
      </c>
      <c r="AF1169">
        <f t="shared" si="282"/>
        <v>0</v>
      </c>
      <c r="AG1169">
        <f t="shared" si="283"/>
        <v>0</v>
      </c>
    </row>
    <row r="1170" spans="1:33" x14ac:dyDescent="0.25">
      <c r="A1170" t="s">
        <v>1977</v>
      </c>
      <c r="B1170" t="s">
        <v>1978</v>
      </c>
      <c r="C1170">
        <v>165993</v>
      </c>
      <c r="D1170">
        <v>165993</v>
      </c>
      <c r="R1170">
        <v>0</v>
      </c>
      <c r="S1170">
        <f t="shared" si="272"/>
        <v>0</v>
      </c>
      <c r="T1170">
        <f t="shared" si="273"/>
        <v>0</v>
      </c>
      <c r="U1170">
        <f t="shared" si="271"/>
        <v>0</v>
      </c>
      <c r="V1170">
        <f t="shared" si="274"/>
        <v>0</v>
      </c>
      <c r="W1170">
        <f t="shared" si="275"/>
        <v>0</v>
      </c>
      <c r="X1170">
        <f t="shared" si="284"/>
        <v>0</v>
      </c>
      <c r="Y1170">
        <f t="shared" si="285"/>
        <v>0</v>
      </c>
      <c r="Z1170">
        <f t="shared" si="276"/>
        <v>0</v>
      </c>
      <c r="AA1170">
        <f t="shared" si="277"/>
        <v>0</v>
      </c>
      <c r="AB1170">
        <f t="shared" si="278"/>
        <v>0</v>
      </c>
      <c r="AC1170">
        <f t="shared" si="279"/>
        <v>0</v>
      </c>
      <c r="AD1170" s="1">
        <f t="shared" si="280"/>
        <v>0</v>
      </c>
      <c r="AE1170">
        <f t="shared" si="281"/>
        <v>0</v>
      </c>
      <c r="AF1170">
        <f t="shared" si="282"/>
        <v>0</v>
      </c>
      <c r="AG1170">
        <f t="shared" si="283"/>
        <v>0</v>
      </c>
    </row>
    <row r="1171" spans="1:33" x14ac:dyDescent="0.25">
      <c r="A1171" t="s">
        <v>1977</v>
      </c>
      <c r="B1171" t="s">
        <v>1979</v>
      </c>
      <c r="C1171">
        <v>168462</v>
      </c>
      <c r="D1171">
        <v>168462</v>
      </c>
      <c r="H1171">
        <v>10</v>
      </c>
      <c r="I1171">
        <v>40</v>
      </c>
      <c r="J1171">
        <v>10</v>
      </c>
      <c r="K1171">
        <v>0</v>
      </c>
      <c r="L1171">
        <v>10</v>
      </c>
      <c r="M1171">
        <v>70</v>
      </c>
      <c r="S1171">
        <f t="shared" si="272"/>
        <v>0</v>
      </c>
      <c r="T1171">
        <f t="shared" si="273"/>
        <v>5.833333333333333</v>
      </c>
      <c r="U1171">
        <f t="shared" si="271"/>
        <v>1</v>
      </c>
      <c r="V1171">
        <f t="shared" si="274"/>
        <v>0</v>
      </c>
      <c r="W1171">
        <f t="shared" si="275"/>
        <v>1</v>
      </c>
      <c r="X1171">
        <f t="shared" si="284"/>
        <v>0</v>
      </c>
      <c r="Y1171">
        <f t="shared" si="285"/>
        <v>0</v>
      </c>
      <c r="Z1171">
        <f t="shared" si="276"/>
        <v>0</v>
      </c>
      <c r="AA1171">
        <f t="shared" si="277"/>
        <v>0</v>
      </c>
      <c r="AB1171">
        <f t="shared" si="278"/>
        <v>0</v>
      </c>
      <c r="AC1171">
        <f t="shared" si="279"/>
        <v>5</v>
      </c>
      <c r="AD1171" s="1">
        <f t="shared" si="280"/>
        <v>6.666666666666667</v>
      </c>
      <c r="AE1171">
        <f t="shared" si="281"/>
        <v>5</v>
      </c>
      <c r="AF1171">
        <f t="shared" si="282"/>
        <v>0</v>
      </c>
      <c r="AG1171">
        <f t="shared" si="283"/>
        <v>10</v>
      </c>
    </row>
    <row r="1172" spans="1:33" x14ac:dyDescent="0.25">
      <c r="A1172" t="s">
        <v>1980</v>
      </c>
      <c r="B1172" t="s">
        <v>270</v>
      </c>
      <c r="C1172">
        <v>162285</v>
      </c>
      <c r="D1172">
        <v>162285</v>
      </c>
      <c r="E1172">
        <v>50</v>
      </c>
      <c r="F1172">
        <v>0</v>
      </c>
      <c r="G1172">
        <v>40</v>
      </c>
      <c r="O1172">
        <v>90</v>
      </c>
      <c r="S1172">
        <f t="shared" si="272"/>
        <v>5.625</v>
      </c>
      <c r="T1172">
        <f t="shared" si="273"/>
        <v>0</v>
      </c>
      <c r="U1172">
        <f t="shared" si="271"/>
        <v>1</v>
      </c>
      <c r="V1172">
        <f t="shared" si="274"/>
        <v>1</v>
      </c>
      <c r="W1172">
        <f t="shared" si="275"/>
        <v>0</v>
      </c>
      <c r="X1172">
        <f t="shared" si="284"/>
        <v>0</v>
      </c>
      <c r="Y1172">
        <f t="shared" si="285"/>
        <v>0</v>
      </c>
      <c r="Z1172">
        <f t="shared" si="276"/>
        <v>10</v>
      </c>
      <c r="AA1172">
        <f t="shared" si="277"/>
        <v>0</v>
      </c>
      <c r="AB1172">
        <f t="shared" si="278"/>
        <v>5.7142857142857144</v>
      </c>
      <c r="AC1172">
        <f t="shared" si="279"/>
        <v>0</v>
      </c>
      <c r="AD1172" s="1">
        <f t="shared" si="280"/>
        <v>0</v>
      </c>
      <c r="AE1172">
        <f t="shared" si="281"/>
        <v>0</v>
      </c>
      <c r="AF1172">
        <f t="shared" si="282"/>
        <v>0</v>
      </c>
      <c r="AG1172">
        <f t="shared" si="283"/>
        <v>0</v>
      </c>
    </row>
    <row r="1173" spans="1:33" x14ac:dyDescent="0.25">
      <c r="A1173" t="s">
        <v>1981</v>
      </c>
      <c r="B1173" t="s">
        <v>1851</v>
      </c>
      <c r="C1173">
        <v>167245</v>
      </c>
      <c r="D1173">
        <v>167245</v>
      </c>
      <c r="E1173">
        <v>40</v>
      </c>
      <c r="F1173">
        <v>30</v>
      </c>
      <c r="G1173">
        <v>30</v>
      </c>
      <c r="O1173">
        <v>100</v>
      </c>
      <c r="S1173">
        <f t="shared" si="272"/>
        <v>6.25</v>
      </c>
      <c r="T1173">
        <f t="shared" si="273"/>
        <v>0</v>
      </c>
      <c r="U1173">
        <f t="shared" si="271"/>
        <v>1</v>
      </c>
      <c r="V1173">
        <f t="shared" si="274"/>
        <v>1</v>
      </c>
      <c r="W1173">
        <f t="shared" si="275"/>
        <v>0</v>
      </c>
      <c r="X1173">
        <f t="shared" si="284"/>
        <v>1</v>
      </c>
      <c r="Y1173">
        <f t="shared" si="285"/>
        <v>0</v>
      </c>
      <c r="Z1173">
        <f t="shared" si="276"/>
        <v>8</v>
      </c>
      <c r="AA1173">
        <f t="shared" si="277"/>
        <v>7.5</v>
      </c>
      <c r="AB1173">
        <f t="shared" si="278"/>
        <v>4.2857142857142856</v>
      </c>
      <c r="AC1173">
        <f t="shared" si="279"/>
        <v>0</v>
      </c>
      <c r="AD1173" s="1">
        <f t="shared" si="280"/>
        <v>0</v>
      </c>
      <c r="AE1173">
        <f t="shared" si="281"/>
        <v>0</v>
      </c>
      <c r="AF1173">
        <f t="shared" si="282"/>
        <v>0</v>
      </c>
      <c r="AG1173">
        <f t="shared" si="283"/>
        <v>0</v>
      </c>
    </row>
    <row r="1174" spans="1:33" x14ac:dyDescent="0.25">
      <c r="A1174" t="s">
        <v>1982</v>
      </c>
      <c r="B1174" t="s">
        <v>677</v>
      </c>
      <c r="C1174">
        <v>168652</v>
      </c>
      <c r="D1174">
        <v>168652</v>
      </c>
      <c r="E1174">
        <v>20</v>
      </c>
      <c r="F1174">
        <v>20</v>
      </c>
      <c r="G1174">
        <v>40</v>
      </c>
      <c r="O1174">
        <v>80</v>
      </c>
      <c r="S1174">
        <f t="shared" si="272"/>
        <v>5</v>
      </c>
      <c r="T1174">
        <f t="shared" si="273"/>
        <v>0</v>
      </c>
      <c r="U1174">
        <f t="shared" si="271"/>
        <v>1</v>
      </c>
      <c r="V1174">
        <f t="shared" si="274"/>
        <v>1</v>
      </c>
      <c r="W1174">
        <f t="shared" si="275"/>
        <v>0</v>
      </c>
      <c r="X1174">
        <f t="shared" si="284"/>
        <v>0</v>
      </c>
      <c r="Y1174">
        <f t="shared" si="285"/>
        <v>0</v>
      </c>
      <c r="Z1174">
        <f t="shared" si="276"/>
        <v>4</v>
      </c>
      <c r="AA1174">
        <f t="shared" si="277"/>
        <v>5</v>
      </c>
      <c r="AB1174">
        <f t="shared" si="278"/>
        <v>5.7142857142857144</v>
      </c>
      <c r="AC1174">
        <f t="shared" si="279"/>
        <v>0</v>
      </c>
      <c r="AD1174" s="1">
        <f t="shared" si="280"/>
        <v>0</v>
      </c>
      <c r="AE1174">
        <f t="shared" si="281"/>
        <v>0</v>
      </c>
      <c r="AF1174">
        <f t="shared" si="282"/>
        <v>0</v>
      </c>
      <c r="AG1174">
        <f t="shared" si="283"/>
        <v>0</v>
      </c>
    </row>
    <row r="1175" spans="1:33" x14ac:dyDescent="0.25">
      <c r="A1175" t="s">
        <v>1982</v>
      </c>
      <c r="B1175" t="s">
        <v>1983</v>
      </c>
      <c r="C1175">
        <v>167240</v>
      </c>
      <c r="D1175">
        <v>167240</v>
      </c>
      <c r="E1175">
        <v>10</v>
      </c>
      <c r="F1175">
        <v>0</v>
      </c>
      <c r="G1175">
        <v>10</v>
      </c>
      <c r="O1175">
        <v>20</v>
      </c>
      <c r="S1175">
        <f t="shared" si="272"/>
        <v>1.25</v>
      </c>
      <c r="T1175">
        <f t="shared" si="273"/>
        <v>0</v>
      </c>
      <c r="U1175">
        <f t="shared" si="271"/>
        <v>1</v>
      </c>
      <c r="V1175">
        <f t="shared" si="274"/>
        <v>1</v>
      </c>
      <c r="W1175">
        <f t="shared" si="275"/>
        <v>0</v>
      </c>
      <c r="X1175">
        <f t="shared" si="284"/>
        <v>0</v>
      </c>
      <c r="Y1175">
        <f t="shared" si="285"/>
        <v>0</v>
      </c>
      <c r="Z1175">
        <f t="shared" si="276"/>
        <v>2</v>
      </c>
      <c r="AA1175">
        <f t="shared" si="277"/>
        <v>0</v>
      </c>
      <c r="AB1175">
        <f t="shared" si="278"/>
        <v>1.4285714285714286</v>
      </c>
      <c r="AC1175">
        <f t="shared" si="279"/>
        <v>0</v>
      </c>
      <c r="AD1175" s="1">
        <f t="shared" si="280"/>
        <v>0</v>
      </c>
      <c r="AE1175">
        <f t="shared" si="281"/>
        <v>0</v>
      </c>
      <c r="AF1175">
        <f t="shared" si="282"/>
        <v>0</v>
      </c>
      <c r="AG1175">
        <f t="shared" si="283"/>
        <v>0</v>
      </c>
    </row>
    <row r="1176" spans="1:33" x14ac:dyDescent="0.25">
      <c r="A1176" t="s">
        <v>1984</v>
      </c>
      <c r="B1176" t="s">
        <v>1985</v>
      </c>
      <c r="C1176">
        <v>167552</v>
      </c>
      <c r="D1176">
        <v>167552</v>
      </c>
      <c r="S1176">
        <f t="shared" si="272"/>
        <v>0</v>
      </c>
      <c r="T1176">
        <f t="shared" si="273"/>
        <v>0</v>
      </c>
      <c r="U1176">
        <f t="shared" si="271"/>
        <v>0</v>
      </c>
      <c r="V1176">
        <f t="shared" si="274"/>
        <v>0</v>
      </c>
      <c r="W1176">
        <f t="shared" si="275"/>
        <v>0</v>
      </c>
      <c r="X1176">
        <f t="shared" si="284"/>
        <v>0</v>
      </c>
      <c r="Y1176">
        <f t="shared" si="285"/>
        <v>0</v>
      </c>
      <c r="Z1176">
        <f t="shared" si="276"/>
        <v>0</v>
      </c>
      <c r="AA1176">
        <f t="shared" si="277"/>
        <v>0</v>
      </c>
      <c r="AB1176">
        <f t="shared" si="278"/>
        <v>0</v>
      </c>
      <c r="AC1176">
        <f t="shared" si="279"/>
        <v>0</v>
      </c>
      <c r="AD1176" s="1">
        <f t="shared" si="280"/>
        <v>0</v>
      </c>
      <c r="AE1176">
        <f t="shared" si="281"/>
        <v>0</v>
      </c>
      <c r="AF1176">
        <f t="shared" si="282"/>
        <v>0</v>
      </c>
      <c r="AG1176">
        <f t="shared" si="283"/>
        <v>0</v>
      </c>
    </row>
    <row r="1177" spans="1:33" x14ac:dyDescent="0.25">
      <c r="A1177" t="s">
        <v>1986</v>
      </c>
      <c r="B1177" t="s">
        <v>1987</v>
      </c>
      <c r="C1177">
        <v>168815</v>
      </c>
      <c r="D1177">
        <v>168815</v>
      </c>
      <c r="S1177">
        <f t="shared" si="272"/>
        <v>0</v>
      </c>
      <c r="T1177">
        <f t="shared" si="273"/>
        <v>0</v>
      </c>
      <c r="U1177">
        <f t="shared" si="271"/>
        <v>0</v>
      </c>
      <c r="V1177">
        <f t="shared" si="274"/>
        <v>0</v>
      </c>
      <c r="W1177">
        <f t="shared" si="275"/>
        <v>0</v>
      </c>
      <c r="X1177">
        <f t="shared" si="284"/>
        <v>0</v>
      </c>
      <c r="Y1177">
        <f t="shared" si="285"/>
        <v>0</v>
      </c>
      <c r="Z1177">
        <f t="shared" si="276"/>
        <v>0</v>
      </c>
      <c r="AA1177">
        <f t="shared" si="277"/>
        <v>0</v>
      </c>
      <c r="AB1177">
        <f t="shared" si="278"/>
        <v>0</v>
      </c>
      <c r="AC1177">
        <f t="shared" si="279"/>
        <v>0</v>
      </c>
      <c r="AD1177" s="1">
        <f t="shared" si="280"/>
        <v>0</v>
      </c>
      <c r="AE1177">
        <f t="shared" si="281"/>
        <v>0</v>
      </c>
      <c r="AF1177">
        <f t="shared" si="282"/>
        <v>0</v>
      </c>
      <c r="AG1177">
        <f t="shared" si="283"/>
        <v>0</v>
      </c>
    </row>
    <row r="1178" spans="1:33" x14ac:dyDescent="0.25">
      <c r="A1178" t="s">
        <v>1988</v>
      </c>
      <c r="B1178" t="s">
        <v>197</v>
      </c>
      <c r="C1178">
        <v>160082</v>
      </c>
      <c r="D1178">
        <v>160082</v>
      </c>
      <c r="R1178" t="s">
        <v>20</v>
      </c>
      <c r="S1178">
        <f t="shared" si="272"/>
        <v>0</v>
      </c>
      <c r="T1178">
        <f t="shared" si="273"/>
        <v>0</v>
      </c>
      <c r="U1178">
        <f t="shared" si="271"/>
        <v>0</v>
      </c>
      <c r="V1178">
        <f t="shared" si="274"/>
        <v>0</v>
      </c>
      <c r="W1178">
        <f t="shared" si="275"/>
        <v>0</v>
      </c>
      <c r="X1178">
        <f t="shared" si="284"/>
        <v>0</v>
      </c>
      <c r="Y1178">
        <f t="shared" si="285"/>
        <v>0</v>
      </c>
      <c r="Z1178">
        <f t="shared" si="276"/>
        <v>0</v>
      </c>
      <c r="AA1178">
        <f t="shared" si="277"/>
        <v>0</v>
      </c>
      <c r="AB1178">
        <f t="shared" si="278"/>
        <v>0</v>
      </c>
      <c r="AC1178">
        <f t="shared" si="279"/>
        <v>0</v>
      </c>
      <c r="AD1178" s="1">
        <f t="shared" si="280"/>
        <v>0</v>
      </c>
      <c r="AE1178">
        <f t="shared" si="281"/>
        <v>0</v>
      </c>
      <c r="AF1178">
        <f t="shared" si="282"/>
        <v>0</v>
      </c>
      <c r="AG1178">
        <f t="shared" si="283"/>
        <v>0</v>
      </c>
    </row>
    <row r="1179" spans="1:33" x14ac:dyDescent="0.25">
      <c r="A1179" t="s">
        <v>1989</v>
      </c>
      <c r="B1179" t="s">
        <v>1990</v>
      </c>
      <c r="C1179">
        <v>166004</v>
      </c>
      <c r="D1179">
        <v>166004</v>
      </c>
      <c r="E1179">
        <v>40</v>
      </c>
      <c r="F1179">
        <v>40</v>
      </c>
      <c r="G1179">
        <v>50</v>
      </c>
      <c r="O1179">
        <v>130</v>
      </c>
      <c r="S1179">
        <f t="shared" si="272"/>
        <v>8.125</v>
      </c>
      <c r="T1179">
        <f t="shared" si="273"/>
        <v>0</v>
      </c>
      <c r="U1179">
        <f t="shared" si="271"/>
        <v>1</v>
      </c>
      <c r="V1179">
        <f t="shared" si="274"/>
        <v>1</v>
      </c>
      <c r="W1179">
        <f t="shared" si="275"/>
        <v>0</v>
      </c>
      <c r="X1179">
        <f t="shared" si="284"/>
        <v>1</v>
      </c>
      <c r="Y1179">
        <f t="shared" si="285"/>
        <v>0</v>
      </c>
      <c r="Z1179">
        <f t="shared" si="276"/>
        <v>8</v>
      </c>
      <c r="AA1179">
        <f t="shared" si="277"/>
        <v>10</v>
      </c>
      <c r="AB1179">
        <f t="shared" si="278"/>
        <v>7.1428571428571432</v>
      </c>
      <c r="AC1179">
        <f t="shared" si="279"/>
        <v>0</v>
      </c>
      <c r="AD1179" s="1">
        <f t="shared" si="280"/>
        <v>0</v>
      </c>
      <c r="AE1179">
        <f t="shared" si="281"/>
        <v>0</v>
      </c>
      <c r="AF1179">
        <f t="shared" si="282"/>
        <v>0</v>
      </c>
      <c r="AG1179">
        <f t="shared" si="283"/>
        <v>0</v>
      </c>
    </row>
    <row r="1180" spans="1:33" x14ac:dyDescent="0.25">
      <c r="A1180" t="s">
        <v>1991</v>
      </c>
      <c r="B1180" t="s">
        <v>1992</v>
      </c>
      <c r="C1180">
        <v>168591</v>
      </c>
      <c r="D1180">
        <v>168591</v>
      </c>
      <c r="E1180">
        <v>10</v>
      </c>
      <c r="F1180">
        <v>10</v>
      </c>
      <c r="G1180">
        <v>50</v>
      </c>
      <c r="O1180">
        <v>70</v>
      </c>
      <c r="S1180">
        <f t="shared" si="272"/>
        <v>4.375</v>
      </c>
      <c r="T1180">
        <f t="shared" si="273"/>
        <v>0</v>
      </c>
      <c r="U1180">
        <f t="shared" si="271"/>
        <v>1</v>
      </c>
      <c r="V1180">
        <f t="shared" si="274"/>
        <v>1</v>
      </c>
      <c r="W1180">
        <f t="shared" si="275"/>
        <v>0</v>
      </c>
      <c r="X1180">
        <f t="shared" si="284"/>
        <v>0</v>
      </c>
      <c r="Y1180">
        <f t="shared" si="285"/>
        <v>0</v>
      </c>
      <c r="Z1180">
        <f t="shared" si="276"/>
        <v>2</v>
      </c>
      <c r="AA1180">
        <f t="shared" si="277"/>
        <v>2.5</v>
      </c>
      <c r="AB1180">
        <f t="shared" si="278"/>
        <v>7.1428571428571432</v>
      </c>
      <c r="AC1180">
        <f t="shared" si="279"/>
        <v>0</v>
      </c>
      <c r="AD1180" s="1">
        <f t="shared" si="280"/>
        <v>0</v>
      </c>
      <c r="AE1180">
        <f t="shared" si="281"/>
        <v>0</v>
      </c>
      <c r="AF1180">
        <f t="shared" si="282"/>
        <v>0</v>
      </c>
      <c r="AG1180">
        <f t="shared" si="283"/>
        <v>0</v>
      </c>
    </row>
    <row r="1181" spans="1:33" x14ac:dyDescent="0.25">
      <c r="A1181" t="s">
        <v>1993</v>
      </c>
      <c r="B1181" t="s">
        <v>1994</v>
      </c>
      <c r="C1181">
        <v>168242</v>
      </c>
      <c r="D1181">
        <v>168242</v>
      </c>
      <c r="E1181">
        <v>0</v>
      </c>
      <c r="F1181">
        <v>30</v>
      </c>
      <c r="G1181">
        <v>40</v>
      </c>
      <c r="O1181">
        <v>70</v>
      </c>
      <c r="S1181">
        <f t="shared" si="272"/>
        <v>4.375</v>
      </c>
      <c r="T1181">
        <f t="shared" si="273"/>
        <v>0</v>
      </c>
      <c r="U1181">
        <f t="shared" si="271"/>
        <v>1</v>
      </c>
      <c r="V1181">
        <f t="shared" si="274"/>
        <v>1</v>
      </c>
      <c r="W1181">
        <f t="shared" si="275"/>
        <v>0</v>
      </c>
      <c r="X1181">
        <f t="shared" si="284"/>
        <v>0</v>
      </c>
      <c r="Y1181">
        <f t="shared" si="285"/>
        <v>0</v>
      </c>
      <c r="Z1181">
        <f t="shared" si="276"/>
        <v>0</v>
      </c>
      <c r="AA1181">
        <f t="shared" si="277"/>
        <v>7.5</v>
      </c>
      <c r="AB1181">
        <f t="shared" si="278"/>
        <v>5.7142857142857144</v>
      </c>
      <c r="AC1181">
        <f t="shared" si="279"/>
        <v>0</v>
      </c>
      <c r="AD1181" s="1">
        <f t="shared" si="280"/>
        <v>0</v>
      </c>
      <c r="AE1181">
        <f t="shared" si="281"/>
        <v>0</v>
      </c>
      <c r="AF1181">
        <f t="shared" si="282"/>
        <v>0</v>
      </c>
      <c r="AG1181">
        <f t="shared" si="283"/>
        <v>0</v>
      </c>
    </row>
    <row r="1182" spans="1:33" x14ac:dyDescent="0.25">
      <c r="A1182" t="s">
        <v>1995</v>
      </c>
      <c r="B1182" t="s">
        <v>1996</v>
      </c>
      <c r="C1182">
        <v>166301</v>
      </c>
      <c r="D1182">
        <v>166301</v>
      </c>
      <c r="H1182">
        <v>10</v>
      </c>
      <c r="I1182">
        <v>40</v>
      </c>
      <c r="J1182">
        <v>10</v>
      </c>
      <c r="K1182">
        <v>0</v>
      </c>
      <c r="L1182">
        <v>0</v>
      </c>
      <c r="M1182">
        <v>60</v>
      </c>
      <c r="S1182">
        <f t="shared" si="272"/>
        <v>0</v>
      </c>
      <c r="T1182">
        <f t="shared" si="273"/>
        <v>5</v>
      </c>
      <c r="U1182">
        <f t="shared" si="271"/>
        <v>1</v>
      </c>
      <c r="V1182">
        <f t="shared" si="274"/>
        <v>0</v>
      </c>
      <c r="W1182">
        <f t="shared" si="275"/>
        <v>1</v>
      </c>
      <c r="X1182">
        <f t="shared" si="284"/>
        <v>0</v>
      </c>
      <c r="Y1182">
        <f t="shared" si="285"/>
        <v>0</v>
      </c>
      <c r="Z1182">
        <f t="shared" si="276"/>
        <v>0</v>
      </c>
      <c r="AA1182">
        <f t="shared" si="277"/>
        <v>0</v>
      </c>
      <c r="AB1182">
        <f t="shared" si="278"/>
        <v>0</v>
      </c>
      <c r="AC1182">
        <f t="shared" si="279"/>
        <v>5</v>
      </c>
      <c r="AD1182" s="1">
        <f t="shared" si="280"/>
        <v>6.666666666666667</v>
      </c>
      <c r="AE1182">
        <f t="shared" si="281"/>
        <v>5</v>
      </c>
      <c r="AF1182">
        <f t="shared" si="282"/>
        <v>0</v>
      </c>
      <c r="AG1182">
        <f t="shared" si="283"/>
        <v>0</v>
      </c>
    </row>
    <row r="1183" spans="1:33" x14ac:dyDescent="0.25">
      <c r="A1183" t="s">
        <v>1997</v>
      </c>
      <c r="B1183" t="s">
        <v>1998</v>
      </c>
      <c r="C1183">
        <v>163015</v>
      </c>
      <c r="D1183">
        <v>163015</v>
      </c>
      <c r="E1183">
        <v>50</v>
      </c>
      <c r="F1183">
        <v>20</v>
      </c>
      <c r="G1183">
        <v>20</v>
      </c>
      <c r="O1183">
        <v>90</v>
      </c>
      <c r="S1183">
        <f t="shared" si="272"/>
        <v>5.625</v>
      </c>
      <c r="T1183">
        <f t="shared" si="273"/>
        <v>0</v>
      </c>
      <c r="U1183">
        <f t="shared" si="271"/>
        <v>1</v>
      </c>
      <c r="V1183">
        <f t="shared" si="274"/>
        <v>1</v>
      </c>
      <c r="W1183">
        <f t="shared" si="275"/>
        <v>0</v>
      </c>
      <c r="X1183">
        <f t="shared" si="284"/>
        <v>0</v>
      </c>
      <c r="Y1183">
        <f t="shared" si="285"/>
        <v>0</v>
      </c>
      <c r="Z1183">
        <f t="shared" si="276"/>
        <v>10</v>
      </c>
      <c r="AA1183">
        <f t="shared" si="277"/>
        <v>5</v>
      </c>
      <c r="AB1183">
        <f t="shared" si="278"/>
        <v>2.8571428571428572</v>
      </c>
      <c r="AC1183">
        <f t="shared" si="279"/>
        <v>0</v>
      </c>
      <c r="AD1183" s="1">
        <f t="shared" si="280"/>
        <v>0</v>
      </c>
      <c r="AE1183">
        <f t="shared" si="281"/>
        <v>0</v>
      </c>
      <c r="AF1183">
        <f t="shared" si="282"/>
        <v>0</v>
      </c>
      <c r="AG1183">
        <f t="shared" si="283"/>
        <v>0</v>
      </c>
    </row>
    <row r="1184" spans="1:33" x14ac:dyDescent="0.25">
      <c r="A1184" t="s">
        <v>1999</v>
      </c>
      <c r="B1184" t="s">
        <v>218</v>
      </c>
      <c r="C1184">
        <v>166346</v>
      </c>
      <c r="D1184">
        <v>166346</v>
      </c>
      <c r="H1184">
        <v>10</v>
      </c>
      <c r="I1184">
        <v>20</v>
      </c>
      <c r="J1184">
        <v>20</v>
      </c>
      <c r="K1184">
        <v>10</v>
      </c>
      <c r="L1184">
        <v>0</v>
      </c>
      <c r="M1184">
        <v>60</v>
      </c>
      <c r="S1184">
        <f t="shared" si="272"/>
        <v>0</v>
      </c>
      <c r="T1184">
        <f t="shared" si="273"/>
        <v>5</v>
      </c>
      <c r="U1184">
        <f t="shared" si="271"/>
        <v>1</v>
      </c>
      <c r="V1184">
        <f t="shared" si="274"/>
        <v>0</v>
      </c>
      <c r="W1184">
        <f t="shared" si="275"/>
        <v>1</v>
      </c>
      <c r="X1184">
        <f t="shared" si="284"/>
        <v>0</v>
      </c>
      <c r="Y1184">
        <f t="shared" si="285"/>
        <v>0</v>
      </c>
      <c r="Z1184">
        <f t="shared" si="276"/>
        <v>0</v>
      </c>
      <c r="AA1184">
        <f t="shared" si="277"/>
        <v>0</v>
      </c>
      <c r="AB1184">
        <f t="shared" si="278"/>
        <v>0</v>
      </c>
      <c r="AC1184">
        <f t="shared" si="279"/>
        <v>5</v>
      </c>
      <c r="AD1184" s="1">
        <f t="shared" si="280"/>
        <v>3.3333333333333335</v>
      </c>
      <c r="AE1184">
        <f t="shared" si="281"/>
        <v>10</v>
      </c>
      <c r="AF1184">
        <f t="shared" si="282"/>
        <v>10</v>
      </c>
      <c r="AG1184">
        <f t="shared" si="283"/>
        <v>0</v>
      </c>
    </row>
    <row r="1185" spans="1:33" x14ac:dyDescent="0.25">
      <c r="A1185" t="s">
        <v>2000</v>
      </c>
      <c r="B1185" t="s">
        <v>83</v>
      </c>
      <c r="C1185">
        <v>165769</v>
      </c>
      <c r="D1185">
        <v>165769</v>
      </c>
      <c r="S1185">
        <f t="shared" si="272"/>
        <v>0</v>
      </c>
      <c r="T1185">
        <f t="shared" si="273"/>
        <v>0</v>
      </c>
      <c r="U1185">
        <f t="shared" si="271"/>
        <v>0</v>
      </c>
      <c r="V1185">
        <f t="shared" si="274"/>
        <v>0</v>
      </c>
      <c r="W1185">
        <f t="shared" si="275"/>
        <v>0</v>
      </c>
      <c r="X1185">
        <f t="shared" si="284"/>
        <v>0</v>
      </c>
      <c r="Y1185">
        <f t="shared" si="285"/>
        <v>0</v>
      </c>
      <c r="Z1185">
        <f t="shared" si="276"/>
        <v>0</v>
      </c>
      <c r="AA1185">
        <f t="shared" si="277"/>
        <v>0</v>
      </c>
      <c r="AB1185">
        <f t="shared" si="278"/>
        <v>0</v>
      </c>
      <c r="AC1185">
        <f t="shared" si="279"/>
        <v>0</v>
      </c>
      <c r="AD1185" s="1">
        <f t="shared" si="280"/>
        <v>0</v>
      </c>
      <c r="AE1185">
        <f t="shared" si="281"/>
        <v>0</v>
      </c>
      <c r="AF1185">
        <f t="shared" si="282"/>
        <v>0</v>
      </c>
      <c r="AG1185">
        <f t="shared" si="283"/>
        <v>0</v>
      </c>
    </row>
    <row r="1186" spans="1:33" x14ac:dyDescent="0.25">
      <c r="A1186" t="s">
        <v>2001</v>
      </c>
      <c r="B1186" t="s">
        <v>958</v>
      </c>
      <c r="C1186">
        <v>168569</v>
      </c>
      <c r="D1186">
        <v>168569</v>
      </c>
      <c r="E1186">
        <v>10</v>
      </c>
      <c r="F1186">
        <v>10</v>
      </c>
      <c r="G1186">
        <v>10</v>
      </c>
      <c r="O1186">
        <v>30</v>
      </c>
      <c r="S1186">
        <f t="shared" si="272"/>
        <v>1.875</v>
      </c>
      <c r="T1186">
        <f t="shared" si="273"/>
        <v>0</v>
      </c>
      <c r="U1186">
        <f t="shared" si="271"/>
        <v>1</v>
      </c>
      <c r="V1186">
        <f t="shared" si="274"/>
        <v>1</v>
      </c>
      <c r="W1186">
        <f t="shared" si="275"/>
        <v>0</v>
      </c>
      <c r="X1186">
        <f t="shared" si="284"/>
        <v>0</v>
      </c>
      <c r="Y1186">
        <f t="shared" si="285"/>
        <v>0</v>
      </c>
      <c r="Z1186">
        <f t="shared" si="276"/>
        <v>2</v>
      </c>
      <c r="AA1186">
        <f t="shared" si="277"/>
        <v>2.5</v>
      </c>
      <c r="AB1186">
        <f t="shared" si="278"/>
        <v>1.4285714285714286</v>
      </c>
      <c r="AC1186">
        <f t="shared" si="279"/>
        <v>0</v>
      </c>
      <c r="AD1186" s="1">
        <f t="shared" si="280"/>
        <v>0</v>
      </c>
      <c r="AE1186">
        <f t="shared" si="281"/>
        <v>0</v>
      </c>
      <c r="AF1186">
        <f t="shared" si="282"/>
        <v>0</v>
      </c>
      <c r="AG1186">
        <f t="shared" si="283"/>
        <v>0</v>
      </c>
    </row>
    <row r="1187" spans="1:33" x14ac:dyDescent="0.25">
      <c r="A1187" t="s">
        <v>2002</v>
      </c>
      <c r="B1187" t="s">
        <v>2003</v>
      </c>
      <c r="C1187">
        <v>165919</v>
      </c>
      <c r="D1187">
        <v>165919</v>
      </c>
      <c r="E1187">
        <v>10</v>
      </c>
      <c r="F1187">
        <v>20</v>
      </c>
      <c r="G1187">
        <v>10</v>
      </c>
      <c r="O1187">
        <v>40</v>
      </c>
      <c r="S1187">
        <f t="shared" si="272"/>
        <v>2.5</v>
      </c>
      <c r="T1187">
        <f t="shared" si="273"/>
        <v>0</v>
      </c>
      <c r="U1187">
        <f t="shared" si="271"/>
        <v>1</v>
      </c>
      <c r="V1187">
        <f t="shared" si="274"/>
        <v>1</v>
      </c>
      <c r="W1187">
        <f t="shared" si="275"/>
        <v>0</v>
      </c>
      <c r="X1187">
        <f t="shared" si="284"/>
        <v>0</v>
      </c>
      <c r="Y1187">
        <f t="shared" si="285"/>
        <v>0</v>
      </c>
      <c r="Z1187">
        <f t="shared" si="276"/>
        <v>2</v>
      </c>
      <c r="AA1187">
        <f t="shared" si="277"/>
        <v>5</v>
      </c>
      <c r="AB1187">
        <f t="shared" si="278"/>
        <v>1.4285714285714286</v>
      </c>
      <c r="AC1187">
        <f t="shared" si="279"/>
        <v>0</v>
      </c>
      <c r="AD1187" s="1">
        <f t="shared" si="280"/>
        <v>0</v>
      </c>
      <c r="AE1187">
        <f t="shared" si="281"/>
        <v>0</v>
      </c>
      <c r="AF1187">
        <f t="shared" si="282"/>
        <v>0</v>
      </c>
      <c r="AG1187">
        <f t="shared" si="283"/>
        <v>0</v>
      </c>
    </row>
    <row r="1188" spans="1:33" x14ac:dyDescent="0.25">
      <c r="A1188" t="s">
        <v>2004</v>
      </c>
      <c r="B1188" t="s">
        <v>344</v>
      </c>
      <c r="C1188">
        <v>166572</v>
      </c>
      <c r="D1188">
        <v>166572</v>
      </c>
      <c r="E1188">
        <v>20</v>
      </c>
      <c r="F1188">
        <v>30</v>
      </c>
      <c r="G1188">
        <v>20</v>
      </c>
      <c r="O1188">
        <v>70</v>
      </c>
      <c r="S1188">
        <f t="shared" si="272"/>
        <v>4.375</v>
      </c>
      <c r="T1188">
        <f t="shared" si="273"/>
        <v>0</v>
      </c>
      <c r="U1188">
        <f t="shared" si="271"/>
        <v>1</v>
      </c>
      <c r="V1188">
        <f t="shared" si="274"/>
        <v>1</v>
      </c>
      <c r="W1188">
        <f t="shared" si="275"/>
        <v>0</v>
      </c>
      <c r="X1188">
        <f t="shared" si="284"/>
        <v>0</v>
      </c>
      <c r="Y1188">
        <f t="shared" si="285"/>
        <v>0</v>
      </c>
      <c r="Z1188">
        <f t="shared" si="276"/>
        <v>4</v>
      </c>
      <c r="AA1188">
        <f t="shared" si="277"/>
        <v>7.5</v>
      </c>
      <c r="AB1188">
        <f t="shared" si="278"/>
        <v>2.8571428571428572</v>
      </c>
      <c r="AC1188">
        <f t="shared" si="279"/>
        <v>0</v>
      </c>
      <c r="AD1188" s="1">
        <f t="shared" si="280"/>
        <v>0</v>
      </c>
      <c r="AE1188">
        <f t="shared" si="281"/>
        <v>0</v>
      </c>
      <c r="AF1188">
        <f t="shared" si="282"/>
        <v>0</v>
      </c>
      <c r="AG1188">
        <f t="shared" si="283"/>
        <v>0</v>
      </c>
    </row>
    <row r="1189" spans="1:33" x14ac:dyDescent="0.25">
      <c r="A1189" t="s">
        <v>2005</v>
      </c>
      <c r="B1189" t="s">
        <v>2006</v>
      </c>
      <c r="C1189">
        <v>168872</v>
      </c>
      <c r="D1189">
        <v>168872</v>
      </c>
      <c r="E1189">
        <v>0</v>
      </c>
      <c r="F1189">
        <v>20</v>
      </c>
      <c r="G1189">
        <v>20</v>
      </c>
      <c r="N1189" t="s">
        <v>549</v>
      </c>
      <c r="O1189">
        <v>40</v>
      </c>
      <c r="P1189" t="s">
        <v>20</v>
      </c>
      <c r="R1189" t="s">
        <v>20</v>
      </c>
      <c r="S1189">
        <f t="shared" si="272"/>
        <v>2.5</v>
      </c>
      <c r="T1189">
        <f t="shared" si="273"/>
        <v>0</v>
      </c>
      <c r="U1189">
        <f t="shared" si="271"/>
        <v>1</v>
      </c>
      <c r="V1189">
        <f t="shared" si="274"/>
        <v>1</v>
      </c>
      <c r="W1189">
        <f t="shared" si="275"/>
        <v>0</v>
      </c>
      <c r="X1189">
        <f t="shared" si="284"/>
        <v>0</v>
      </c>
      <c r="Y1189">
        <f t="shared" si="285"/>
        <v>0</v>
      </c>
      <c r="Z1189">
        <f t="shared" si="276"/>
        <v>0</v>
      </c>
      <c r="AA1189">
        <f t="shared" si="277"/>
        <v>5</v>
      </c>
      <c r="AB1189">
        <f t="shared" si="278"/>
        <v>2.8571428571428572</v>
      </c>
      <c r="AC1189">
        <f t="shared" si="279"/>
        <v>0</v>
      </c>
      <c r="AD1189" s="1">
        <f t="shared" si="280"/>
        <v>0</v>
      </c>
      <c r="AE1189">
        <f t="shared" si="281"/>
        <v>0</v>
      </c>
      <c r="AF1189">
        <f t="shared" si="282"/>
        <v>0</v>
      </c>
      <c r="AG1189">
        <f t="shared" si="283"/>
        <v>0</v>
      </c>
    </row>
    <row r="1190" spans="1:33" x14ac:dyDescent="0.25">
      <c r="A1190" t="s">
        <v>2007</v>
      </c>
      <c r="B1190" t="s">
        <v>2008</v>
      </c>
      <c r="C1190">
        <v>168835</v>
      </c>
      <c r="D1190">
        <v>168835</v>
      </c>
      <c r="S1190">
        <f t="shared" si="272"/>
        <v>0</v>
      </c>
      <c r="T1190">
        <f t="shared" si="273"/>
        <v>0</v>
      </c>
      <c r="U1190">
        <f t="shared" si="271"/>
        <v>0</v>
      </c>
      <c r="V1190">
        <f t="shared" si="274"/>
        <v>0</v>
      </c>
      <c r="W1190">
        <f t="shared" si="275"/>
        <v>0</v>
      </c>
      <c r="X1190">
        <f t="shared" si="284"/>
        <v>0</v>
      </c>
      <c r="Y1190">
        <f t="shared" si="285"/>
        <v>0</v>
      </c>
      <c r="Z1190">
        <f t="shared" si="276"/>
        <v>0</v>
      </c>
      <c r="AA1190">
        <f t="shared" si="277"/>
        <v>0</v>
      </c>
      <c r="AB1190">
        <f t="shared" si="278"/>
        <v>0</v>
      </c>
      <c r="AC1190">
        <f t="shared" si="279"/>
        <v>0</v>
      </c>
      <c r="AD1190" s="1">
        <f t="shared" si="280"/>
        <v>0</v>
      </c>
      <c r="AE1190">
        <f t="shared" si="281"/>
        <v>0</v>
      </c>
      <c r="AF1190">
        <f t="shared" si="282"/>
        <v>0</v>
      </c>
      <c r="AG1190">
        <f t="shared" si="283"/>
        <v>0</v>
      </c>
    </row>
    <row r="1191" spans="1:33" x14ac:dyDescent="0.25">
      <c r="A1191" t="s">
        <v>2009</v>
      </c>
      <c r="B1191" t="s">
        <v>963</v>
      </c>
      <c r="C1191">
        <v>163349</v>
      </c>
      <c r="D1191">
        <v>163349</v>
      </c>
      <c r="E1191">
        <v>20</v>
      </c>
      <c r="F1191">
        <v>20</v>
      </c>
      <c r="G1191">
        <v>40</v>
      </c>
      <c r="O1191">
        <v>80</v>
      </c>
      <c r="S1191">
        <f t="shared" si="272"/>
        <v>5</v>
      </c>
      <c r="T1191">
        <f t="shared" si="273"/>
        <v>0</v>
      </c>
      <c r="U1191">
        <f t="shared" si="271"/>
        <v>1</v>
      </c>
      <c r="V1191">
        <f t="shared" si="274"/>
        <v>1</v>
      </c>
      <c r="W1191">
        <f t="shared" si="275"/>
        <v>0</v>
      </c>
      <c r="X1191">
        <f t="shared" si="284"/>
        <v>0</v>
      </c>
      <c r="Y1191">
        <f t="shared" si="285"/>
        <v>0</v>
      </c>
      <c r="Z1191">
        <f t="shared" si="276"/>
        <v>4</v>
      </c>
      <c r="AA1191">
        <f t="shared" si="277"/>
        <v>5</v>
      </c>
      <c r="AB1191">
        <f t="shared" si="278"/>
        <v>5.7142857142857144</v>
      </c>
      <c r="AC1191">
        <f t="shared" si="279"/>
        <v>0</v>
      </c>
      <c r="AD1191" s="1">
        <f t="shared" si="280"/>
        <v>0</v>
      </c>
      <c r="AE1191">
        <f t="shared" si="281"/>
        <v>0</v>
      </c>
      <c r="AF1191">
        <f t="shared" si="282"/>
        <v>0</v>
      </c>
      <c r="AG1191">
        <f t="shared" si="283"/>
        <v>0</v>
      </c>
    </row>
    <row r="1192" spans="1:33" x14ac:dyDescent="0.25">
      <c r="A1192" t="s">
        <v>2010</v>
      </c>
      <c r="B1192" t="s">
        <v>2011</v>
      </c>
      <c r="C1192">
        <v>166975</v>
      </c>
      <c r="D1192">
        <v>166975</v>
      </c>
      <c r="E1192">
        <v>30</v>
      </c>
      <c r="F1192">
        <v>30</v>
      </c>
      <c r="G1192">
        <v>40</v>
      </c>
      <c r="O1192">
        <v>100</v>
      </c>
      <c r="S1192">
        <f t="shared" si="272"/>
        <v>6.25</v>
      </c>
      <c r="T1192">
        <f t="shared" si="273"/>
        <v>0</v>
      </c>
      <c r="U1192">
        <f t="shared" si="271"/>
        <v>1</v>
      </c>
      <c r="V1192">
        <f t="shared" si="274"/>
        <v>1</v>
      </c>
      <c r="W1192">
        <f t="shared" si="275"/>
        <v>0</v>
      </c>
      <c r="X1192">
        <f t="shared" si="284"/>
        <v>1</v>
      </c>
      <c r="Y1192">
        <f t="shared" si="285"/>
        <v>0</v>
      </c>
      <c r="Z1192">
        <f t="shared" si="276"/>
        <v>6</v>
      </c>
      <c r="AA1192">
        <f t="shared" si="277"/>
        <v>7.5</v>
      </c>
      <c r="AB1192">
        <f t="shared" si="278"/>
        <v>5.7142857142857144</v>
      </c>
      <c r="AC1192">
        <f t="shared" si="279"/>
        <v>0</v>
      </c>
      <c r="AD1192" s="1">
        <f t="shared" si="280"/>
        <v>0</v>
      </c>
      <c r="AE1192">
        <f t="shared" si="281"/>
        <v>0</v>
      </c>
      <c r="AF1192">
        <f t="shared" si="282"/>
        <v>0</v>
      </c>
      <c r="AG1192">
        <f t="shared" si="283"/>
        <v>0</v>
      </c>
    </row>
    <row r="1193" spans="1:33" x14ac:dyDescent="0.25">
      <c r="A1193" t="s">
        <v>2012</v>
      </c>
      <c r="B1193" t="s">
        <v>99</v>
      </c>
      <c r="C1193">
        <v>165886</v>
      </c>
      <c r="D1193">
        <v>165886</v>
      </c>
      <c r="H1193">
        <v>10</v>
      </c>
      <c r="I1193">
        <v>50</v>
      </c>
      <c r="J1193">
        <v>10</v>
      </c>
      <c r="K1193">
        <v>10</v>
      </c>
      <c r="L1193">
        <v>10</v>
      </c>
      <c r="M1193">
        <v>90</v>
      </c>
      <c r="S1193">
        <f t="shared" si="272"/>
        <v>0</v>
      </c>
      <c r="T1193">
        <f t="shared" si="273"/>
        <v>7.5</v>
      </c>
      <c r="U1193">
        <f t="shared" si="271"/>
        <v>1</v>
      </c>
      <c r="V1193">
        <f t="shared" si="274"/>
        <v>0</v>
      </c>
      <c r="W1193">
        <f t="shared" si="275"/>
        <v>1</v>
      </c>
      <c r="X1193">
        <f t="shared" si="284"/>
        <v>0</v>
      </c>
      <c r="Y1193">
        <f t="shared" si="285"/>
        <v>1</v>
      </c>
      <c r="Z1193">
        <f t="shared" si="276"/>
        <v>0</v>
      </c>
      <c r="AA1193">
        <f t="shared" si="277"/>
        <v>0</v>
      </c>
      <c r="AB1193">
        <f t="shared" si="278"/>
        <v>0</v>
      </c>
      <c r="AC1193">
        <f t="shared" si="279"/>
        <v>5</v>
      </c>
      <c r="AD1193" s="1">
        <f t="shared" si="280"/>
        <v>8.3333333333333339</v>
      </c>
      <c r="AE1193">
        <f t="shared" si="281"/>
        <v>5</v>
      </c>
      <c r="AF1193">
        <f t="shared" si="282"/>
        <v>10</v>
      </c>
      <c r="AG1193">
        <f t="shared" si="283"/>
        <v>10</v>
      </c>
    </row>
    <row r="1194" spans="1:33" x14ac:dyDescent="0.25">
      <c r="A1194" t="s">
        <v>2013</v>
      </c>
      <c r="B1194" t="s">
        <v>340</v>
      </c>
      <c r="C1194">
        <v>168451</v>
      </c>
      <c r="D1194">
        <v>168451</v>
      </c>
      <c r="H1194">
        <v>10</v>
      </c>
      <c r="I1194">
        <v>30</v>
      </c>
      <c r="J1194">
        <v>20</v>
      </c>
      <c r="K1194">
        <v>10</v>
      </c>
      <c r="L1194">
        <v>0</v>
      </c>
      <c r="M1194">
        <v>70</v>
      </c>
      <c r="S1194">
        <f t="shared" si="272"/>
        <v>0</v>
      </c>
      <c r="T1194">
        <f t="shared" si="273"/>
        <v>5.833333333333333</v>
      </c>
      <c r="U1194">
        <f t="shared" si="271"/>
        <v>1</v>
      </c>
      <c r="V1194">
        <f t="shared" si="274"/>
        <v>0</v>
      </c>
      <c r="W1194">
        <f t="shared" si="275"/>
        <v>1</v>
      </c>
      <c r="X1194">
        <f t="shared" si="284"/>
        <v>0</v>
      </c>
      <c r="Y1194">
        <f t="shared" si="285"/>
        <v>0</v>
      </c>
      <c r="Z1194">
        <f t="shared" si="276"/>
        <v>0</v>
      </c>
      <c r="AA1194">
        <f t="shared" si="277"/>
        <v>0</v>
      </c>
      <c r="AB1194">
        <f t="shared" si="278"/>
        <v>0</v>
      </c>
      <c r="AC1194">
        <f t="shared" si="279"/>
        <v>5</v>
      </c>
      <c r="AD1194" s="1">
        <f t="shared" si="280"/>
        <v>5</v>
      </c>
      <c r="AE1194">
        <f t="shared" si="281"/>
        <v>10</v>
      </c>
      <c r="AF1194">
        <f t="shared" si="282"/>
        <v>10</v>
      </c>
      <c r="AG1194">
        <f t="shared" si="283"/>
        <v>0</v>
      </c>
    </row>
    <row r="1195" spans="1:33" x14ac:dyDescent="0.25">
      <c r="A1195" t="s">
        <v>2014</v>
      </c>
      <c r="B1195" t="s">
        <v>43</v>
      </c>
      <c r="C1195">
        <v>167524</v>
      </c>
      <c r="D1195">
        <v>167524</v>
      </c>
      <c r="H1195">
        <v>20</v>
      </c>
      <c r="I1195">
        <v>20</v>
      </c>
      <c r="J1195">
        <v>10</v>
      </c>
      <c r="K1195">
        <v>10</v>
      </c>
      <c r="L1195">
        <v>10</v>
      </c>
      <c r="M1195">
        <v>70</v>
      </c>
      <c r="S1195">
        <f t="shared" si="272"/>
        <v>0</v>
      </c>
      <c r="T1195">
        <f t="shared" si="273"/>
        <v>5.833333333333333</v>
      </c>
      <c r="U1195">
        <f t="shared" si="271"/>
        <v>1</v>
      </c>
      <c r="V1195">
        <f t="shared" si="274"/>
        <v>0</v>
      </c>
      <c r="W1195">
        <f t="shared" si="275"/>
        <v>1</v>
      </c>
      <c r="X1195">
        <f t="shared" si="284"/>
        <v>0</v>
      </c>
      <c r="Y1195">
        <f t="shared" si="285"/>
        <v>0</v>
      </c>
      <c r="Z1195">
        <f t="shared" si="276"/>
        <v>0</v>
      </c>
      <c r="AA1195">
        <f t="shared" si="277"/>
        <v>0</v>
      </c>
      <c r="AB1195">
        <f t="shared" si="278"/>
        <v>0</v>
      </c>
      <c r="AC1195">
        <f t="shared" si="279"/>
        <v>10</v>
      </c>
      <c r="AD1195" s="1">
        <f t="shared" si="280"/>
        <v>3.3333333333333335</v>
      </c>
      <c r="AE1195">
        <f t="shared" si="281"/>
        <v>5</v>
      </c>
      <c r="AF1195">
        <f t="shared" si="282"/>
        <v>10</v>
      </c>
      <c r="AG1195">
        <f t="shared" si="283"/>
        <v>10</v>
      </c>
    </row>
    <row r="1196" spans="1:33" x14ac:dyDescent="0.25">
      <c r="A1196" t="s">
        <v>2015</v>
      </c>
      <c r="B1196" t="s">
        <v>218</v>
      </c>
      <c r="C1196">
        <v>165787</v>
      </c>
      <c r="D1196">
        <v>165787</v>
      </c>
      <c r="H1196">
        <v>20</v>
      </c>
      <c r="I1196">
        <v>50</v>
      </c>
      <c r="J1196">
        <v>20</v>
      </c>
      <c r="K1196">
        <v>0</v>
      </c>
      <c r="L1196">
        <v>10</v>
      </c>
      <c r="M1196">
        <v>100</v>
      </c>
      <c r="S1196">
        <f t="shared" si="272"/>
        <v>0</v>
      </c>
      <c r="T1196">
        <f t="shared" si="273"/>
        <v>8.3333333333333339</v>
      </c>
      <c r="U1196">
        <f t="shared" si="271"/>
        <v>1</v>
      </c>
      <c r="V1196">
        <f t="shared" si="274"/>
        <v>0</v>
      </c>
      <c r="W1196">
        <f t="shared" si="275"/>
        <v>1</v>
      </c>
      <c r="X1196">
        <f t="shared" si="284"/>
        <v>0</v>
      </c>
      <c r="Y1196">
        <f t="shared" si="285"/>
        <v>1</v>
      </c>
      <c r="Z1196">
        <f t="shared" si="276"/>
        <v>0</v>
      </c>
      <c r="AA1196">
        <f t="shared" si="277"/>
        <v>0</v>
      </c>
      <c r="AB1196">
        <f t="shared" si="278"/>
        <v>0</v>
      </c>
      <c r="AC1196">
        <f t="shared" si="279"/>
        <v>10</v>
      </c>
      <c r="AD1196" s="1">
        <f t="shared" si="280"/>
        <v>8.3333333333333339</v>
      </c>
      <c r="AE1196">
        <f t="shared" si="281"/>
        <v>10</v>
      </c>
      <c r="AF1196">
        <f t="shared" si="282"/>
        <v>0</v>
      </c>
      <c r="AG1196">
        <f t="shared" si="283"/>
        <v>10</v>
      </c>
    </row>
    <row r="1197" spans="1:33" x14ac:dyDescent="0.25">
      <c r="A1197" t="s">
        <v>2016</v>
      </c>
      <c r="B1197" t="s">
        <v>340</v>
      </c>
      <c r="C1197">
        <v>168604</v>
      </c>
      <c r="D1197">
        <v>168604</v>
      </c>
      <c r="H1197">
        <v>10</v>
      </c>
      <c r="I1197">
        <v>30</v>
      </c>
      <c r="J1197">
        <v>20</v>
      </c>
      <c r="K1197">
        <v>10</v>
      </c>
      <c r="L1197">
        <v>10</v>
      </c>
      <c r="M1197">
        <v>80</v>
      </c>
      <c r="S1197">
        <f t="shared" si="272"/>
        <v>0</v>
      </c>
      <c r="T1197">
        <f t="shared" si="273"/>
        <v>6.666666666666667</v>
      </c>
      <c r="U1197">
        <f t="shared" si="271"/>
        <v>1</v>
      </c>
      <c r="V1197">
        <f t="shared" si="274"/>
        <v>0</v>
      </c>
      <c r="W1197">
        <f t="shared" si="275"/>
        <v>1</v>
      </c>
      <c r="X1197">
        <f t="shared" si="284"/>
        <v>0</v>
      </c>
      <c r="Y1197">
        <f t="shared" si="285"/>
        <v>1</v>
      </c>
      <c r="Z1197">
        <f t="shared" si="276"/>
        <v>0</v>
      </c>
      <c r="AA1197">
        <f t="shared" si="277"/>
        <v>0</v>
      </c>
      <c r="AB1197">
        <f t="shared" si="278"/>
        <v>0</v>
      </c>
      <c r="AC1197">
        <f t="shared" si="279"/>
        <v>5</v>
      </c>
      <c r="AD1197" s="1">
        <f t="shared" si="280"/>
        <v>5</v>
      </c>
      <c r="AE1197">
        <f t="shared" si="281"/>
        <v>10</v>
      </c>
      <c r="AF1197">
        <f t="shared" si="282"/>
        <v>10</v>
      </c>
      <c r="AG1197">
        <f t="shared" si="283"/>
        <v>10</v>
      </c>
    </row>
    <row r="1198" spans="1:33" x14ac:dyDescent="0.25">
      <c r="A1198" t="s">
        <v>2017</v>
      </c>
      <c r="B1198" t="s">
        <v>750</v>
      </c>
      <c r="C1198">
        <v>158420</v>
      </c>
      <c r="D1198">
        <v>158420</v>
      </c>
      <c r="S1198">
        <f t="shared" si="272"/>
        <v>0</v>
      </c>
      <c r="T1198">
        <f t="shared" si="273"/>
        <v>0</v>
      </c>
      <c r="U1198">
        <f t="shared" si="271"/>
        <v>0</v>
      </c>
      <c r="V1198">
        <f t="shared" si="274"/>
        <v>0</v>
      </c>
      <c r="W1198">
        <f t="shared" si="275"/>
        <v>0</v>
      </c>
      <c r="X1198">
        <f t="shared" si="284"/>
        <v>0</v>
      </c>
      <c r="Y1198">
        <f t="shared" si="285"/>
        <v>0</v>
      </c>
      <c r="Z1198">
        <f t="shared" si="276"/>
        <v>0</v>
      </c>
      <c r="AA1198">
        <f t="shared" si="277"/>
        <v>0</v>
      </c>
      <c r="AB1198">
        <f t="shared" si="278"/>
        <v>0</v>
      </c>
      <c r="AC1198">
        <f t="shared" si="279"/>
        <v>0</v>
      </c>
      <c r="AD1198" s="1">
        <f t="shared" si="280"/>
        <v>0</v>
      </c>
      <c r="AE1198">
        <f t="shared" si="281"/>
        <v>0</v>
      </c>
      <c r="AF1198">
        <f t="shared" si="282"/>
        <v>0</v>
      </c>
      <c r="AG1198">
        <f t="shared" si="283"/>
        <v>0</v>
      </c>
    </row>
    <row r="1199" spans="1:33" x14ac:dyDescent="0.25">
      <c r="A1199" t="s">
        <v>2018</v>
      </c>
      <c r="B1199" t="s">
        <v>1065</v>
      </c>
      <c r="C1199">
        <v>168323</v>
      </c>
      <c r="D1199">
        <v>168323</v>
      </c>
      <c r="E1199">
        <v>10</v>
      </c>
      <c r="F1199">
        <v>30</v>
      </c>
      <c r="G1199">
        <v>30</v>
      </c>
      <c r="O1199">
        <v>70</v>
      </c>
      <c r="S1199">
        <f t="shared" si="272"/>
        <v>4.375</v>
      </c>
      <c r="T1199">
        <f t="shared" si="273"/>
        <v>0</v>
      </c>
      <c r="U1199">
        <f t="shared" si="271"/>
        <v>1</v>
      </c>
      <c r="V1199">
        <f t="shared" si="274"/>
        <v>1</v>
      </c>
      <c r="W1199">
        <f t="shared" si="275"/>
        <v>0</v>
      </c>
      <c r="X1199">
        <f t="shared" si="284"/>
        <v>0</v>
      </c>
      <c r="Y1199">
        <f t="shared" si="285"/>
        <v>0</v>
      </c>
      <c r="Z1199">
        <f t="shared" si="276"/>
        <v>2</v>
      </c>
      <c r="AA1199">
        <f t="shared" si="277"/>
        <v>7.5</v>
      </c>
      <c r="AB1199">
        <f t="shared" si="278"/>
        <v>4.2857142857142856</v>
      </c>
      <c r="AC1199">
        <f t="shared" si="279"/>
        <v>0</v>
      </c>
      <c r="AD1199" s="1">
        <f t="shared" si="280"/>
        <v>0</v>
      </c>
      <c r="AE1199">
        <f t="shared" si="281"/>
        <v>0</v>
      </c>
      <c r="AF1199">
        <f t="shared" si="282"/>
        <v>0</v>
      </c>
      <c r="AG1199">
        <f t="shared" si="283"/>
        <v>0</v>
      </c>
    </row>
    <row r="1200" spans="1:33" x14ac:dyDescent="0.25">
      <c r="A1200" t="s">
        <v>2019</v>
      </c>
      <c r="B1200" t="s">
        <v>2020</v>
      </c>
      <c r="C1200">
        <v>168497</v>
      </c>
      <c r="D1200">
        <v>168497</v>
      </c>
      <c r="E1200">
        <v>30</v>
      </c>
      <c r="F1200">
        <v>30</v>
      </c>
      <c r="G1200">
        <v>30</v>
      </c>
      <c r="O1200">
        <v>90</v>
      </c>
      <c r="S1200">
        <f t="shared" si="272"/>
        <v>5.625</v>
      </c>
      <c r="T1200">
        <f t="shared" si="273"/>
        <v>0</v>
      </c>
      <c r="U1200">
        <f t="shared" si="271"/>
        <v>1</v>
      </c>
      <c r="V1200">
        <f t="shared" si="274"/>
        <v>1</v>
      </c>
      <c r="W1200">
        <f t="shared" si="275"/>
        <v>0</v>
      </c>
      <c r="X1200">
        <f t="shared" si="284"/>
        <v>0</v>
      </c>
      <c r="Y1200">
        <f t="shared" si="285"/>
        <v>0</v>
      </c>
      <c r="Z1200">
        <f t="shared" si="276"/>
        <v>6</v>
      </c>
      <c r="AA1200">
        <f t="shared" si="277"/>
        <v>7.5</v>
      </c>
      <c r="AB1200">
        <f t="shared" si="278"/>
        <v>4.2857142857142856</v>
      </c>
      <c r="AC1200">
        <f t="shared" si="279"/>
        <v>0</v>
      </c>
      <c r="AD1200" s="1">
        <f t="shared" si="280"/>
        <v>0</v>
      </c>
      <c r="AE1200">
        <f t="shared" si="281"/>
        <v>0</v>
      </c>
      <c r="AF1200">
        <f t="shared" si="282"/>
        <v>0</v>
      </c>
      <c r="AG1200">
        <f t="shared" si="283"/>
        <v>0</v>
      </c>
    </row>
    <row r="1201" spans="1:33" x14ac:dyDescent="0.25">
      <c r="A1201" t="s">
        <v>2021</v>
      </c>
      <c r="B1201" t="s">
        <v>562</v>
      </c>
      <c r="C1201">
        <v>168665</v>
      </c>
      <c r="D1201">
        <v>168665</v>
      </c>
      <c r="H1201">
        <v>0</v>
      </c>
      <c r="I1201">
        <v>20</v>
      </c>
      <c r="J1201">
        <v>10</v>
      </c>
      <c r="K1201">
        <v>0</v>
      </c>
      <c r="L1201">
        <v>10</v>
      </c>
      <c r="M1201">
        <v>40</v>
      </c>
      <c r="S1201">
        <f t="shared" si="272"/>
        <v>0</v>
      </c>
      <c r="T1201">
        <f t="shared" si="273"/>
        <v>3.3333333333333335</v>
      </c>
      <c r="U1201">
        <f t="shared" si="271"/>
        <v>1</v>
      </c>
      <c r="V1201">
        <f t="shared" si="274"/>
        <v>0</v>
      </c>
      <c r="W1201">
        <f t="shared" si="275"/>
        <v>1</v>
      </c>
      <c r="X1201">
        <f t="shared" si="284"/>
        <v>0</v>
      </c>
      <c r="Y1201">
        <f t="shared" si="285"/>
        <v>0</v>
      </c>
      <c r="Z1201">
        <f t="shared" si="276"/>
        <v>0</v>
      </c>
      <c r="AA1201">
        <f t="shared" si="277"/>
        <v>0</v>
      </c>
      <c r="AB1201">
        <f t="shared" si="278"/>
        <v>0</v>
      </c>
      <c r="AC1201">
        <f t="shared" si="279"/>
        <v>0</v>
      </c>
      <c r="AD1201" s="1">
        <f t="shared" si="280"/>
        <v>3.3333333333333335</v>
      </c>
      <c r="AE1201">
        <f t="shared" si="281"/>
        <v>5</v>
      </c>
      <c r="AF1201">
        <f t="shared" si="282"/>
        <v>0</v>
      </c>
      <c r="AG1201">
        <f t="shared" si="283"/>
        <v>10</v>
      </c>
    </row>
    <row r="1202" spans="1:33" x14ac:dyDescent="0.25">
      <c r="A1202" t="s">
        <v>2022</v>
      </c>
      <c r="B1202" t="s">
        <v>2023</v>
      </c>
      <c r="C1202">
        <v>165910</v>
      </c>
      <c r="D1202">
        <v>165910</v>
      </c>
      <c r="E1202">
        <v>20</v>
      </c>
      <c r="O1202">
        <v>20</v>
      </c>
      <c r="S1202">
        <f t="shared" si="272"/>
        <v>1.25</v>
      </c>
      <c r="T1202">
        <f t="shared" si="273"/>
        <v>0</v>
      </c>
      <c r="U1202">
        <f t="shared" si="271"/>
        <v>1</v>
      </c>
      <c r="V1202">
        <f t="shared" si="274"/>
        <v>1</v>
      </c>
      <c r="W1202">
        <f t="shared" si="275"/>
        <v>0</v>
      </c>
      <c r="X1202">
        <f t="shared" si="284"/>
        <v>0</v>
      </c>
      <c r="Y1202">
        <f t="shared" si="285"/>
        <v>0</v>
      </c>
      <c r="Z1202">
        <f t="shared" si="276"/>
        <v>4</v>
      </c>
      <c r="AA1202">
        <f t="shared" si="277"/>
        <v>0</v>
      </c>
      <c r="AB1202">
        <f t="shared" si="278"/>
        <v>0</v>
      </c>
      <c r="AC1202">
        <f t="shared" si="279"/>
        <v>0</v>
      </c>
      <c r="AD1202" s="1">
        <f t="shared" si="280"/>
        <v>0</v>
      </c>
      <c r="AE1202">
        <f t="shared" si="281"/>
        <v>0</v>
      </c>
      <c r="AF1202">
        <f t="shared" si="282"/>
        <v>0</v>
      </c>
      <c r="AG1202">
        <f t="shared" si="283"/>
        <v>0</v>
      </c>
    </row>
    <row r="1203" spans="1:33" x14ac:dyDescent="0.25">
      <c r="A1203" t="s">
        <v>2024</v>
      </c>
      <c r="B1203" t="s">
        <v>2025</v>
      </c>
      <c r="C1203">
        <v>165650</v>
      </c>
      <c r="D1203">
        <v>165650</v>
      </c>
      <c r="H1203">
        <v>10</v>
      </c>
      <c r="I1203">
        <v>60</v>
      </c>
      <c r="J1203">
        <v>0</v>
      </c>
      <c r="K1203">
        <v>10</v>
      </c>
      <c r="L1203">
        <v>10</v>
      </c>
      <c r="M1203">
        <v>90</v>
      </c>
      <c r="S1203">
        <f t="shared" si="272"/>
        <v>0</v>
      </c>
      <c r="T1203">
        <f t="shared" si="273"/>
        <v>7.5</v>
      </c>
      <c r="U1203">
        <f t="shared" si="271"/>
        <v>1</v>
      </c>
      <c r="V1203">
        <f t="shared" si="274"/>
        <v>0</v>
      </c>
      <c r="W1203">
        <f t="shared" si="275"/>
        <v>1</v>
      </c>
      <c r="X1203">
        <f t="shared" si="284"/>
        <v>0</v>
      </c>
      <c r="Y1203">
        <f t="shared" si="285"/>
        <v>1</v>
      </c>
      <c r="Z1203">
        <f t="shared" si="276"/>
        <v>0</v>
      </c>
      <c r="AA1203">
        <f t="shared" si="277"/>
        <v>0</v>
      </c>
      <c r="AB1203">
        <f t="shared" si="278"/>
        <v>0</v>
      </c>
      <c r="AC1203">
        <f t="shared" si="279"/>
        <v>5</v>
      </c>
      <c r="AD1203" s="1">
        <f t="shared" si="280"/>
        <v>10</v>
      </c>
      <c r="AE1203">
        <f t="shared" si="281"/>
        <v>0</v>
      </c>
      <c r="AF1203">
        <f t="shared" si="282"/>
        <v>10</v>
      </c>
      <c r="AG1203">
        <f t="shared" si="283"/>
        <v>10</v>
      </c>
    </row>
    <row r="1204" spans="1:33" x14ac:dyDescent="0.25">
      <c r="A1204" t="s">
        <v>2026</v>
      </c>
      <c r="B1204" t="s">
        <v>2027</v>
      </c>
      <c r="C1204">
        <v>168007</v>
      </c>
      <c r="D1204">
        <v>168007</v>
      </c>
      <c r="H1204">
        <v>10</v>
      </c>
      <c r="I1204">
        <v>20</v>
      </c>
      <c r="J1204">
        <v>10</v>
      </c>
      <c r="K1204">
        <v>0</v>
      </c>
      <c r="L1204">
        <v>0</v>
      </c>
      <c r="M1204">
        <v>40</v>
      </c>
      <c r="S1204">
        <f t="shared" si="272"/>
        <v>0</v>
      </c>
      <c r="T1204">
        <f t="shared" si="273"/>
        <v>3.3333333333333335</v>
      </c>
      <c r="U1204">
        <f t="shared" si="271"/>
        <v>1</v>
      </c>
      <c r="V1204">
        <f t="shared" si="274"/>
        <v>0</v>
      </c>
      <c r="W1204">
        <f t="shared" si="275"/>
        <v>1</v>
      </c>
      <c r="X1204">
        <f t="shared" si="284"/>
        <v>0</v>
      </c>
      <c r="Y1204">
        <f t="shared" si="285"/>
        <v>0</v>
      </c>
      <c r="Z1204">
        <f t="shared" si="276"/>
        <v>0</v>
      </c>
      <c r="AA1204">
        <f t="shared" si="277"/>
        <v>0</v>
      </c>
      <c r="AB1204">
        <f t="shared" si="278"/>
        <v>0</v>
      </c>
      <c r="AC1204">
        <f t="shared" si="279"/>
        <v>5</v>
      </c>
      <c r="AD1204" s="1">
        <f t="shared" si="280"/>
        <v>3.3333333333333335</v>
      </c>
      <c r="AE1204">
        <f t="shared" si="281"/>
        <v>5</v>
      </c>
      <c r="AF1204">
        <f t="shared" si="282"/>
        <v>0</v>
      </c>
      <c r="AG1204">
        <f t="shared" si="283"/>
        <v>0</v>
      </c>
    </row>
    <row r="1205" spans="1:33" x14ac:dyDescent="0.25">
      <c r="A1205" t="s">
        <v>2028</v>
      </c>
      <c r="B1205" t="s">
        <v>2029</v>
      </c>
      <c r="C1205">
        <v>167799</v>
      </c>
      <c r="D1205">
        <v>167799</v>
      </c>
      <c r="E1205">
        <v>10</v>
      </c>
      <c r="F1205">
        <v>20</v>
      </c>
      <c r="G1205">
        <v>30</v>
      </c>
      <c r="O1205">
        <v>60</v>
      </c>
      <c r="S1205">
        <f t="shared" si="272"/>
        <v>3.75</v>
      </c>
      <c r="T1205">
        <f t="shared" si="273"/>
        <v>0</v>
      </c>
      <c r="U1205">
        <f t="shared" si="271"/>
        <v>1</v>
      </c>
      <c r="V1205">
        <f t="shared" si="274"/>
        <v>1</v>
      </c>
      <c r="W1205">
        <f t="shared" si="275"/>
        <v>0</v>
      </c>
      <c r="X1205">
        <f t="shared" si="284"/>
        <v>0</v>
      </c>
      <c r="Y1205">
        <f t="shared" si="285"/>
        <v>0</v>
      </c>
      <c r="Z1205">
        <f t="shared" si="276"/>
        <v>2</v>
      </c>
      <c r="AA1205">
        <f t="shared" si="277"/>
        <v>5</v>
      </c>
      <c r="AB1205">
        <f t="shared" si="278"/>
        <v>4.2857142857142856</v>
      </c>
      <c r="AC1205">
        <f t="shared" si="279"/>
        <v>0</v>
      </c>
      <c r="AD1205" s="1">
        <f t="shared" si="280"/>
        <v>0</v>
      </c>
      <c r="AE1205">
        <f t="shared" si="281"/>
        <v>0</v>
      </c>
      <c r="AF1205">
        <f t="shared" si="282"/>
        <v>0</v>
      </c>
      <c r="AG1205">
        <f t="shared" si="283"/>
        <v>0</v>
      </c>
    </row>
    <row r="1206" spans="1:33" x14ac:dyDescent="0.25">
      <c r="A1206" t="s">
        <v>2030</v>
      </c>
      <c r="B1206" t="s">
        <v>460</v>
      </c>
      <c r="C1206">
        <v>168640</v>
      </c>
      <c r="D1206">
        <v>168640</v>
      </c>
      <c r="H1206">
        <v>0</v>
      </c>
      <c r="I1206">
        <v>40</v>
      </c>
      <c r="J1206">
        <v>0</v>
      </c>
      <c r="K1206">
        <v>10</v>
      </c>
      <c r="L1206">
        <v>0</v>
      </c>
      <c r="M1206">
        <v>50</v>
      </c>
      <c r="S1206">
        <f t="shared" si="272"/>
        <v>0</v>
      </c>
      <c r="T1206">
        <f t="shared" si="273"/>
        <v>4.166666666666667</v>
      </c>
      <c r="U1206">
        <f t="shared" si="271"/>
        <v>1</v>
      </c>
      <c r="V1206">
        <f t="shared" si="274"/>
        <v>0</v>
      </c>
      <c r="W1206">
        <f t="shared" si="275"/>
        <v>1</v>
      </c>
      <c r="X1206">
        <f t="shared" si="284"/>
        <v>0</v>
      </c>
      <c r="Y1206">
        <f t="shared" si="285"/>
        <v>0</v>
      </c>
      <c r="Z1206">
        <f t="shared" si="276"/>
        <v>0</v>
      </c>
      <c r="AA1206">
        <f t="shared" si="277"/>
        <v>0</v>
      </c>
      <c r="AB1206">
        <f t="shared" si="278"/>
        <v>0</v>
      </c>
      <c r="AC1206">
        <f t="shared" si="279"/>
        <v>0</v>
      </c>
      <c r="AD1206" s="1">
        <f t="shared" si="280"/>
        <v>6.666666666666667</v>
      </c>
      <c r="AE1206">
        <f t="shared" si="281"/>
        <v>0</v>
      </c>
      <c r="AF1206">
        <f t="shared" si="282"/>
        <v>10</v>
      </c>
      <c r="AG1206">
        <f t="shared" si="283"/>
        <v>0</v>
      </c>
    </row>
    <row r="1207" spans="1:33" x14ac:dyDescent="0.25">
      <c r="A1207" t="s">
        <v>2031</v>
      </c>
      <c r="B1207" t="s">
        <v>2032</v>
      </c>
      <c r="C1207">
        <v>163468</v>
      </c>
      <c r="D1207">
        <v>163468</v>
      </c>
      <c r="E1207">
        <v>30</v>
      </c>
      <c r="O1207">
        <v>30</v>
      </c>
      <c r="S1207">
        <f t="shared" si="272"/>
        <v>1.875</v>
      </c>
      <c r="T1207">
        <f t="shared" si="273"/>
        <v>0</v>
      </c>
      <c r="U1207">
        <f t="shared" si="271"/>
        <v>1</v>
      </c>
      <c r="V1207">
        <f t="shared" si="274"/>
        <v>1</v>
      </c>
      <c r="W1207">
        <f t="shared" si="275"/>
        <v>0</v>
      </c>
      <c r="X1207">
        <f t="shared" si="284"/>
        <v>0</v>
      </c>
      <c r="Y1207">
        <f t="shared" si="285"/>
        <v>0</v>
      </c>
      <c r="Z1207">
        <f t="shared" si="276"/>
        <v>6</v>
      </c>
      <c r="AA1207">
        <f t="shared" si="277"/>
        <v>0</v>
      </c>
      <c r="AB1207">
        <f t="shared" si="278"/>
        <v>0</v>
      </c>
      <c r="AC1207">
        <f t="shared" si="279"/>
        <v>0</v>
      </c>
      <c r="AD1207" s="1">
        <f t="shared" si="280"/>
        <v>0</v>
      </c>
      <c r="AE1207">
        <f t="shared" si="281"/>
        <v>0</v>
      </c>
      <c r="AF1207">
        <f t="shared" si="282"/>
        <v>0</v>
      </c>
      <c r="AG1207">
        <f t="shared" si="283"/>
        <v>0</v>
      </c>
    </row>
    <row r="1208" spans="1:33" x14ac:dyDescent="0.25">
      <c r="A1208" t="s">
        <v>2033</v>
      </c>
      <c r="B1208" t="s">
        <v>2034</v>
      </c>
      <c r="C1208">
        <v>168820</v>
      </c>
      <c r="D1208">
        <v>168820</v>
      </c>
      <c r="E1208">
        <v>20</v>
      </c>
      <c r="F1208">
        <v>0</v>
      </c>
      <c r="G1208">
        <v>20</v>
      </c>
      <c r="O1208">
        <v>40</v>
      </c>
      <c r="S1208">
        <f t="shared" si="272"/>
        <v>2.5</v>
      </c>
      <c r="T1208">
        <f t="shared" si="273"/>
        <v>0</v>
      </c>
      <c r="U1208">
        <f t="shared" si="271"/>
        <v>1</v>
      </c>
      <c r="V1208">
        <f t="shared" si="274"/>
        <v>1</v>
      </c>
      <c r="W1208">
        <f t="shared" si="275"/>
        <v>0</v>
      </c>
      <c r="X1208">
        <f t="shared" si="284"/>
        <v>0</v>
      </c>
      <c r="Y1208">
        <f t="shared" si="285"/>
        <v>0</v>
      </c>
      <c r="Z1208">
        <f t="shared" si="276"/>
        <v>4</v>
      </c>
      <c r="AA1208">
        <f t="shared" si="277"/>
        <v>0</v>
      </c>
      <c r="AB1208">
        <f t="shared" si="278"/>
        <v>2.8571428571428572</v>
      </c>
      <c r="AC1208">
        <f t="shared" si="279"/>
        <v>0</v>
      </c>
      <c r="AD1208" s="1">
        <f t="shared" si="280"/>
        <v>0</v>
      </c>
      <c r="AE1208">
        <f t="shared" si="281"/>
        <v>0</v>
      </c>
      <c r="AF1208">
        <f t="shared" si="282"/>
        <v>0</v>
      </c>
      <c r="AG1208">
        <f t="shared" si="283"/>
        <v>0</v>
      </c>
    </row>
    <row r="1209" spans="1:33" x14ac:dyDescent="0.25">
      <c r="A1209" t="s">
        <v>2035</v>
      </c>
      <c r="B1209" t="s">
        <v>2036</v>
      </c>
      <c r="C1209">
        <v>168268</v>
      </c>
      <c r="D1209">
        <v>168268</v>
      </c>
      <c r="E1209">
        <v>10</v>
      </c>
      <c r="F1209">
        <v>10</v>
      </c>
      <c r="G1209">
        <v>40</v>
      </c>
      <c r="O1209">
        <v>60</v>
      </c>
      <c r="S1209">
        <f t="shared" si="272"/>
        <v>3.75</v>
      </c>
      <c r="T1209">
        <f t="shared" si="273"/>
        <v>0</v>
      </c>
      <c r="U1209">
        <f t="shared" si="271"/>
        <v>1</v>
      </c>
      <c r="V1209">
        <f t="shared" si="274"/>
        <v>1</v>
      </c>
      <c r="W1209">
        <f t="shared" si="275"/>
        <v>0</v>
      </c>
      <c r="X1209">
        <f t="shared" si="284"/>
        <v>0</v>
      </c>
      <c r="Y1209">
        <f t="shared" si="285"/>
        <v>0</v>
      </c>
      <c r="Z1209">
        <f t="shared" si="276"/>
        <v>2</v>
      </c>
      <c r="AA1209">
        <f t="shared" si="277"/>
        <v>2.5</v>
      </c>
      <c r="AB1209">
        <f t="shared" si="278"/>
        <v>5.7142857142857144</v>
      </c>
      <c r="AC1209">
        <f t="shared" si="279"/>
        <v>0</v>
      </c>
      <c r="AD1209" s="1">
        <f t="shared" si="280"/>
        <v>0</v>
      </c>
      <c r="AE1209">
        <f t="shared" si="281"/>
        <v>0</v>
      </c>
      <c r="AF1209">
        <f t="shared" si="282"/>
        <v>0</v>
      </c>
      <c r="AG1209">
        <f t="shared" si="283"/>
        <v>0</v>
      </c>
    </row>
    <row r="1210" spans="1:33" x14ac:dyDescent="0.25">
      <c r="A1210" t="s">
        <v>2037</v>
      </c>
      <c r="B1210" t="s">
        <v>2038</v>
      </c>
      <c r="C1210">
        <v>168053</v>
      </c>
      <c r="D1210">
        <v>168053</v>
      </c>
      <c r="E1210">
        <v>40</v>
      </c>
      <c r="F1210">
        <v>20</v>
      </c>
      <c r="G1210">
        <v>30</v>
      </c>
      <c r="O1210">
        <v>90</v>
      </c>
      <c r="S1210">
        <f t="shared" si="272"/>
        <v>5.625</v>
      </c>
      <c r="T1210">
        <f t="shared" si="273"/>
        <v>0</v>
      </c>
      <c r="U1210">
        <f t="shared" si="271"/>
        <v>1</v>
      </c>
      <c r="V1210">
        <f t="shared" si="274"/>
        <v>1</v>
      </c>
      <c r="W1210">
        <f t="shared" si="275"/>
        <v>0</v>
      </c>
      <c r="X1210">
        <f t="shared" si="284"/>
        <v>0</v>
      </c>
      <c r="Y1210">
        <f t="shared" si="285"/>
        <v>0</v>
      </c>
      <c r="Z1210">
        <f t="shared" si="276"/>
        <v>8</v>
      </c>
      <c r="AA1210">
        <f t="shared" si="277"/>
        <v>5</v>
      </c>
      <c r="AB1210">
        <f t="shared" si="278"/>
        <v>4.2857142857142856</v>
      </c>
      <c r="AC1210">
        <f t="shared" si="279"/>
        <v>0</v>
      </c>
      <c r="AD1210" s="1">
        <f t="shared" si="280"/>
        <v>0</v>
      </c>
      <c r="AE1210">
        <f t="shared" si="281"/>
        <v>0</v>
      </c>
      <c r="AF1210">
        <f t="shared" si="282"/>
        <v>0</v>
      </c>
      <c r="AG1210">
        <f t="shared" si="283"/>
        <v>0</v>
      </c>
    </row>
    <row r="1211" spans="1:33" x14ac:dyDescent="0.25">
      <c r="A1211" t="s">
        <v>2039</v>
      </c>
      <c r="B1211" t="s">
        <v>130</v>
      </c>
      <c r="C1211">
        <v>166752</v>
      </c>
      <c r="D1211">
        <v>166752</v>
      </c>
      <c r="S1211">
        <f t="shared" si="272"/>
        <v>0</v>
      </c>
      <c r="T1211">
        <f t="shared" si="273"/>
        <v>0</v>
      </c>
      <c r="U1211">
        <f t="shared" si="271"/>
        <v>0</v>
      </c>
      <c r="V1211">
        <f t="shared" si="274"/>
        <v>0</v>
      </c>
      <c r="W1211">
        <f t="shared" si="275"/>
        <v>0</v>
      </c>
      <c r="X1211">
        <f t="shared" si="284"/>
        <v>0</v>
      </c>
      <c r="Y1211">
        <f t="shared" si="285"/>
        <v>0</v>
      </c>
      <c r="Z1211">
        <f t="shared" si="276"/>
        <v>0</v>
      </c>
      <c r="AA1211">
        <f t="shared" si="277"/>
        <v>0</v>
      </c>
      <c r="AB1211">
        <f t="shared" si="278"/>
        <v>0</v>
      </c>
      <c r="AC1211">
        <f t="shared" si="279"/>
        <v>0</v>
      </c>
      <c r="AD1211" s="1">
        <f t="shared" si="280"/>
        <v>0</v>
      </c>
      <c r="AE1211">
        <f t="shared" si="281"/>
        <v>0</v>
      </c>
      <c r="AF1211">
        <f t="shared" si="282"/>
        <v>0</v>
      </c>
      <c r="AG1211">
        <f t="shared" si="283"/>
        <v>0</v>
      </c>
    </row>
    <row r="1212" spans="1:33" x14ac:dyDescent="0.25">
      <c r="A1212" t="s">
        <v>2040</v>
      </c>
      <c r="B1212" t="s">
        <v>1240</v>
      </c>
      <c r="C1212">
        <v>168597</v>
      </c>
      <c r="D1212">
        <v>168597</v>
      </c>
      <c r="E1212">
        <v>20</v>
      </c>
      <c r="F1212">
        <v>20</v>
      </c>
      <c r="G1212">
        <v>30</v>
      </c>
      <c r="O1212">
        <v>70</v>
      </c>
      <c r="S1212">
        <f t="shared" si="272"/>
        <v>4.375</v>
      </c>
      <c r="T1212">
        <f t="shared" si="273"/>
        <v>0</v>
      </c>
      <c r="U1212">
        <f t="shared" si="271"/>
        <v>1</v>
      </c>
      <c r="V1212">
        <f t="shared" si="274"/>
        <v>1</v>
      </c>
      <c r="W1212">
        <f t="shared" si="275"/>
        <v>0</v>
      </c>
      <c r="X1212">
        <f t="shared" si="284"/>
        <v>0</v>
      </c>
      <c r="Y1212">
        <f t="shared" si="285"/>
        <v>0</v>
      </c>
      <c r="Z1212">
        <f t="shared" si="276"/>
        <v>4</v>
      </c>
      <c r="AA1212">
        <f t="shared" si="277"/>
        <v>5</v>
      </c>
      <c r="AB1212">
        <f t="shared" si="278"/>
        <v>4.2857142857142856</v>
      </c>
      <c r="AC1212">
        <f t="shared" si="279"/>
        <v>0</v>
      </c>
      <c r="AD1212" s="1">
        <f t="shared" si="280"/>
        <v>0</v>
      </c>
      <c r="AE1212">
        <f t="shared" si="281"/>
        <v>0</v>
      </c>
      <c r="AF1212">
        <f t="shared" si="282"/>
        <v>0</v>
      </c>
      <c r="AG1212">
        <f t="shared" si="283"/>
        <v>0</v>
      </c>
    </row>
    <row r="1213" spans="1:33" x14ac:dyDescent="0.25">
      <c r="A1213" t="s">
        <v>2041</v>
      </c>
      <c r="B1213" t="s">
        <v>2042</v>
      </c>
      <c r="C1213">
        <v>167459</v>
      </c>
      <c r="D1213">
        <v>167459</v>
      </c>
      <c r="S1213">
        <f t="shared" si="272"/>
        <v>0</v>
      </c>
      <c r="T1213">
        <f t="shared" si="273"/>
        <v>0</v>
      </c>
      <c r="U1213">
        <f t="shared" si="271"/>
        <v>0</v>
      </c>
      <c r="V1213">
        <f t="shared" si="274"/>
        <v>0</v>
      </c>
      <c r="W1213">
        <f t="shared" si="275"/>
        <v>0</v>
      </c>
      <c r="X1213">
        <f t="shared" si="284"/>
        <v>0</v>
      </c>
      <c r="Y1213">
        <f t="shared" si="285"/>
        <v>0</v>
      </c>
      <c r="Z1213">
        <f t="shared" si="276"/>
        <v>0</v>
      </c>
      <c r="AA1213">
        <f t="shared" si="277"/>
        <v>0</v>
      </c>
      <c r="AB1213">
        <f t="shared" si="278"/>
        <v>0</v>
      </c>
      <c r="AC1213">
        <f t="shared" si="279"/>
        <v>0</v>
      </c>
      <c r="AD1213" s="1">
        <f t="shared" si="280"/>
        <v>0</v>
      </c>
      <c r="AE1213">
        <f t="shared" si="281"/>
        <v>0</v>
      </c>
      <c r="AF1213">
        <f t="shared" si="282"/>
        <v>0</v>
      </c>
      <c r="AG1213">
        <f t="shared" si="283"/>
        <v>0</v>
      </c>
    </row>
    <row r="1214" spans="1:33" x14ac:dyDescent="0.25">
      <c r="A1214" t="s">
        <v>2043</v>
      </c>
      <c r="B1214" t="s">
        <v>2044</v>
      </c>
      <c r="C1214">
        <v>165297</v>
      </c>
      <c r="D1214">
        <v>165297</v>
      </c>
      <c r="H1214">
        <v>10</v>
      </c>
      <c r="I1214">
        <v>40</v>
      </c>
      <c r="J1214">
        <v>10</v>
      </c>
      <c r="K1214">
        <v>10</v>
      </c>
      <c r="L1214">
        <v>0</v>
      </c>
      <c r="M1214">
        <v>70</v>
      </c>
      <c r="S1214">
        <f t="shared" si="272"/>
        <v>0</v>
      </c>
      <c r="T1214">
        <f t="shared" si="273"/>
        <v>5.833333333333333</v>
      </c>
      <c r="U1214">
        <f t="shared" si="271"/>
        <v>1</v>
      </c>
      <c r="V1214">
        <f t="shared" si="274"/>
        <v>0</v>
      </c>
      <c r="W1214">
        <f t="shared" si="275"/>
        <v>1</v>
      </c>
      <c r="X1214">
        <f t="shared" si="284"/>
        <v>0</v>
      </c>
      <c r="Y1214">
        <f t="shared" si="285"/>
        <v>0</v>
      </c>
      <c r="Z1214">
        <f t="shared" si="276"/>
        <v>0</v>
      </c>
      <c r="AA1214">
        <f t="shared" si="277"/>
        <v>0</v>
      </c>
      <c r="AB1214">
        <f t="shared" si="278"/>
        <v>0</v>
      </c>
      <c r="AC1214">
        <f t="shared" si="279"/>
        <v>5</v>
      </c>
      <c r="AD1214" s="1">
        <f t="shared" si="280"/>
        <v>6.666666666666667</v>
      </c>
      <c r="AE1214">
        <f t="shared" si="281"/>
        <v>5</v>
      </c>
      <c r="AF1214">
        <f t="shared" si="282"/>
        <v>10</v>
      </c>
      <c r="AG1214">
        <f t="shared" si="283"/>
        <v>0</v>
      </c>
    </row>
    <row r="1215" spans="1:33" x14ac:dyDescent="0.25">
      <c r="A1215" t="s">
        <v>2045</v>
      </c>
      <c r="B1215" t="s">
        <v>2046</v>
      </c>
      <c r="C1215">
        <v>164479</v>
      </c>
      <c r="D1215">
        <v>164479</v>
      </c>
      <c r="E1215">
        <v>10</v>
      </c>
      <c r="F1215">
        <v>20</v>
      </c>
      <c r="G1215">
        <v>30</v>
      </c>
      <c r="O1215">
        <v>60</v>
      </c>
      <c r="S1215">
        <f t="shared" si="272"/>
        <v>3.75</v>
      </c>
      <c r="T1215">
        <f t="shared" si="273"/>
        <v>0</v>
      </c>
      <c r="U1215">
        <f t="shared" si="271"/>
        <v>1</v>
      </c>
      <c r="V1215">
        <f t="shared" si="274"/>
        <v>1</v>
      </c>
      <c r="W1215">
        <f t="shared" si="275"/>
        <v>0</v>
      </c>
      <c r="X1215">
        <f t="shared" si="284"/>
        <v>0</v>
      </c>
      <c r="Y1215">
        <f t="shared" si="285"/>
        <v>0</v>
      </c>
      <c r="Z1215">
        <f t="shared" si="276"/>
        <v>2</v>
      </c>
      <c r="AA1215">
        <f t="shared" si="277"/>
        <v>5</v>
      </c>
      <c r="AB1215">
        <f t="shared" si="278"/>
        <v>4.2857142857142856</v>
      </c>
      <c r="AC1215">
        <f t="shared" si="279"/>
        <v>0</v>
      </c>
      <c r="AD1215" s="1">
        <f t="shared" si="280"/>
        <v>0</v>
      </c>
      <c r="AE1215">
        <f t="shared" si="281"/>
        <v>0</v>
      </c>
      <c r="AF1215">
        <f t="shared" si="282"/>
        <v>0</v>
      </c>
      <c r="AG1215">
        <f t="shared" si="283"/>
        <v>0</v>
      </c>
    </row>
    <row r="1216" spans="1:33" x14ac:dyDescent="0.25">
      <c r="A1216" t="s">
        <v>2047</v>
      </c>
      <c r="B1216" t="s">
        <v>2048</v>
      </c>
      <c r="C1216">
        <v>166237</v>
      </c>
      <c r="D1216">
        <v>166237</v>
      </c>
      <c r="H1216">
        <v>10</v>
      </c>
      <c r="I1216">
        <v>50</v>
      </c>
      <c r="J1216">
        <v>10</v>
      </c>
      <c r="K1216">
        <v>0</v>
      </c>
      <c r="L1216">
        <v>0</v>
      </c>
      <c r="M1216">
        <v>70</v>
      </c>
      <c r="S1216">
        <f t="shared" si="272"/>
        <v>0</v>
      </c>
      <c r="T1216">
        <f t="shared" si="273"/>
        <v>5.833333333333333</v>
      </c>
      <c r="U1216">
        <f t="shared" si="271"/>
        <v>1</v>
      </c>
      <c r="V1216">
        <f t="shared" si="274"/>
        <v>0</v>
      </c>
      <c r="W1216">
        <f t="shared" si="275"/>
        <v>1</v>
      </c>
      <c r="X1216">
        <f t="shared" si="284"/>
        <v>0</v>
      </c>
      <c r="Y1216">
        <f t="shared" si="285"/>
        <v>0</v>
      </c>
      <c r="Z1216">
        <f t="shared" si="276"/>
        <v>0</v>
      </c>
      <c r="AA1216">
        <f t="shared" si="277"/>
        <v>0</v>
      </c>
      <c r="AB1216">
        <f t="shared" si="278"/>
        <v>0</v>
      </c>
      <c r="AC1216">
        <f t="shared" si="279"/>
        <v>5</v>
      </c>
      <c r="AD1216" s="1">
        <f t="shared" si="280"/>
        <v>8.3333333333333339</v>
      </c>
      <c r="AE1216">
        <f t="shared" si="281"/>
        <v>5</v>
      </c>
      <c r="AF1216">
        <f t="shared" si="282"/>
        <v>0</v>
      </c>
      <c r="AG1216">
        <f t="shared" si="283"/>
        <v>0</v>
      </c>
    </row>
    <row r="1217" spans="1:33" x14ac:dyDescent="0.25">
      <c r="A1217" t="s">
        <v>2049</v>
      </c>
      <c r="B1217" t="s">
        <v>2050</v>
      </c>
      <c r="C1217">
        <v>167128</v>
      </c>
      <c r="D1217">
        <v>167128</v>
      </c>
      <c r="H1217">
        <v>20</v>
      </c>
      <c r="I1217">
        <v>30</v>
      </c>
      <c r="J1217">
        <v>20</v>
      </c>
      <c r="K1217">
        <v>10</v>
      </c>
      <c r="L1217">
        <v>0</v>
      </c>
      <c r="M1217">
        <v>80</v>
      </c>
      <c r="S1217">
        <f t="shared" si="272"/>
        <v>0</v>
      </c>
      <c r="T1217">
        <f t="shared" si="273"/>
        <v>6.666666666666667</v>
      </c>
      <c r="U1217">
        <f t="shared" si="271"/>
        <v>1</v>
      </c>
      <c r="V1217">
        <f t="shared" si="274"/>
        <v>0</v>
      </c>
      <c r="W1217">
        <f t="shared" si="275"/>
        <v>1</v>
      </c>
      <c r="X1217">
        <f t="shared" si="284"/>
        <v>0</v>
      </c>
      <c r="Y1217">
        <f t="shared" si="285"/>
        <v>1</v>
      </c>
      <c r="Z1217">
        <f t="shared" si="276"/>
        <v>0</v>
      </c>
      <c r="AA1217">
        <f t="shared" si="277"/>
        <v>0</v>
      </c>
      <c r="AB1217">
        <f t="shared" si="278"/>
        <v>0</v>
      </c>
      <c r="AC1217">
        <f t="shared" si="279"/>
        <v>10</v>
      </c>
      <c r="AD1217" s="1">
        <f t="shared" si="280"/>
        <v>5</v>
      </c>
      <c r="AE1217">
        <f t="shared" si="281"/>
        <v>10</v>
      </c>
      <c r="AF1217">
        <f t="shared" si="282"/>
        <v>10</v>
      </c>
      <c r="AG1217">
        <f t="shared" si="283"/>
        <v>0</v>
      </c>
    </row>
    <row r="1218" spans="1:33" x14ac:dyDescent="0.25">
      <c r="A1218" t="s">
        <v>2051</v>
      </c>
      <c r="B1218" t="s">
        <v>2052</v>
      </c>
      <c r="C1218">
        <v>167569</v>
      </c>
      <c r="D1218">
        <v>167569</v>
      </c>
      <c r="S1218">
        <f t="shared" si="272"/>
        <v>0</v>
      </c>
      <c r="T1218">
        <f t="shared" si="273"/>
        <v>0</v>
      </c>
      <c r="U1218">
        <f t="shared" ref="U1218:U1281" si="286">IF(AND(E1218="",F1218="",G1218="",H1218="",I1218="",J1218="",K1218="",L1218="",M1218=""),0,1)</f>
        <v>0</v>
      </c>
      <c r="V1218">
        <f t="shared" si="274"/>
        <v>0</v>
      </c>
      <c r="W1218">
        <f t="shared" si="275"/>
        <v>0</v>
      </c>
      <c r="X1218">
        <f t="shared" si="284"/>
        <v>0</v>
      </c>
      <c r="Y1218">
        <f t="shared" si="285"/>
        <v>0</v>
      </c>
      <c r="Z1218">
        <f t="shared" si="276"/>
        <v>0</v>
      </c>
      <c r="AA1218">
        <f t="shared" si="277"/>
        <v>0</v>
      </c>
      <c r="AB1218">
        <f t="shared" si="278"/>
        <v>0</v>
      </c>
      <c r="AC1218">
        <f t="shared" si="279"/>
        <v>0</v>
      </c>
      <c r="AD1218" s="1">
        <f t="shared" si="280"/>
        <v>0</v>
      </c>
      <c r="AE1218">
        <f t="shared" si="281"/>
        <v>0</v>
      </c>
      <c r="AF1218">
        <f t="shared" si="282"/>
        <v>0</v>
      </c>
      <c r="AG1218">
        <f t="shared" si="283"/>
        <v>0</v>
      </c>
    </row>
    <row r="1219" spans="1:33" x14ac:dyDescent="0.25">
      <c r="A1219" t="s">
        <v>2053</v>
      </c>
      <c r="B1219" t="s">
        <v>1308</v>
      </c>
      <c r="C1219">
        <v>165864</v>
      </c>
      <c r="D1219">
        <v>165864</v>
      </c>
      <c r="E1219">
        <v>50</v>
      </c>
      <c r="F1219">
        <v>20</v>
      </c>
      <c r="G1219">
        <v>30</v>
      </c>
      <c r="O1219">
        <v>100</v>
      </c>
      <c r="S1219">
        <f t="shared" ref="S1219:S1282" si="287">O1219/16</f>
        <v>6.25</v>
      </c>
      <c r="T1219">
        <f t="shared" ref="T1219:T1282" si="288">M1219/12</f>
        <v>0</v>
      </c>
      <c r="U1219">
        <f t="shared" si="286"/>
        <v>1</v>
      </c>
      <c r="V1219">
        <f t="shared" ref="V1219:V1282" si="289">IF(O1219="",0,1)</f>
        <v>1</v>
      </c>
      <c r="W1219">
        <f t="shared" ref="W1219:W1282" si="290">IF(M1219="",0,1)</f>
        <v>0</v>
      </c>
      <c r="X1219">
        <f t="shared" si="284"/>
        <v>1</v>
      </c>
      <c r="Y1219">
        <f t="shared" si="285"/>
        <v>0</v>
      </c>
      <c r="Z1219">
        <f t="shared" ref="Z1219:Z1282" si="291">E1219/5</f>
        <v>10</v>
      </c>
      <c r="AA1219">
        <f t="shared" ref="AA1219:AA1282" si="292">F1219/4</f>
        <v>5</v>
      </c>
      <c r="AB1219">
        <f t="shared" ref="AB1219:AB1282" si="293">G1219/7</f>
        <v>4.2857142857142856</v>
      </c>
      <c r="AC1219">
        <f t="shared" ref="AC1219:AC1282" si="294">H1219/2</f>
        <v>0</v>
      </c>
      <c r="AD1219" s="1">
        <f t="shared" ref="AD1219:AD1282" si="295">I1219/6</f>
        <v>0</v>
      </c>
      <c r="AE1219">
        <f t="shared" ref="AE1219:AE1282" si="296">J1219/2</f>
        <v>0</v>
      </c>
      <c r="AF1219">
        <f t="shared" ref="AF1219:AF1282" si="297">K1219</f>
        <v>0</v>
      </c>
      <c r="AG1219">
        <f t="shared" ref="AG1219:AG1282" si="298">L1219</f>
        <v>0</v>
      </c>
    </row>
    <row r="1220" spans="1:33" x14ac:dyDescent="0.25">
      <c r="A1220" t="s">
        <v>2054</v>
      </c>
      <c r="B1220" t="s">
        <v>2055</v>
      </c>
      <c r="C1220">
        <v>160803</v>
      </c>
      <c r="D1220">
        <v>160803</v>
      </c>
      <c r="S1220">
        <f t="shared" si="287"/>
        <v>0</v>
      </c>
      <c r="T1220">
        <f t="shared" si="288"/>
        <v>0</v>
      </c>
      <c r="U1220">
        <f t="shared" si="286"/>
        <v>0</v>
      </c>
      <c r="V1220">
        <f t="shared" si="289"/>
        <v>0</v>
      </c>
      <c r="W1220">
        <f t="shared" si="290"/>
        <v>0</v>
      </c>
      <c r="X1220">
        <f t="shared" si="284"/>
        <v>0</v>
      </c>
      <c r="Y1220">
        <f t="shared" si="285"/>
        <v>0</v>
      </c>
      <c r="Z1220">
        <f t="shared" si="291"/>
        <v>0</v>
      </c>
      <c r="AA1220">
        <f t="shared" si="292"/>
        <v>0</v>
      </c>
      <c r="AB1220">
        <f t="shared" si="293"/>
        <v>0</v>
      </c>
      <c r="AC1220">
        <f t="shared" si="294"/>
        <v>0</v>
      </c>
      <c r="AD1220" s="1">
        <f t="shared" si="295"/>
        <v>0</v>
      </c>
      <c r="AE1220">
        <f t="shared" si="296"/>
        <v>0</v>
      </c>
      <c r="AF1220">
        <f t="shared" si="297"/>
        <v>0</v>
      </c>
      <c r="AG1220">
        <f t="shared" si="298"/>
        <v>0</v>
      </c>
    </row>
    <row r="1221" spans="1:33" x14ac:dyDescent="0.25">
      <c r="A1221" t="s">
        <v>2056</v>
      </c>
      <c r="B1221" t="s">
        <v>95</v>
      </c>
      <c r="C1221">
        <v>161918</v>
      </c>
      <c r="D1221">
        <v>161918</v>
      </c>
      <c r="E1221">
        <v>20</v>
      </c>
      <c r="F1221">
        <v>20</v>
      </c>
      <c r="G1221">
        <v>40</v>
      </c>
      <c r="O1221">
        <v>80</v>
      </c>
      <c r="S1221">
        <f t="shared" si="287"/>
        <v>5</v>
      </c>
      <c r="T1221">
        <f t="shared" si="288"/>
        <v>0</v>
      </c>
      <c r="U1221">
        <f t="shared" si="286"/>
        <v>1</v>
      </c>
      <c r="V1221">
        <f t="shared" si="289"/>
        <v>1</v>
      </c>
      <c r="W1221">
        <f t="shared" si="290"/>
        <v>0</v>
      </c>
      <c r="X1221">
        <f t="shared" ref="X1221:X1284" si="299">IF(AND(V1221=1,S1221&gt;6),1,0)</f>
        <v>0</v>
      </c>
      <c r="Y1221">
        <f t="shared" ref="Y1221:Y1284" si="300">IF(AND(W1221=1,T1221&gt;6),1,0)</f>
        <v>0</v>
      </c>
      <c r="Z1221">
        <f t="shared" si="291"/>
        <v>4</v>
      </c>
      <c r="AA1221">
        <f t="shared" si="292"/>
        <v>5</v>
      </c>
      <c r="AB1221">
        <f t="shared" si="293"/>
        <v>5.7142857142857144</v>
      </c>
      <c r="AC1221">
        <f t="shared" si="294"/>
        <v>0</v>
      </c>
      <c r="AD1221" s="1">
        <f t="shared" si="295"/>
        <v>0</v>
      </c>
      <c r="AE1221">
        <f t="shared" si="296"/>
        <v>0</v>
      </c>
      <c r="AF1221">
        <f t="shared" si="297"/>
        <v>0</v>
      </c>
      <c r="AG1221">
        <f t="shared" si="298"/>
        <v>0</v>
      </c>
    </row>
    <row r="1222" spans="1:33" x14ac:dyDescent="0.25">
      <c r="A1222" t="s">
        <v>2057</v>
      </c>
      <c r="B1222" t="s">
        <v>2058</v>
      </c>
      <c r="C1222">
        <v>164042</v>
      </c>
      <c r="D1222">
        <v>164042</v>
      </c>
      <c r="S1222">
        <f t="shared" si="287"/>
        <v>0</v>
      </c>
      <c r="T1222">
        <f t="shared" si="288"/>
        <v>0</v>
      </c>
      <c r="U1222">
        <f t="shared" si="286"/>
        <v>0</v>
      </c>
      <c r="V1222">
        <f t="shared" si="289"/>
        <v>0</v>
      </c>
      <c r="W1222">
        <f t="shared" si="290"/>
        <v>0</v>
      </c>
      <c r="X1222">
        <f t="shared" si="299"/>
        <v>0</v>
      </c>
      <c r="Y1222">
        <f t="shared" si="300"/>
        <v>0</v>
      </c>
      <c r="Z1222">
        <f t="shared" si="291"/>
        <v>0</v>
      </c>
      <c r="AA1222">
        <f t="shared" si="292"/>
        <v>0</v>
      </c>
      <c r="AB1222">
        <f t="shared" si="293"/>
        <v>0</v>
      </c>
      <c r="AC1222">
        <f t="shared" si="294"/>
        <v>0</v>
      </c>
      <c r="AD1222" s="1">
        <f t="shared" si="295"/>
        <v>0</v>
      </c>
      <c r="AE1222">
        <f t="shared" si="296"/>
        <v>0</v>
      </c>
      <c r="AF1222">
        <f t="shared" si="297"/>
        <v>0</v>
      </c>
      <c r="AG1222">
        <f t="shared" si="298"/>
        <v>0</v>
      </c>
    </row>
    <row r="1223" spans="1:33" x14ac:dyDescent="0.25">
      <c r="A1223" t="s">
        <v>2059</v>
      </c>
      <c r="B1223" t="s">
        <v>2060</v>
      </c>
      <c r="C1223">
        <v>163600</v>
      </c>
      <c r="D1223">
        <v>163600</v>
      </c>
      <c r="H1223">
        <v>10</v>
      </c>
      <c r="I1223">
        <v>50</v>
      </c>
      <c r="J1223">
        <v>0</v>
      </c>
      <c r="K1223">
        <v>10</v>
      </c>
      <c r="L1223">
        <v>0</v>
      </c>
      <c r="M1223">
        <v>70</v>
      </c>
      <c r="S1223">
        <f t="shared" si="287"/>
        <v>0</v>
      </c>
      <c r="T1223">
        <f t="shared" si="288"/>
        <v>5.833333333333333</v>
      </c>
      <c r="U1223">
        <f t="shared" si="286"/>
        <v>1</v>
      </c>
      <c r="V1223">
        <f t="shared" si="289"/>
        <v>0</v>
      </c>
      <c r="W1223">
        <f t="shared" si="290"/>
        <v>1</v>
      </c>
      <c r="X1223">
        <f t="shared" si="299"/>
        <v>0</v>
      </c>
      <c r="Y1223">
        <f t="shared" si="300"/>
        <v>0</v>
      </c>
      <c r="Z1223">
        <f t="shared" si="291"/>
        <v>0</v>
      </c>
      <c r="AA1223">
        <f t="shared" si="292"/>
        <v>0</v>
      </c>
      <c r="AB1223">
        <f t="shared" si="293"/>
        <v>0</v>
      </c>
      <c r="AC1223">
        <f t="shared" si="294"/>
        <v>5</v>
      </c>
      <c r="AD1223" s="1">
        <f t="shared" si="295"/>
        <v>8.3333333333333339</v>
      </c>
      <c r="AE1223">
        <f t="shared" si="296"/>
        <v>0</v>
      </c>
      <c r="AF1223">
        <f t="shared" si="297"/>
        <v>10</v>
      </c>
      <c r="AG1223">
        <f t="shared" si="298"/>
        <v>0</v>
      </c>
    </row>
    <row r="1224" spans="1:33" x14ac:dyDescent="0.25">
      <c r="A1224" t="s">
        <v>2061</v>
      </c>
      <c r="B1224" t="s">
        <v>2062</v>
      </c>
      <c r="C1224">
        <v>168522</v>
      </c>
      <c r="D1224">
        <v>168522</v>
      </c>
      <c r="H1224">
        <v>10</v>
      </c>
      <c r="I1224">
        <v>40</v>
      </c>
      <c r="J1224">
        <v>10</v>
      </c>
      <c r="K1224">
        <v>10</v>
      </c>
      <c r="L1224">
        <v>0</v>
      </c>
      <c r="M1224">
        <v>70</v>
      </c>
      <c r="S1224">
        <f t="shared" si="287"/>
        <v>0</v>
      </c>
      <c r="T1224">
        <f t="shared" si="288"/>
        <v>5.833333333333333</v>
      </c>
      <c r="U1224">
        <f t="shared" si="286"/>
        <v>1</v>
      </c>
      <c r="V1224">
        <f t="shared" si="289"/>
        <v>0</v>
      </c>
      <c r="W1224">
        <f t="shared" si="290"/>
        <v>1</v>
      </c>
      <c r="X1224">
        <f t="shared" si="299"/>
        <v>0</v>
      </c>
      <c r="Y1224">
        <f t="shared" si="300"/>
        <v>0</v>
      </c>
      <c r="Z1224">
        <f t="shared" si="291"/>
        <v>0</v>
      </c>
      <c r="AA1224">
        <f t="shared" si="292"/>
        <v>0</v>
      </c>
      <c r="AB1224">
        <f t="shared" si="293"/>
        <v>0</v>
      </c>
      <c r="AC1224">
        <f t="shared" si="294"/>
        <v>5</v>
      </c>
      <c r="AD1224" s="1">
        <f t="shared" si="295"/>
        <v>6.666666666666667</v>
      </c>
      <c r="AE1224">
        <f t="shared" si="296"/>
        <v>5</v>
      </c>
      <c r="AF1224">
        <f t="shared" si="297"/>
        <v>10</v>
      </c>
      <c r="AG1224">
        <f t="shared" si="298"/>
        <v>0</v>
      </c>
    </row>
    <row r="1225" spans="1:33" x14ac:dyDescent="0.25">
      <c r="A1225" t="s">
        <v>2063</v>
      </c>
      <c r="B1225" t="s">
        <v>166</v>
      </c>
      <c r="C1225">
        <v>165422</v>
      </c>
      <c r="D1225">
        <v>165422</v>
      </c>
      <c r="E1225">
        <v>20</v>
      </c>
      <c r="F1225">
        <v>30</v>
      </c>
      <c r="G1225">
        <v>50</v>
      </c>
      <c r="O1225">
        <v>100</v>
      </c>
      <c r="S1225">
        <f t="shared" si="287"/>
        <v>6.25</v>
      </c>
      <c r="T1225">
        <f t="shared" si="288"/>
        <v>0</v>
      </c>
      <c r="U1225">
        <f t="shared" si="286"/>
        <v>1</v>
      </c>
      <c r="V1225">
        <f t="shared" si="289"/>
        <v>1</v>
      </c>
      <c r="W1225">
        <f t="shared" si="290"/>
        <v>0</v>
      </c>
      <c r="X1225">
        <f t="shared" si="299"/>
        <v>1</v>
      </c>
      <c r="Y1225">
        <f t="shared" si="300"/>
        <v>0</v>
      </c>
      <c r="Z1225">
        <f t="shared" si="291"/>
        <v>4</v>
      </c>
      <c r="AA1225">
        <f t="shared" si="292"/>
        <v>7.5</v>
      </c>
      <c r="AB1225">
        <f t="shared" si="293"/>
        <v>7.1428571428571432</v>
      </c>
      <c r="AC1225">
        <f t="shared" si="294"/>
        <v>0</v>
      </c>
      <c r="AD1225" s="1">
        <f t="shared" si="295"/>
        <v>0</v>
      </c>
      <c r="AE1225">
        <f t="shared" si="296"/>
        <v>0</v>
      </c>
      <c r="AF1225">
        <f t="shared" si="297"/>
        <v>0</v>
      </c>
      <c r="AG1225">
        <f t="shared" si="298"/>
        <v>0</v>
      </c>
    </row>
    <row r="1226" spans="1:33" x14ac:dyDescent="0.25">
      <c r="A1226" t="s">
        <v>2064</v>
      </c>
      <c r="B1226" t="s">
        <v>1924</v>
      </c>
      <c r="C1226">
        <v>166394</v>
      </c>
      <c r="D1226">
        <v>166394</v>
      </c>
      <c r="H1226">
        <v>0</v>
      </c>
      <c r="I1226">
        <v>30</v>
      </c>
      <c r="J1226">
        <v>10</v>
      </c>
      <c r="K1226">
        <v>10</v>
      </c>
      <c r="L1226">
        <v>10</v>
      </c>
      <c r="M1226">
        <v>60</v>
      </c>
      <c r="S1226">
        <f t="shared" si="287"/>
        <v>0</v>
      </c>
      <c r="T1226">
        <f t="shared" si="288"/>
        <v>5</v>
      </c>
      <c r="U1226">
        <f t="shared" si="286"/>
        <v>1</v>
      </c>
      <c r="V1226">
        <f t="shared" si="289"/>
        <v>0</v>
      </c>
      <c r="W1226">
        <f t="shared" si="290"/>
        <v>1</v>
      </c>
      <c r="X1226">
        <f t="shared" si="299"/>
        <v>0</v>
      </c>
      <c r="Y1226">
        <f t="shared" si="300"/>
        <v>0</v>
      </c>
      <c r="Z1226">
        <f t="shared" si="291"/>
        <v>0</v>
      </c>
      <c r="AA1226">
        <f t="shared" si="292"/>
        <v>0</v>
      </c>
      <c r="AB1226">
        <f t="shared" si="293"/>
        <v>0</v>
      </c>
      <c r="AC1226">
        <f t="shared" si="294"/>
        <v>0</v>
      </c>
      <c r="AD1226" s="1">
        <f t="shared" si="295"/>
        <v>5</v>
      </c>
      <c r="AE1226">
        <f t="shared" si="296"/>
        <v>5</v>
      </c>
      <c r="AF1226">
        <f t="shared" si="297"/>
        <v>10</v>
      </c>
      <c r="AG1226">
        <f t="shared" si="298"/>
        <v>10</v>
      </c>
    </row>
    <row r="1227" spans="1:33" x14ac:dyDescent="0.25">
      <c r="A1227" t="s">
        <v>2065</v>
      </c>
      <c r="B1227" t="s">
        <v>166</v>
      </c>
      <c r="C1227">
        <v>168081</v>
      </c>
      <c r="D1227">
        <v>168081</v>
      </c>
      <c r="E1227">
        <v>40</v>
      </c>
      <c r="F1227">
        <v>10</v>
      </c>
      <c r="G1227">
        <v>0</v>
      </c>
      <c r="O1227">
        <v>50</v>
      </c>
      <c r="S1227">
        <f t="shared" si="287"/>
        <v>3.125</v>
      </c>
      <c r="T1227">
        <f t="shared" si="288"/>
        <v>0</v>
      </c>
      <c r="U1227">
        <f t="shared" si="286"/>
        <v>1</v>
      </c>
      <c r="V1227">
        <f t="shared" si="289"/>
        <v>1</v>
      </c>
      <c r="W1227">
        <f t="shared" si="290"/>
        <v>0</v>
      </c>
      <c r="X1227">
        <f t="shared" si="299"/>
        <v>0</v>
      </c>
      <c r="Y1227">
        <f t="shared" si="300"/>
        <v>0</v>
      </c>
      <c r="Z1227">
        <f t="shared" si="291"/>
        <v>8</v>
      </c>
      <c r="AA1227">
        <f t="shared" si="292"/>
        <v>2.5</v>
      </c>
      <c r="AB1227">
        <f t="shared" si="293"/>
        <v>0</v>
      </c>
      <c r="AC1227">
        <f t="shared" si="294"/>
        <v>0</v>
      </c>
      <c r="AD1227" s="1">
        <f t="shared" si="295"/>
        <v>0</v>
      </c>
      <c r="AE1227">
        <f t="shared" si="296"/>
        <v>0</v>
      </c>
      <c r="AF1227">
        <f t="shared" si="297"/>
        <v>0</v>
      </c>
      <c r="AG1227">
        <f t="shared" si="298"/>
        <v>0</v>
      </c>
    </row>
    <row r="1228" spans="1:33" x14ac:dyDescent="0.25">
      <c r="A1228" t="s">
        <v>2066</v>
      </c>
      <c r="B1228" t="s">
        <v>2067</v>
      </c>
      <c r="C1228">
        <v>166404</v>
      </c>
      <c r="D1228">
        <v>166404</v>
      </c>
      <c r="H1228">
        <v>0</v>
      </c>
      <c r="I1228">
        <v>40</v>
      </c>
      <c r="J1228">
        <v>10</v>
      </c>
      <c r="K1228">
        <v>10</v>
      </c>
      <c r="L1228">
        <v>10</v>
      </c>
      <c r="M1228">
        <v>70</v>
      </c>
      <c r="S1228">
        <f t="shared" si="287"/>
        <v>0</v>
      </c>
      <c r="T1228">
        <f t="shared" si="288"/>
        <v>5.833333333333333</v>
      </c>
      <c r="U1228">
        <f t="shared" si="286"/>
        <v>1</v>
      </c>
      <c r="V1228">
        <f t="shared" si="289"/>
        <v>0</v>
      </c>
      <c r="W1228">
        <f t="shared" si="290"/>
        <v>1</v>
      </c>
      <c r="X1228">
        <f t="shared" si="299"/>
        <v>0</v>
      </c>
      <c r="Y1228">
        <f t="shared" si="300"/>
        <v>0</v>
      </c>
      <c r="Z1228">
        <f t="shared" si="291"/>
        <v>0</v>
      </c>
      <c r="AA1228">
        <f t="shared" si="292"/>
        <v>0</v>
      </c>
      <c r="AB1228">
        <f t="shared" si="293"/>
        <v>0</v>
      </c>
      <c r="AC1228">
        <f t="shared" si="294"/>
        <v>0</v>
      </c>
      <c r="AD1228" s="1">
        <f t="shared" si="295"/>
        <v>6.666666666666667</v>
      </c>
      <c r="AE1228">
        <f t="shared" si="296"/>
        <v>5</v>
      </c>
      <c r="AF1228">
        <f t="shared" si="297"/>
        <v>10</v>
      </c>
      <c r="AG1228">
        <f t="shared" si="298"/>
        <v>10</v>
      </c>
    </row>
    <row r="1229" spans="1:33" x14ac:dyDescent="0.25">
      <c r="A1229" t="s">
        <v>2068</v>
      </c>
      <c r="B1229" t="s">
        <v>2069</v>
      </c>
      <c r="C1229">
        <v>168335</v>
      </c>
      <c r="D1229">
        <v>168335</v>
      </c>
      <c r="E1229">
        <v>10</v>
      </c>
      <c r="F1229">
        <v>20</v>
      </c>
      <c r="G1229">
        <v>30</v>
      </c>
      <c r="O1229">
        <v>60</v>
      </c>
      <c r="S1229">
        <f t="shared" si="287"/>
        <v>3.75</v>
      </c>
      <c r="T1229">
        <f t="shared" si="288"/>
        <v>0</v>
      </c>
      <c r="U1229">
        <f t="shared" si="286"/>
        <v>1</v>
      </c>
      <c r="V1229">
        <f t="shared" si="289"/>
        <v>1</v>
      </c>
      <c r="W1229">
        <f t="shared" si="290"/>
        <v>0</v>
      </c>
      <c r="X1229">
        <f t="shared" si="299"/>
        <v>0</v>
      </c>
      <c r="Y1229">
        <f t="shared" si="300"/>
        <v>0</v>
      </c>
      <c r="Z1229">
        <f t="shared" si="291"/>
        <v>2</v>
      </c>
      <c r="AA1229">
        <f t="shared" si="292"/>
        <v>5</v>
      </c>
      <c r="AB1229">
        <f t="shared" si="293"/>
        <v>4.2857142857142856</v>
      </c>
      <c r="AC1229">
        <f t="shared" si="294"/>
        <v>0</v>
      </c>
      <c r="AD1229" s="1">
        <f t="shared" si="295"/>
        <v>0</v>
      </c>
      <c r="AE1229">
        <f t="shared" si="296"/>
        <v>0</v>
      </c>
      <c r="AF1229">
        <f t="shared" si="297"/>
        <v>0</v>
      </c>
      <c r="AG1229">
        <f t="shared" si="298"/>
        <v>0</v>
      </c>
    </row>
    <row r="1230" spans="1:33" x14ac:dyDescent="0.25">
      <c r="A1230" t="s">
        <v>2070</v>
      </c>
      <c r="B1230" t="s">
        <v>2071</v>
      </c>
      <c r="C1230">
        <v>167315</v>
      </c>
      <c r="D1230">
        <v>167315</v>
      </c>
      <c r="H1230">
        <v>20</v>
      </c>
      <c r="I1230">
        <v>30</v>
      </c>
      <c r="J1230">
        <v>10</v>
      </c>
      <c r="K1230">
        <v>10</v>
      </c>
      <c r="L1230">
        <v>10</v>
      </c>
      <c r="M1230">
        <v>80</v>
      </c>
      <c r="S1230">
        <f t="shared" si="287"/>
        <v>0</v>
      </c>
      <c r="T1230">
        <f t="shared" si="288"/>
        <v>6.666666666666667</v>
      </c>
      <c r="U1230">
        <f t="shared" si="286"/>
        <v>1</v>
      </c>
      <c r="V1230">
        <f t="shared" si="289"/>
        <v>0</v>
      </c>
      <c r="W1230">
        <f t="shared" si="290"/>
        <v>1</v>
      </c>
      <c r="X1230">
        <f t="shared" si="299"/>
        <v>0</v>
      </c>
      <c r="Y1230">
        <f t="shared" si="300"/>
        <v>1</v>
      </c>
      <c r="Z1230">
        <f t="shared" si="291"/>
        <v>0</v>
      </c>
      <c r="AA1230">
        <f t="shared" si="292"/>
        <v>0</v>
      </c>
      <c r="AB1230">
        <f t="shared" si="293"/>
        <v>0</v>
      </c>
      <c r="AC1230">
        <f t="shared" si="294"/>
        <v>10</v>
      </c>
      <c r="AD1230" s="1">
        <f t="shared" si="295"/>
        <v>5</v>
      </c>
      <c r="AE1230">
        <f t="shared" si="296"/>
        <v>5</v>
      </c>
      <c r="AF1230">
        <f t="shared" si="297"/>
        <v>10</v>
      </c>
      <c r="AG1230">
        <f t="shared" si="298"/>
        <v>10</v>
      </c>
    </row>
    <row r="1231" spans="1:33" x14ac:dyDescent="0.25">
      <c r="A1231" t="s">
        <v>2072</v>
      </c>
      <c r="B1231" t="s">
        <v>768</v>
      </c>
      <c r="C1231">
        <v>166294</v>
      </c>
      <c r="D1231">
        <v>166294</v>
      </c>
      <c r="E1231">
        <v>10</v>
      </c>
      <c r="F1231">
        <v>10</v>
      </c>
      <c r="G1231">
        <v>20</v>
      </c>
      <c r="O1231">
        <v>40</v>
      </c>
      <c r="S1231">
        <f t="shared" si="287"/>
        <v>2.5</v>
      </c>
      <c r="T1231">
        <f t="shared" si="288"/>
        <v>0</v>
      </c>
      <c r="U1231">
        <f t="shared" si="286"/>
        <v>1</v>
      </c>
      <c r="V1231">
        <f t="shared" si="289"/>
        <v>1</v>
      </c>
      <c r="W1231">
        <f t="shared" si="290"/>
        <v>0</v>
      </c>
      <c r="X1231">
        <f t="shared" si="299"/>
        <v>0</v>
      </c>
      <c r="Y1231">
        <f t="shared" si="300"/>
        <v>0</v>
      </c>
      <c r="Z1231">
        <f t="shared" si="291"/>
        <v>2</v>
      </c>
      <c r="AA1231">
        <f t="shared" si="292"/>
        <v>2.5</v>
      </c>
      <c r="AB1231">
        <f t="shared" si="293"/>
        <v>2.8571428571428572</v>
      </c>
      <c r="AC1231">
        <f t="shared" si="294"/>
        <v>0</v>
      </c>
      <c r="AD1231" s="1">
        <f t="shared" si="295"/>
        <v>0</v>
      </c>
      <c r="AE1231">
        <f t="shared" si="296"/>
        <v>0</v>
      </c>
      <c r="AF1231">
        <f t="shared" si="297"/>
        <v>0</v>
      </c>
      <c r="AG1231">
        <f t="shared" si="298"/>
        <v>0</v>
      </c>
    </row>
    <row r="1232" spans="1:33" x14ac:dyDescent="0.25">
      <c r="A1232" t="s">
        <v>2073</v>
      </c>
      <c r="B1232" t="s">
        <v>2074</v>
      </c>
      <c r="C1232">
        <v>166539</v>
      </c>
      <c r="D1232">
        <v>166539</v>
      </c>
      <c r="H1232">
        <v>20</v>
      </c>
      <c r="I1232">
        <v>20</v>
      </c>
      <c r="J1232">
        <v>20</v>
      </c>
      <c r="K1232">
        <v>10</v>
      </c>
      <c r="L1232">
        <v>10</v>
      </c>
      <c r="M1232">
        <v>80</v>
      </c>
      <c r="S1232">
        <f t="shared" si="287"/>
        <v>0</v>
      </c>
      <c r="T1232">
        <f t="shared" si="288"/>
        <v>6.666666666666667</v>
      </c>
      <c r="U1232">
        <f t="shared" si="286"/>
        <v>1</v>
      </c>
      <c r="V1232">
        <f t="shared" si="289"/>
        <v>0</v>
      </c>
      <c r="W1232">
        <f t="shared" si="290"/>
        <v>1</v>
      </c>
      <c r="X1232">
        <f t="shared" si="299"/>
        <v>0</v>
      </c>
      <c r="Y1232">
        <f t="shared" si="300"/>
        <v>1</v>
      </c>
      <c r="Z1232">
        <f t="shared" si="291"/>
        <v>0</v>
      </c>
      <c r="AA1232">
        <f t="shared" si="292"/>
        <v>0</v>
      </c>
      <c r="AB1232">
        <f t="shared" si="293"/>
        <v>0</v>
      </c>
      <c r="AC1232">
        <f t="shared" si="294"/>
        <v>10</v>
      </c>
      <c r="AD1232" s="1">
        <f t="shared" si="295"/>
        <v>3.3333333333333335</v>
      </c>
      <c r="AE1232">
        <f t="shared" si="296"/>
        <v>10</v>
      </c>
      <c r="AF1232">
        <f t="shared" si="297"/>
        <v>10</v>
      </c>
      <c r="AG1232">
        <f t="shared" si="298"/>
        <v>10</v>
      </c>
    </row>
    <row r="1233" spans="1:33" x14ac:dyDescent="0.25">
      <c r="A1233" t="s">
        <v>2075</v>
      </c>
      <c r="B1233" t="s">
        <v>2076</v>
      </c>
      <c r="C1233">
        <v>168766</v>
      </c>
      <c r="D1233">
        <v>168766</v>
      </c>
      <c r="H1233">
        <v>10</v>
      </c>
      <c r="I1233">
        <v>20</v>
      </c>
      <c r="J1233">
        <v>20</v>
      </c>
      <c r="K1233">
        <v>10</v>
      </c>
      <c r="L1233">
        <v>10</v>
      </c>
      <c r="M1233">
        <v>70</v>
      </c>
      <c r="S1233">
        <f t="shared" si="287"/>
        <v>0</v>
      </c>
      <c r="T1233">
        <f t="shared" si="288"/>
        <v>5.833333333333333</v>
      </c>
      <c r="U1233">
        <f t="shared" si="286"/>
        <v>1</v>
      </c>
      <c r="V1233">
        <f t="shared" si="289"/>
        <v>0</v>
      </c>
      <c r="W1233">
        <f t="shared" si="290"/>
        <v>1</v>
      </c>
      <c r="X1233">
        <f t="shared" si="299"/>
        <v>0</v>
      </c>
      <c r="Y1233">
        <f t="shared" si="300"/>
        <v>0</v>
      </c>
      <c r="Z1233">
        <f t="shared" si="291"/>
        <v>0</v>
      </c>
      <c r="AA1233">
        <f t="shared" si="292"/>
        <v>0</v>
      </c>
      <c r="AB1233">
        <f t="shared" si="293"/>
        <v>0</v>
      </c>
      <c r="AC1233">
        <f t="shared" si="294"/>
        <v>5</v>
      </c>
      <c r="AD1233" s="1">
        <f t="shared" si="295"/>
        <v>3.3333333333333335</v>
      </c>
      <c r="AE1233">
        <f t="shared" si="296"/>
        <v>10</v>
      </c>
      <c r="AF1233">
        <f t="shared" si="297"/>
        <v>10</v>
      </c>
      <c r="AG1233">
        <f t="shared" si="298"/>
        <v>10</v>
      </c>
    </row>
    <row r="1234" spans="1:33" x14ac:dyDescent="0.25">
      <c r="A1234" t="s">
        <v>2077</v>
      </c>
      <c r="B1234" t="s">
        <v>768</v>
      </c>
      <c r="C1234">
        <v>167389</v>
      </c>
      <c r="D1234">
        <v>167389</v>
      </c>
      <c r="E1234">
        <v>40</v>
      </c>
      <c r="F1234">
        <v>10</v>
      </c>
      <c r="G1234">
        <v>40</v>
      </c>
      <c r="O1234">
        <v>90</v>
      </c>
      <c r="S1234">
        <f t="shared" si="287"/>
        <v>5.625</v>
      </c>
      <c r="T1234">
        <f t="shared" si="288"/>
        <v>0</v>
      </c>
      <c r="U1234">
        <f t="shared" si="286"/>
        <v>1</v>
      </c>
      <c r="V1234">
        <f t="shared" si="289"/>
        <v>1</v>
      </c>
      <c r="W1234">
        <f t="shared" si="290"/>
        <v>0</v>
      </c>
      <c r="X1234">
        <f t="shared" si="299"/>
        <v>0</v>
      </c>
      <c r="Y1234">
        <f t="shared" si="300"/>
        <v>0</v>
      </c>
      <c r="Z1234">
        <f t="shared" si="291"/>
        <v>8</v>
      </c>
      <c r="AA1234">
        <f t="shared" si="292"/>
        <v>2.5</v>
      </c>
      <c r="AB1234">
        <f t="shared" si="293"/>
        <v>5.7142857142857144</v>
      </c>
      <c r="AC1234">
        <f t="shared" si="294"/>
        <v>0</v>
      </c>
      <c r="AD1234" s="1">
        <f t="shared" si="295"/>
        <v>0</v>
      </c>
      <c r="AE1234">
        <f t="shared" si="296"/>
        <v>0</v>
      </c>
      <c r="AF1234">
        <f t="shared" si="297"/>
        <v>0</v>
      </c>
      <c r="AG1234">
        <f t="shared" si="298"/>
        <v>0</v>
      </c>
    </row>
    <row r="1235" spans="1:33" x14ac:dyDescent="0.25">
      <c r="A1235" t="s">
        <v>2078</v>
      </c>
      <c r="B1235" t="s">
        <v>2079</v>
      </c>
      <c r="C1235">
        <v>166728</v>
      </c>
      <c r="D1235">
        <v>166728</v>
      </c>
      <c r="E1235">
        <v>40</v>
      </c>
      <c r="F1235">
        <v>20</v>
      </c>
      <c r="G1235">
        <v>50</v>
      </c>
      <c r="O1235">
        <v>110</v>
      </c>
      <c r="S1235">
        <f t="shared" si="287"/>
        <v>6.875</v>
      </c>
      <c r="T1235">
        <f t="shared" si="288"/>
        <v>0</v>
      </c>
      <c r="U1235">
        <f t="shared" si="286"/>
        <v>1</v>
      </c>
      <c r="V1235">
        <f t="shared" si="289"/>
        <v>1</v>
      </c>
      <c r="W1235">
        <f t="shared" si="290"/>
        <v>0</v>
      </c>
      <c r="X1235">
        <f t="shared" si="299"/>
        <v>1</v>
      </c>
      <c r="Y1235">
        <f t="shared" si="300"/>
        <v>0</v>
      </c>
      <c r="Z1235">
        <f t="shared" si="291"/>
        <v>8</v>
      </c>
      <c r="AA1235">
        <f t="shared" si="292"/>
        <v>5</v>
      </c>
      <c r="AB1235">
        <f t="shared" si="293"/>
        <v>7.1428571428571432</v>
      </c>
      <c r="AC1235">
        <f t="shared" si="294"/>
        <v>0</v>
      </c>
      <c r="AD1235" s="1">
        <f t="shared" si="295"/>
        <v>0</v>
      </c>
      <c r="AE1235">
        <f t="shared" si="296"/>
        <v>0</v>
      </c>
      <c r="AF1235">
        <f t="shared" si="297"/>
        <v>0</v>
      </c>
      <c r="AG1235">
        <f t="shared" si="298"/>
        <v>0</v>
      </c>
    </row>
    <row r="1236" spans="1:33" x14ac:dyDescent="0.25">
      <c r="A1236" t="s">
        <v>2080</v>
      </c>
      <c r="B1236" t="s">
        <v>367</v>
      </c>
      <c r="C1236">
        <v>168204</v>
      </c>
      <c r="D1236">
        <v>168204</v>
      </c>
      <c r="S1236">
        <f t="shared" si="287"/>
        <v>0</v>
      </c>
      <c r="T1236">
        <f t="shared" si="288"/>
        <v>0</v>
      </c>
      <c r="U1236">
        <f t="shared" si="286"/>
        <v>0</v>
      </c>
      <c r="V1236">
        <f t="shared" si="289"/>
        <v>0</v>
      </c>
      <c r="W1236">
        <f t="shared" si="290"/>
        <v>0</v>
      </c>
      <c r="X1236">
        <f t="shared" si="299"/>
        <v>0</v>
      </c>
      <c r="Y1236">
        <f t="shared" si="300"/>
        <v>0</v>
      </c>
      <c r="Z1236">
        <f t="shared" si="291"/>
        <v>0</v>
      </c>
      <c r="AA1236">
        <f t="shared" si="292"/>
        <v>0</v>
      </c>
      <c r="AB1236">
        <f t="shared" si="293"/>
        <v>0</v>
      </c>
      <c r="AC1236">
        <f t="shared" si="294"/>
        <v>0</v>
      </c>
      <c r="AD1236" s="1">
        <f t="shared" si="295"/>
        <v>0</v>
      </c>
      <c r="AE1236">
        <f t="shared" si="296"/>
        <v>0</v>
      </c>
      <c r="AF1236">
        <f t="shared" si="297"/>
        <v>0</v>
      </c>
      <c r="AG1236">
        <f t="shared" si="298"/>
        <v>0</v>
      </c>
    </row>
    <row r="1237" spans="1:33" x14ac:dyDescent="0.25">
      <c r="A1237" t="s">
        <v>2081</v>
      </c>
      <c r="B1237" t="s">
        <v>2082</v>
      </c>
      <c r="C1237">
        <v>165857</v>
      </c>
      <c r="D1237">
        <v>165857</v>
      </c>
      <c r="E1237">
        <v>10</v>
      </c>
      <c r="F1237">
        <v>10</v>
      </c>
      <c r="G1237">
        <v>10</v>
      </c>
      <c r="O1237">
        <v>30</v>
      </c>
      <c r="S1237">
        <f t="shared" si="287"/>
        <v>1.875</v>
      </c>
      <c r="T1237">
        <f t="shared" si="288"/>
        <v>0</v>
      </c>
      <c r="U1237">
        <f t="shared" si="286"/>
        <v>1</v>
      </c>
      <c r="V1237">
        <f t="shared" si="289"/>
        <v>1</v>
      </c>
      <c r="W1237">
        <f t="shared" si="290"/>
        <v>0</v>
      </c>
      <c r="X1237">
        <f t="shared" si="299"/>
        <v>0</v>
      </c>
      <c r="Y1237">
        <f t="shared" si="300"/>
        <v>0</v>
      </c>
      <c r="Z1237">
        <f t="shared" si="291"/>
        <v>2</v>
      </c>
      <c r="AA1237">
        <f t="shared" si="292"/>
        <v>2.5</v>
      </c>
      <c r="AB1237">
        <f t="shared" si="293"/>
        <v>1.4285714285714286</v>
      </c>
      <c r="AC1237">
        <f t="shared" si="294"/>
        <v>0</v>
      </c>
      <c r="AD1237" s="1">
        <f t="shared" si="295"/>
        <v>0</v>
      </c>
      <c r="AE1237">
        <f t="shared" si="296"/>
        <v>0</v>
      </c>
      <c r="AF1237">
        <f t="shared" si="297"/>
        <v>0</v>
      </c>
      <c r="AG1237">
        <f t="shared" si="298"/>
        <v>0</v>
      </c>
    </row>
    <row r="1238" spans="1:33" x14ac:dyDescent="0.25">
      <c r="A1238" t="s">
        <v>2083</v>
      </c>
      <c r="B1238" t="s">
        <v>2084</v>
      </c>
      <c r="C1238">
        <v>166134</v>
      </c>
      <c r="D1238">
        <v>166134</v>
      </c>
      <c r="E1238">
        <v>30</v>
      </c>
      <c r="F1238">
        <v>40</v>
      </c>
      <c r="G1238">
        <v>40</v>
      </c>
      <c r="O1238">
        <v>110</v>
      </c>
      <c r="S1238">
        <f t="shared" si="287"/>
        <v>6.875</v>
      </c>
      <c r="T1238">
        <f t="shared" si="288"/>
        <v>0</v>
      </c>
      <c r="U1238">
        <f t="shared" si="286"/>
        <v>1</v>
      </c>
      <c r="V1238">
        <f t="shared" si="289"/>
        <v>1</v>
      </c>
      <c r="W1238">
        <f t="shared" si="290"/>
        <v>0</v>
      </c>
      <c r="X1238">
        <f t="shared" si="299"/>
        <v>1</v>
      </c>
      <c r="Y1238">
        <f t="shared" si="300"/>
        <v>0</v>
      </c>
      <c r="Z1238">
        <f t="shared" si="291"/>
        <v>6</v>
      </c>
      <c r="AA1238">
        <f t="shared" si="292"/>
        <v>10</v>
      </c>
      <c r="AB1238">
        <f t="shared" si="293"/>
        <v>5.7142857142857144</v>
      </c>
      <c r="AC1238">
        <f t="shared" si="294"/>
        <v>0</v>
      </c>
      <c r="AD1238" s="1">
        <f t="shared" si="295"/>
        <v>0</v>
      </c>
      <c r="AE1238">
        <f t="shared" si="296"/>
        <v>0</v>
      </c>
      <c r="AF1238">
        <f t="shared" si="297"/>
        <v>0</v>
      </c>
      <c r="AG1238">
        <f t="shared" si="298"/>
        <v>0</v>
      </c>
    </row>
    <row r="1239" spans="1:33" x14ac:dyDescent="0.25">
      <c r="A1239" t="s">
        <v>2085</v>
      </c>
      <c r="B1239" t="s">
        <v>2086</v>
      </c>
      <c r="C1239">
        <v>166696</v>
      </c>
      <c r="D1239">
        <v>166696</v>
      </c>
      <c r="S1239">
        <f t="shared" si="287"/>
        <v>0</v>
      </c>
      <c r="T1239">
        <f t="shared" si="288"/>
        <v>0</v>
      </c>
      <c r="U1239">
        <f t="shared" si="286"/>
        <v>0</v>
      </c>
      <c r="V1239">
        <f t="shared" si="289"/>
        <v>0</v>
      </c>
      <c r="W1239">
        <f t="shared" si="290"/>
        <v>0</v>
      </c>
      <c r="X1239">
        <f t="shared" si="299"/>
        <v>0</v>
      </c>
      <c r="Y1239">
        <f t="shared" si="300"/>
        <v>0</v>
      </c>
      <c r="Z1239">
        <f t="shared" si="291"/>
        <v>0</v>
      </c>
      <c r="AA1239">
        <f t="shared" si="292"/>
        <v>0</v>
      </c>
      <c r="AB1239">
        <f t="shared" si="293"/>
        <v>0</v>
      </c>
      <c r="AC1239">
        <f t="shared" si="294"/>
        <v>0</v>
      </c>
      <c r="AD1239" s="1">
        <f t="shared" si="295"/>
        <v>0</v>
      </c>
      <c r="AE1239">
        <f t="shared" si="296"/>
        <v>0</v>
      </c>
      <c r="AF1239">
        <f t="shared" si="297"/>
        <v>0</v>
      </c>
      <c r="AG1239">
        <f t="shared" si="298"/>
        <v>0</v>
      </c>
    </row>
    <row r="1240" spans="1:33" x14ac:dyDescent="0.25">
      <c r="A1240" t="s">
        <v>2087</v>
      </c>
      <c r="B1240" t="s">
        <v>130</v>
      </c>
      <c r="C1240">
        <v>166289</v>
      </c>
      <c r="D1240">
        <v>166289</v>
      </c>
      <c r="H1240">
        <v>20</v>
      </c>
      <c r="I1240">
        <v>20</v>
      </c>
      <c r="J1240">
        <v>0</v>
      </c>
      <c r="K1240">
        <v>0</v>
      </c>
      <c r="L1240">
        <v>10</v>
      </c>
      <c r="M1240">
        <v>50</v>
      </c>
      <c r="S1240">
        <f t="shared" si="287"/>
        <v>0</v>
      </c>
      <c r="T1240">
        <f t="shared" si="288"/>
        <v>4.166666666666667</v>
      </c>
      <c r="U1240">
        <f t="shared" si="286"/>
        <v>1</v>
      </c>
      <c r="V1240">
        <f t="shared" si="289"/>
        <v>0</v>
      </c>
      <c r="W1240">
        <f t="shared" si="290"/>
        <v>1</v>
      </c>
      <c r="X1240">
        <f t="shared" si="299"/>
        <v>0</v>
      </c>
      <c r="Y1240">
        <f t="shared" si="300"/>
        <v>0</v>
      </c>
      <c r="Z1240">
        <f t="shared" si="291"/>
        <v>0</v>
      </c>
      <c r="AA1240">
        <f t="shared" si="292"/>
        <v>0</v>
      </c>
      <c r="AB1240">
        <f t="shared" si="293"/>
        <v>0</v>
      </c>
      <c r="AC1240">
        <f t="shared" si="294"/>
        <v>10</v>
      </c>
      <c r="AD1240" s="1">
        <f t="shared" si="295"/>
        <v>3.3333333333333335</v>
      </c>
      <c r="AE1240">
        <f t="shared" si="296"/>
        <v>0</v>
      </c>
      <c r="AF1240">
        <f t="shared" si="297"/>
        <v>0</v>
      </c>
      <c r="AG1240">
        <f t="shared" si="298"/>
        <v>10</v>
      </c>
    </row>
    <row r="1241" spans="1:33" x14ac:dyDescent="0.25">
      <c r="A1241" t="s">
        <v>2088</v>
      </c>
      <c r="B1241" t="s">
        <v>2089</v>
      </c>
      <c r="C1241">
        <v>168133</v>
      </c>
      <c r="D1241">
        <v>168133</v>
      </c>
      <c r="E1241">
        <v>0</v>
      </c>
      <c r="F1241">
        <v>20</v>
      </c>
      <c r="G1241">
        <v>20</v>
      </c>
      <c r="O1241">
        <v>40</v>
      </c>
      <c r="S1241">
        <f t="shared" si="287"/>
        <v>2.5</v>
      </c>
      <c r="T1241">
        <f t="shared" si="288"/>
        <v>0</v>
      </c>
      <c r="U1241">
        <f t="shared" si="286"/>
        <v>1</v>
      </c>
      <c r="V1241">
        <f t="shared" si="289"/>
        <v>1</v>
      </c>
      <c r="W1241">
        <f t="shared" si="290"/>
        <v>0</v>
      </c>
      <c r="X1241">
        <f t="shared" si="299"/>
        <v>0</v>
      </c>
      <c r="Y1241">
        <f t="shared" si="300"/>
        <v>0</v>
      </c>
      <c r="Z1241">
        <f t="shared" si="291"/>
        <v>0</v>
      </c>
      <c r="AA1241">
        <f t="shared" si="292"/>
        <v>5</v>
      </c>
      <c r="AB1241">
        <f t="shared" si="293"/>
        <v>2.8571428571428572</v>
      </c>
      <c r="AC1241">
        <f t="shared" si="294"/>
        <v>0</v>
      </c>
      <c r="AD1241" s="1">
        <f t="shared" si="295"/>
        <v>0</v>
      </c>
      <c r="AE1241">
        <f t="shared" si="296"/>
        <v>0</v>
      </c>
      <c r="AF1241">
        <f t="shared" si="297"/>
        <v>0</v>
      </c>
      <c r="AG1241">
        <f t="shared" si="298"/>
        <v>0</v>
      </c>
    </row>
    <row r="1242" spans="1:33" x14ac:dyDescent="0.25">
      <c r="A1242" t="s">
        <v>2090</v>
      </c>
      <c r="B1242" t="s">
        <v>350</v>
      </c>
      <c r="C1242">
        <v>167374</v>
      </c>
      <c r="D1242">
        <v>167374</v>
      </c>
      <c r="H1242">
        <v>20</v>
      </c>
      <c r="I1242">
        <v>60</v>
      </c>
      <c r="J1242">
        <v>10</v>
      </c>
      <c r="K1242">
        <v>10</v>
      </c>
      <c r="L1242">
        <v>0</v>
      </c>
      <c r="M1242">
        <v>100</v>
      </c>
      <c r="S1242">
        <f t="shared" si="287"/>
        <v>0</v>
      </c>
      <c r="T1242">
        <f t="shared" si="288"/>
        <v>8.3333333333333339</v>
      </c>
      <c r="U1242">
        <f t="shared" si="286"/>
        <v>1</v>
      </c>
      <c r="V1242">
        <f t="shared" si="289"/>
        <v>0</v>
      </c>
      <c r="W1242">
        <f t="shared" si="290"/>
        <v>1</v>
      </c>
      <c r="X1242">
        <f t="shared" si="299"/>
        <v>0</v>
      </c>
      <c r="Y1242">
        <f t="shared" si="300"/>
        <v>1</v>
      </c>
      <c r="Z1242">
        <f t="shared" si="291"/>
        <v>0</v>
      </c>
      <c r="AA1242">
        <f t="shared" si="292"/>
        <v>0</v>
      </c>
      <c r="AB1242">
        <f t="shared" si="293"/>
        <v>0</v>
      </c>
      <c r="AC1242">
        <f t="shared" si="294"/>
        <v>10</v>
      </c>
      <c r="AD1242" s="1">
        <f t="shared" si="295"/>
        <v>10</v>
      </c>
      <c r="AE1242">
        <f t="shared" si="296"/>
        <v>5</v>
      </c>
      <c r="AF1242">
        <f t="shared" si="297"/>
        <v>10</v>
      </c>
      <c r="AG1242">
        <f t="shared" si="298"/>
        <v>0</v>
      </c>
    </row>
    <row r="1243" spans="1:33" x14ac:dyDescent="0.25">
      <c r="A1243" t="s">
        <v>2091</v>
      </c>
      <c r="B1243" t="s">
        <v>460</v>
      </c>
      <c r="C1243">
        <v>168248</v>
      </c>
      <c r="D1243">
        <v>168248</v>
      </c>
      <c r="H1243">
        <v>0</v>
      </c>
      <c r="I1243">
        <v>30</v>
      </c>
      <c r="J1243">
        <v>0</v>
      </c>
      <c r="K1243">
        <v>10</v>
      </c>
      <c r="L1243">
        <v>10</v>
      </c>
      <c r="M1243">
        <v>50</v>
      </c>
      <c r="S1243">
        <f t="shared" si="287"/>
        <v>0</v>
      </c>
      <c r="T1243">
        <f t="shared" si="288"/>
        <v>4.166666666666667</v>
      </c>
      <c r="U1243">
        <f t="shared" si="286"/>
        <v>1</v>
      </c>
      <c r="V1243">
        <f t="shared" si="289"/>
        <v>0</v>
      </c>
      <c r="W1243">
        <f t="shared" si="290"/>
        <v>1</v>
      </c>
      <c r="X1243">
        <f t="shared" si="299"/>
        <v>0</v>
      </c>
      <c r="Y1243">
        <f t="shared" si="300"/>
        <v>0</v>
      </c>
      <c r="Z1243">
        <f t="shared" si="291"/>
        <v>0</v>
      </c>
      <c r="AA1243">
        <f t="shared" si="292"/>
        <v>0</v>
      </c>
      <c r="AB1243">
        <f t="shared" si="293"/>
        <v>0</v>
      </c>
      <c r="AC1243">
        <f t="shared" si="294"/>
        <v>0</v>
      </c>
      <c r="AD1243" s="1">
        <f t="shared" si="295"/>
        <v>5</v>
      </c>
      <c r="AE1243">
        <f t="shared" si="296"/>
        <v>0</v>
      </c>
      <c r="AF1243">
        <f t="shared" si="297"/>
        <v>10</v>
      </c>
      <c r="AG1243">
        <f t="shared" si="298"/>
        <v>10</v>
      </c>
    </row>
    <row r="1244" spans="1:33" x14ac:dyDescent="0.25">
      <c r="A1244" t="s">
        <v>2092</v>
      </c>
      <c r="B1244" t="s">
        <v>2093</v>
      </c>
      <c r="C1244">
        <v>168681</v>
      </c>
      <c r="D1244">
        <v>168681</v>
      </c>
      <c r="H1244">
        <v>0</v>
      </c>
      <c r="I1244">
        <v>10</v>
      </c>
      <c r="J1244">
        <v>0</v>
      </c>
      <c r="K1244">
        <v>0</v>
      </c>
      <c r="L1244">
        <v>0</v>
      </c>
      <c r="M1244">
        <v>10</v>
      </c>
      <c r="S1244">
        <f t="shared" si="287"/>
        <v>0</v>
      </c>
      <c r="T1244">
        <f t="shared" si="288"/>
        <v>0.83333333333333337</v>
      </c>
      <c r="U1244">
        <f t="shared" si="286"/>
        <v>1</v>
      </c>
      <c r="V1244">
        <f t="shared" si="289"/>
        <v>0</v>
      </c>
      <c r="W1244">
        <f t="shared" si="290"/>
        <v>1</v>
      </c>
      <c r="X1244">
        <f t="shared" si="299"/>
        <v>0</v>
      </c>
      <c r="Y1244">
        <f t="shared" si="300"/>
        <v>0</v>
      </c>
      <c r="Z1244">
        <f t="shared" si="291"/>
        <v>0</v>
      </c>
      <c r="AA1244">
        <f t="shared" si="292"/>
        <v>0</v>
      </c>
      <c r="AB1244">
        <f t="shared" si="293"/>
        <v>0</v>
      </c>
      <c r="AC1244">
        <f t="shared" si="294"/>
        <v>0</v>
      </c>
      <c r="AD1244" s="1">
        <f t="shared" si="295"/>
        <v>1.6666666666666667</v>
      </c>
      <c r="AE1244">
        <f t="shared" si="296"/>
        <v>0</v>
      </c>
      <c r="AF1244">
        <f t="shared" si="297"/>
        <v>0</v>
      </c>
      <c r="AG1244">
        <f t="shared" si="298"/>
        <v>0</v>
      </c>
    </row>
    <row r="1245" spans="1:33" x14ac:dyDescent="0.25">
      <c r="A1245" t="s">
        <v>2094</v>
      </c>
      <c r="B1245" t="s">
        <v>2095</v>
      </c>
      <c r="C1245">
        <v>166304</v>
      </c>
      <c r="D1245">
        <v>166304</v>
      </c>
      <c r="H1245">
        <v>10</v>
      </c>
      <c r="I1245">
        <v>30</v>
      </c>
      <c r="J1245">
        <v>10</v>
      </c>
      <c r="K1245">
        <v>10</v>
      </c>
      <c r="L1245">
        <v>10</v>
      </c>
      <c r="M1245">
        <v>70</v>
      </c>
      <c r="S1245">
        <f t="shared" si="287"/>
        <v>0</v>
      </c>
      <c r="T1245">
        <f t="shared" si="288"/>
        <v>5.833333333333333</v>
      </c>
      <c r="U1245">
        <f t="shared" si="286"/>
        <v>1</v>
      </c>
      <c r="V1245">
        <f t="shared" si="289"/>
        <v>0</v>
      </c>
      <c r="W1245">
        <f t="shared" si="290"/>
        <v>1</v>
      </c>
      <c r="X1245">
        <f t="shared" si="299"/>
        <v>0</v>
      </c>
      <c r="Y1245">
        <f t="shared" si="300"/>
        <v>0</v>
      </c>
      <c r="Z1245">
        <f t="shared" si="291"/>
        <v>0</v>
      </c>
      <c r="AA1245">
        <f t="shared" si="292"/>
        <v>0</v>
      </c>
      <c r="AB1245">
        <f t="shared" si="293"/>
        <v>0</v>
      </c>
      <c r="AC1245">
        <f t="shared" si="294"/>
        <v>5</v>
      </c>
      <c r="AD1245" s="1">
        <f t="shared" si="295"/>
        <v>5</v>
      </c>
      <c r="AE1245">
        <f t="shared" si="296"/>
        <v>5</v>
      </c>
      <c r="AF1245">
        <f t="shared" si="297"/>
        <v>10</v>
      </c>
      <c r="AG1245">
        <f t="shared" si="298"/>
        <v>10</v>
      </c>
    </row>
    <row r="1246" spans="1:33" x14ac:dyDescent="0.25">
      <c r="A1246" t="s">
        <v>2096</v>
      </c>
      <c r="B1246" t="s">
        <v>2097</v>
      </c>
      <c r="C1246">
        <v>168531</v>
      </c>
      <c r="D1246">
        <v>168531</v>
      </c>
      <c r="S1246">
        <f t="shared" si="287"/>
        <v>0</v>
      </c>
      <c r="T1246">
        <f t="shared" si="288"/>
        <v>0</v>
      </c>
      <c r="U1246">
        <f t="shared" si="286"/>
        <v>0</v>
      </c>
      <c r="V1246">
        <f t="shared" si="289"/>
        <v>0</v>
      </c>
      <c r="W1246">
        <f t="shared" si="290"/>
        <v>0</v>
      </c>
      <c r="X1246">
        <f t="shared" si="299"/>
        <v>0</v>
      </c>
      <c r="Y1246">
        <f t="shared" si="300"/>
        <v>0</v>
      </c>
      <c r="Z1246">
        <f t="shared" si="291"/>
        <v>0</v>
      </c>
      <c r="AA1246">
        <f t="shared" si="292"/>
        <v>0</v>
      </c>
      <c r="AB1246">
        <f t="shared" si="293"/>
        <v>0</v>
      </c>
      <c r="AC1246">
        <f t="shared" si="294"/>
        <v>0</v>
      </c>
      <c r="AD1246" s="1">
        <f t="shared" si="295"/>
        <v>0</v>
      </c>
      <c r="AE1246">
        <f t="shared" si="296"/>
        <v>0</v>
      </c>
      <c r="AF1246">
        <f t="shared" si="297"/>
        <v>0</v>
      </c>
      <c r="AG1246">
        <f t="shared" si="298"/>
        <v>0</v>
      </c>
    </row>
    <row r="1247" spans="1:33" x14ac:dyDescent="0.25">
      <c r="A1247" t="s">
        <v>2098</v>
      </c>
      <c r="B1247" t="s">
        <v>1555</v>
      </c>
      <c r="C1247">
        <v>165976</v>
      </c>
      <c r="D1247">
        <v>165976</v>
      </c>
      <c r="E1247">
        <v>40</v>
      </c>
      <c r="F1247">
        <v>10</v>
      </c>
      <c r="G1247">
        <v>20</v>
      </c>
      <c r="O1247">
        <v>70</v>
      </c>
      <c r="S1247">
        <f t="shared" si="287"/>
        <v>4.375</v>
      </c>
      <c r="T1247">
        <f t="shared" si="288"/>
        <v>0</v>
      </c>
      <c r="U1247">
        <f t="shared" si="286"/>
        <v>1</v>
      </c>
      <c r="V1247">
        <f t="shared" si="289"/>
        <v>1</v>
      </c>
      <c r="W1247">
        <f t="shared" si="290"/>
        <v>0</v>
      </c>
      <c r="X1247">
        <f t="shared" si="299"/>
        <v>0</v>
      </c>
      <c r="Y1247">
        <f t="shared" si="300"/>
        <v>0</v>
      </c>
      <c r="Z1247">
        <f t="shared" si="291"/>
        <v>8</v>
      </c>
      <c r="AA1247">
        <f t="shared" si="292"/>
        <v>2.5</v>
      </c>
      <c r="AB1247">
        <f t="shared" si="293"/>
        <v>2.8571428571428572</v>
      </c>
      <c r="AC1247">
        <f t="shared" si="294"/>
        <v>0</v>
      </c>
      <c r="AD1247" s="1">
        <f t="shared" si="295"/>
        <v>0</v>
      </c>
      <c r="AE1247">
        <f t="shared" si="296"/>
        <v>0</v>
      </c>
      <c r="AF1247">
        <f t="shared" si="297"/>
        <v>0</v>
      </c>
      <c r="AG1247">
        <f t="shared" si="298"/>
        <v>0</v>
      </c>
    </row>
    <row r="1248" spans="1:33" x14ac:dyDescent="0.25">
      <c r="A1248" t="s">
        <v>2099</v>
      </c>
      <c r="B1248" t="s">
        <v>2100</v>
      </c>
      <c r="C1248">
        <v>158648</v>
      </c>
      <c r="D1248">
        <v>158648</v>
      </c>
      <c r="E1248">
        <v>10</v>
      </c>
      <c r="F1248">
        <v>20</v>
      </c>
      <c r="G1248">
        <v>40</v>
      </c>
      <c r="O1248">
        <v>70</v>
      </c>
      <c r="S1248">
        <f t="shared" si="287"/>
        <v>4.375</v>
      </c>
      <c r="T1248">
        <f t="shared" si="288"/>
        <v>0</v>
      </c>
      <c r="U1248">
        <f t="shared" si="286"/>
        <v>1</v>
      </c>
      <c r="V1248">
        <f t="shared" si="289"/>
        <v>1</v>
      </c>
      <c r="W1248">
        <f t="shared" si="290"/>
        <v>0</v>
      </c>
      <c r="X1248">
        <f t="shared" si="299"/>
        <v>0</v>
      </c>
      <c r="Y1248">
        <f t="shared" si="300"/>
        <v>0</v>
      </c>
      <c r="Z1248">
        <f t="shared" si="291"/>
        <v>2</v>
      </c>
      <c r="AA1248">
        <f t="shared" si="292"/>
        <v>5</v>
      </c>
      <c r="AB1248">
        <f t="shared" si="293"/>
        <v>5.7142857142857144</v>
      </c>
      <c r="AC1248">
        <f t="shared" si="294"/>
        <v>0</v>
      </c>
      <c r="AD1248" s="1">
        <f t="shared" si="295"/>
        <v>0</v>
      </c>
      <c r="AE1248">
        <f t="shared" si="296"/>
        <v>0</v>
      </c>
      <c r="AF1248">
        <f t="shared" si="297"/>
        <v>0</v>
      </c>
      <c r="AG1248">
        <f t="shared" si="298"/>
        <v>0</v>
      </c>
    </row>
    <row r="1249" spans="1:33" x14ac:dyDescent="0.25">
      <c r="A1249" t="s">
        <v>2101</v>
      </c>
      <c r="B1249" t="s">
        <v>2102</v>
      </c>
      <c r="C1249">
        <v>167394</v>
      </c>
      <c r="D1249">
        <v>167394</v>
      </c>
      <c r="E1249">
        <v>50</v>
      </c>
      <c r="F1249">
        <v>40</v>
      </c>
      <c r="G1249">
        <v>40</v>
      </c>
      <c r="O1249">
        <v>130</v>
      </c>
      <c r="S1249">
        <f t="shared" si="287"/>
        <v>8.125</v>
      </c>
      <c r="T1249">
        <f t="shared" si="288"/>
        <v>0</v>
      </c>
      <c r="U1249">
        <f t="shared" si="286"/>
        <v>1</v>
      </c>
      <c r="V1249">
        <f t="shared" si="289"/>
        <v>1</v>
      </c>
      <c r="W1249">
        <f t="shared" si="290"/>
        <v>0</v>
      </c>
      <c r="X1249">
        <f t="shared" si="299"/>
        <v>1</v>
      </c>
      <c r="Y1249">
        <f t="shared" si="300"/>
        <v>0</v>
      </c>
      <c r="Z1249">
        <f t="shared" si="291"/>
        <v>10</v>
      </c>
      <c r="AA1249">
        <f t="shared" si="292"/>
        <v>10</v>
      </c>
      <c r="AB1249">
        <f t="shared" si="293"/>
        <v>5.7142857142857144</v>
      </c>
      <c r="AC1249">
        <f t="shared" si="294"/>
        <v>0</v>
      </c>
      <c r="AD1249" s="1">
        <f t="shared" si="295"/>
        <v>0</v>
      </c>
      <c r="AE1249">
        <f t="shared" si="296"/>
        <v>0</v>
      </c>
      <c r="AF1249">
        <f t="shared" si="297"/>
        <v>0</v>
      </c>
      <c r="AG1249">
        <f t="shared" si="298"/>
        <v>0</v>
      </c>
    </row>
    <row r="1250" spans="1:33" x14ac:dyDescent="0.25">
      <c r="A1250" t="s">
        <v>2103</v>
      </c>
      <c r="B1250" t="s">
        <v>2104</v>
      </c>
      <c r="C1250">
        <v>168330</v>
      </c>
      <c r="D1250">
        <v>168330</v>
      </c>
      <c r="E1250">
        <v>0</v>
      </c>
      <c r="F1250">
        <v>30</v>
      </c>
      <c r="G1250">
        <v>20</v>
      </c>
      <c r="O1250">
        <v>50</v>
      </c>
      <c r="S1250">
        <f t="shared" si="287"/>
        <v>3.125</v>
      </c>
      <c r="T1250">
        <f t="shared" si="288"/>
        <v>0</v>
      </c>
      <c r="U1250">
        <f t="shared" si="286"/>
        <v>1</v>
      </c>
      <c r="V1250">
        <f t="shared" si="289"/>
        <v>1</v>
      </c>
      <c r="W1250">
        <f t="shared" si="290"/>
        <v>0</v>
      </c>
      <c r="X1250">
        <f t="shared" si="299"/>
        <v>0</v>
      </c>
      <c r="Y1250">
        <f t="shared" si="300"/>
        <v>0</v>
      </c>
      <c r="Z1250">
        <f t="shared" si="291"/>
        <v>0</v>
      </c>
      <c r="AA1250">
        <f t="shared" si="292"/>
        <v>7.5</v>
      </c>
      <c r="AB1250">
        <f t="shared" si="293"/>
        <v>2.8571428571428572</v>
      </c>
      <c r="AC1250">
        <f t="shared" si="294"/>
        <v>0</v>
      </c>
      <c r="AD1250" s="1">
        <f t="shared" si="295"/>
        <v>0</v>
      </c>
      <c r="AE1250">
        <f t="shared" si="296"/>
        <v>0</v>
      </c>
      <c r="AF1250">
        <f t="shared" si="297"/>
        <v>0</v>
      </c>
      <c r="AG1250">
        <f t="shared" si="298"/>
        <v>0</v>
      </c>
    </row>
    <row r="1251" spans="1:33" x14ac:dyDescent="0.25">
      <c r="A1251" t="s">
        <v>2105</v>
      </c>
      <c r="B1251" t="s">
        <v>2106</v>
      </c>
      <c r="C1251">
        <v>167196</v>
      </c>
      <c r="D1251">
        <v>167196</v>
      </c>
      <c r="E1251">
        <v>50</v>
      </c>
      <c r="F1251">
        <v>40</v>
      </c>
      <c r="G1251">
        <v>40</v>
      </c>
      <c r="O1251">
        <v>130</v>
      </c>
      <c r="S1251">
        <f t="shared" si="287"/>
        <v>8.125</v>
      </c>
      <c r="T1251">
        <f t="shared" si="288"/>
        <v>0</v>
      </c>
      <c r="U1251">
        <f t="shared" si="286"/>
        <v>1</v>
      </c>
      <c r="V1251">
        <f t="shared" si="289"/>
        <v>1</v>
      </c>
      <c r="W1251">
        <f t="shared" si="290"/>
        <v>0</v>
      </c>
      <c r="X1251">
        <f t="shared" si="299"/>
        <v>1</v>
      </c>
      <c r="Y1251">
        <f t="shared" si="300"/>
        <v>0</v>
      </c>
      <c r="Z1251">
        <f t="shared" si="291"/>
        <v>10</v>
      </c>
      <c r="AA1251">
        <f t="shared" si="292"/>
        <v>10</v>
      </c>
      <c r="AB1251">
        <f t="shared" si="293"/>
        <v>5.7142857142857144</v>
      </c>
      <c r="AC1251">
        <f t="shared" si="294"/>
        <v>0</v>
      </c>
      <c r="AD1251" s="1">
        <f t="shared" si="295"/>
        <v>0</v>
      </c>
      <c r="AE1251">
        <f t="shared" si="296"/>
        <v>0</v>
      </c>
      <c r="AF1251">
        <f t="shared" si="297"/>
        <v>0</v>
      </c>
      <c r="AG1251">
        <f t="shared" si="298"/>
        <v>0</v>
      </c>
    </row>
    <row r="1252" spans="1:33" x14ac:dyDescent="0.25">
      <c r="A1252" t="s">
        <v>2107</v>
      </c>
      <c r="B1252" t="s">
        <v>2108</v>
      </c>
      <c r="C1252">
        <v>168612</v>
      </c>
      <c r="D1252">
        <v>168612</v>
      </c>
      <c r="S1252">
        <f t="shared" si="287"/>
        <v>0</v>
      </c>
      <c r="T1252">
        <f t="shared" si="288"/>
        <v>0</v>
      </c>
      <c r="U1252">
        <f t="shared" si="286"/>
        <v>0</v>
      </c>
      <c r="V1252">
        <f t="shared" si="289"/>
        <v>0</v>
      </c>
      <c r="W1252">
        <f t="shared" si="290"/>
        <v>0</v>
      </c>
      <c r="X1252">
        <f t="shared" si="299"/>
        <v>0</v>
      </c>
      <c r="Y1252">
        <f t="shared" si="300"/>
        <v>0</v>
      </c>
      <c r="Z1252">
        <f t="shared" si="291"/>
        <v>0</v>
      </c>
      <c r="AA1252">
        <f t="shared" si="292"/>
        <v>0</v>
      </c>
      <c r="AB1252">
        <f t="shared" si="293"/>
        <v>0</v>
      </c>
      <c r="AC1252">
        <f t="shared" si="294"/>
        <v>0</v>
      </c>
      <c r="AD1252" s="1">
        <f t="shared" si="295"/>
        <v>0</v>
      </c>
      <c r="AE1252">
        <f t="shared" si="296"/>
        <v>0</v>
      </c>
      <c r="AF1252">
        <f t="shared" si="297"/>
        <v>0</v>
      </c>
      <c r="AG1252">
        <f t="shared" si="298"/>
        <v>0</v>
      </c>
    </row>
    <row r="1253" spans="1:33" x14ac:dyDescent="0.25">
      <c r="A1253" t="s">
        <v>2107</v>
      </c>
      <c r="B1253" t="s">
        <v>2109</v>
      </c>
      <c r="C1253">
        <v>167589</v>
      </c>
      <c r="D1253">
        <v>167589</v>
      </c>
      <c r="S1253">
        <f t="shared" si="287"/>
        <v>0</v>
      </c>
      <c r="T1253">
        <f t="shared" si="288"/>
        <v>0</v>
      </c>
      <c r="U1253">
        <f t="shared" si="286"/>
        <v>0</v>
      </c>
      <c r="V1253">
        <f t="shared" si="289"/>
        <v>0</v>
      </c>
      <c r="W1253">
        <f t="shared" si="290"/>
        <v>0</v>
      </c>
      <c r="X1253">
        <f t="shared" si="299"/>
        <v>0</v>
      </c>
      <c r="Y1253">
        <f t="shared" si="300"/>
        <v>0</v>
      </c>
      <c r="Z1253">
        <f t="shared" si="291"/>
        <v>0</v>
      </c>
      <c r="AA1253">
        <f t="shared" si="292"/>
        <v>0</v>
      </c>
      <c r="AB1253">
        <f t="shared" si="293"/>
        <v>0</v>
      </c>
      <c r="AC1253">
        <f t="shared" si="294"/>
        <v>0</v>
      </c>
      <c r="AD1253" s="1">
        <f t="shared" si="295"/>
        <v>0</v>
      </c>
      <c r="AE1253">
        <f t="shared" si="296"/>
        <v>0</v>
      </c>
      <c r="AF1253">
        <f t="shared" si="297"/>
        <v>0</v>
      </c>
      <c r="AG1253">
        <f t="shared" si="298"/>
        <v>0</v>
      </c>
    </row>
    <row r="1254" spans="1:33" x14ac:dyDescent="0.25">
      <c r="A1254" t="s">
        <v>2110</v>
      </c>
      <c r="B1254" t="s">
        <v>1225</v>
      </c>
      <c r="C1254">
        <v>168564</v>
      </c>
      <c r="D1254">
        <v>168564</v>
      </c>
      <c r="H1254">
        <v>0</v>
      </c>
      <c r="I1254">
        <v>30</v>
      </c>
      <c r="J1254">
        <v>0</v>
      </c>
      <c r="K1254">
        <v>0</v>
      </c>
      <c r="L1254">
        <v>0</v>
      </c>
      <c r="M1254">
        <v>30</v>
      </c>
      <c r="S1254">
        <f t="shared" si="287"/>
        <v>0</v>
      </c>
      <c r="T1254">
        <f t="shared" si="288"/>
        <v>2.5</v>
      </c>
      <c r="U1254">
        <f t="shared" si="286"/>
        <v>1</v>
      </c>
      <c r="V1254">
        <f t="shared" si="289"/>
        <v>0</v>
      </c>
      <c r="W1254">
        <f t="shared" si="290"/>
        <v>1</v>
      </c>
      <c r="X1254">
        <f t="shared" si="299"/>
        <v>0</v>
      </c>
      <c r="Y1254">
        <f t="shared" si="300"/>
        <v>0</v>
      </c>
      <c r="Z1254">
        <f t="shared" si="291"/>
        <v>0</v>
      </c>
      <c r="AA1254">
        <f t="shared" si="292"/>
        <v>0</v>
      </c>
      <c r="AB1254">
        <f t="shared" si="293"/>
        <v>0</v>
      </c>
      <c r="AC1254">
        <f t="shared" si="294"/>
        <v>0</v>
      </c>
      <c r="AD1254" s="1">
        <f t="shared" si="295"/>
        <v>5</v>
      </c>
      <c r="AE1254">
        <f t="shared" si="296"/>
        <v>0</v>
      </c>
      <c r="AF1254">
        <f t="shared" si="297"/>
        <v>0</v>
      </c>
      <c r="AG1254">
        <f t="shared" si="298"/>
        <v>0</v>
      </c>
    </row>
    <row r="1255" spans="1:33" x14ac:dyDescent="0.25">
      <c r="A1255" t="s">
        <v>2111</v>
      </c>
      <c r="B1255" t="s">
        <v>596</v>
      </c>
      <c r="C1255">
        <v>167392</v>
      </c>
      <c r="D1255">
        <v>167392</v>
      </c>
      <c r="E1255">
        <v>50</v>
      </c>
      <c r="F1255">
        <v>40</v>
      </c>
      <c r="G1255">
        <v>40</v>
      </c>
      <c r="O1255">
        <v>130</v>
      </c>
      <c r="S1255">
        <f t="shared" si="287"/>
        <v>8.125</v>
      </c>
      <c r="T1255">
        <f t="shared" si="288"/>
        <v>0</v>
      </c>
      <c r="U1255">
        <f t="shared" si="286"/>
        <v>1</v>
      </c>
      <c r="V1255">
        <f t="shared" si="289"/>
        <v>1</v>
      </c>
      <c r="W1255">
        <f t="shared" si="290"/>
        <v>0</v>
      </c>
      <c r="X1255">
        <f t="shared" si="299"/>
        <v>1</v>
      </c>
      <c r="Y1255">
        <f t="shared" si="300"/>
        <v>0</v>
      </c>
      <c r="Z1255">
        <f t="shared" si="291"/>
        <v>10</v>
      </c>
      <c r="AA1255">
        <f t="shared" si="292"/>
        <v>10</v>
      </c>
      <c r="AB1255">
        <f t="shared" si="293"/>
        <v>5.7142857142857144</v>
      </c>
      <c r="AC1255">
        <f t="shared" si="294"/>
        <v>0</v>
      </c>
      <c r="AD1255" s="1">
        <f t="shared" si="295"/>
        <v>0</v>
      </c>
      <c r="AE1255">
        <f t="shared" si="296"/>
        <v>0</v>
      </c>
      <c r="AF1255">
        <f t="shared" si="297"/>
        <v>0</v>
      </c>
      <c r="AG1255">
        <f t="shared" si="298"/>
        <v>0</v>
      </c>
    </row>
    <row r="1256" spans="1:33" x14ac:dyDescent="0.25">
      <c r="A1256" t="s">
        <v>2112</v>
      </c>
      <c r="B1256" t="s">
        <v>2113</v>
      </c>
      <c r="C1256">
        <v>165414</v>
      </c>
      <c r="D1256">
        <v>165414</v>
      </c>
      <c r="H1256">
        <v>10</v>
      </c>
      <c r="I1256">
        <v>50</v>
      </c>
      <c r="J1256">
        <v>20</v>
      </c>
      <c r="K1256">
        <v>0</v>
      </c>
      <c r="L1256">
        <v>10</v>
      </c>
      <c r="M1256">
        <v>90</v>
      </c>
      <c r="S1256">
        <f t="shared" si="287"/>
        <v>0</v>
      </c>
      <c r="T1256">
        <f t="shared" si="288"/>
        <v>7.5</v>
      </c>
      <c r="U1256">
        <f t="shared" si="286"/>
        <v>1</v>
      </c>
      <c r="V1256">
        <f t="shared" si="289"/>
        <v>0</v>
      </c>
      <c r="W1256">
        <f t="shared" si="290"/>
        <v>1</v>
      </c>
      <c r="X1256">
        <f t="shared" si="299"/>
        <v>0</v>
      </c>
      <c r="Y1256">
        <f t="shared" si="300"/>
        <v>1</v>
      </c>
      <c r="Z1256">
        <f t="shared" si="291"/>
        <v>0</v>
      </c>
      <c r="AA1256">
        <f t="shared" si="292"/>
        <v>0</v>
      </c>
      <c r="AB1256">
        <f t="shared" si="293"/>
        <v>0</v>
      </c>
      <c r="AC1256">
        <f t="shared" si="294"/>
        <v>5</v>
      </c>
      <c r="AD1256" s="1">
        <f t="shared" si="295"/>
        <v>8.3333333333333339</v>
      </c>
      <c r="AE1256">
        <f t="shared" si="296"/>
        <v>10</v>
      </c>
      <c r="AF1256">
        <f t="shared" si="297"/>
        <v>0</v>
      </c>
      <c r="AG1256">
        <f t="shared" si="298"/>
        <v>10</v>
      </c>
    </row>
    <row r="1257" spans="1:33" x14ac:dyDescent="0.25">
      <c r="A1257" t="s">
        <v>2114</v>
      </c>
      <c r="B1257" t="s">
        <v>1185</v>
      </c>
      <c r="C1257">
        <v>167119</v>
      </c>
      <c r="D1257">
        <v>167119</v>
      </c>
      <c r="H1257">
        <v>20</v>
      </c>
      <c r="I1257">
        <v>40</v>
      </c>
      <c r="J1257">
        <v>10</v>
      </c>
      <c r="K1257">
        <v>10</v>
      </c>
      <c r="L1257">
        <v>10</v>
      </c>
      <c r="M1257">
        <v>90</v>
      </c>
      <c r="S1257">
        <f t="shared" si="287"/>
        <v>0</v>
      </c>
      <c r="T1257">
        <f t="shared" si="288"/>
        <v>7.5</v>
      </c>
      <c r="U1257">
        <f t="shared" si="286"/>
        <v>1</v>
      </c>
      <c r="V1257">
        <f t="shared" si="289"/>
        <v>0</v>
      </c>
      <c r="W1257">
        <f t="shared" si="290"/>
        <v>1</v>
      </c>
      <c r="X1257">
        <f t="shared" si="299"/>
        <v>0</v>
      </c>
      <c r="Y1257">
        <f t="shared" si="300"/>
        <v>1</v>
      </c>
      <c r="Z1257">
        <f t="shared" si="291"/>
        <v>0</v>
      </c>
      <c r="AA1257">
        <f t="shared" si="292"/>
        <v>0</v>
      </c>
      <c r="AB1257">
        <f t="shared" si="293"/>
        <v>0</v>
      </c>
      <c r="AC1257">
        <f t="shared" si="294"/>
        <v>10</v>
      </c>
      <c r="AD1257" s="1">
        <f t="shared" si="295"/>
        <v>6.666666666666667</v>
      </c>
      <c r="AE1257">
        <f t="shared" si="296"/>
        <v>5</v>
      </c>
      <c r="AF1257">
        <f t="shared" si="297"/>
        <v>10</v>
      </c>
      <c r="AG1257">
        <f t="shared" si="298"/>
        <v>10</v>
      </c>
    </row>
    <row r="1258" spans="1:33" x14ac:dyDescent="0.25">
      <c r="A1258" t="s">
        <v>2115</v>
      </c>
      <c r="B1258" t="s">
        <v>166</v>
      </c>
      <c r="C1258">
        <v>167674</v>
      </c>
      <c r="D1258">
        <v>167674</v>
      </c>
      <c r="E1258">
        <v>10</v>
      </c>
      <c r="F1258">
        <v>30</v>
      </c>
      <c r="G1258">
        <v>20</v>
      </c>
      <c r="O1258">
        <v>60</v>
      </c>
      <c r="S1258">
        <f t="shared" si="287"/>
        <v>3.75</v>
      </c>
      <c r="T1258">
        <f t="shared" si="288"/>
        <v>0</v>
      </c>
      <c r="U1258">
        <f t="shared" si="286"/>
        <v>1</v>
      </c>
      <c r="V1258">
        <f t="shared" si="289"/>
        <v>1</v>
      </c>
      <c r="W1258">
        <f t="shared" si="290"/>
        <v>0</v>
      </c>
      <c r="X1258">
        <f t="shared" si="299"/>
        <v>0</v>
      </c>
      <c r="Y1258">
        <f t="shared" si="300"/>
        <v>0</v>
      </c>
      <c r="Z1258">
        <f t="shared" si="291"/>
        <v>2</v>
      </c>
      <c r="AA1258">
        <f t="shared" si="292"/>
        <v>7.5</v>
      </c>
      <c r="AB1258">
        <f t="shared" si="293"/>
        <v>2.8571428571428572</v>
      </c>
      <c r="AC1258">
        <f t="shared" si="294"/>
        <v>0</v>
      </c>
      <c r="AD1258" s="1">
        <f t="shared" si="295"/>
        <v>0</v>
      </c>
      <c r="AE1258">
        <f t="shared" si="296"/>
        <v>0</v>
      </c>
      <c r="AF1258">
        <f t="shared" si="297"/>
        <v>0</v>
      </c>
      <c r="AG1258">
        <f t="shared" si="298"/>
        <v>0</v>
      </c>
    </row>
    <row r="1259" spans="1:33" x14ac:dyDescent="0.25">
      <c r="A1259" t="s">
        <v>2116</v>
      </c>
      <c r="B1259" t="s">
        <v>2117</v>
      </c>
      <c r="C1259">
        <v>165411</v>
      </c>
      <c r="D1259">
        <v>165411</v>
      </c>
      <c r="E1259">
        <v>10</v>
      </c>
      <c r="F1259">
        <v>0</v>
      </c>
      <c r="G1259">
        <v>30</v>
      </c>
      <c r="O1259">
        <v>40</v>
      </c>
      <c r="S1259">
        <f t="shared" si="287"/>
        <v>2.5</v>
      </c>
      <c r="T1259">
        <f t="shared" si="288"/>
        <v>0</v>
      </c>
      <c r="U1259">
        <f t="shared" si="286"/>
        <v>1</v>
      </c>
      <c r="V1259">
        <f t="shared" si="289"/>
        <v>1</v>
      </c>
      <c r="W1259">
        <f t="shared" si="290"/>
        <v>0</v>
      </c>
      <c r="X1259">
        <f t="shared" si="299"/>
        <v>0</v>
      </c>
      <c r="Y1259">
        <f t="shared" si="300"/>
        <v>0</v>
      </c>
      <c r="Z1259">
        <f t="shared" si="291"/>
        <v>2</v>
      </c>
      <c r="AA1259">
        <f t="shared" si="292"/>
        <v>0</v>
      </c>
      <c r="AB1259">
        <f t="shared" si="293"/>
        <v>4.2857142857142856</v>
      </c>
      <c r="AC1259">
        <f t="shared" si="294"/>
        <v>0</v>
      </c>
      <c r="AD1259" s="1">
        <f t="shared" si="295"/>
        <v>0</v>
      </c>
      <c r="AE1259">
        <f t="shared" si="296"/>
        <v>0</v>
      </c>
      <c r="AF1259">
        <f t="shared" si="297"/>
        <v>0</v>
      </c>
      <c r="AG1259">
        <f t="shared" si="298"/>
        <v>0</v>
      </c>
    </row>
    <row r="1260" spans="1:33" x14ac:dyDescent="0.25">
      <c r="A1260" t="s">
        <v>2118</v>
      </c>
      <c r="B1260" t="s">
        <v>2119</v>
      </c>
      <c r="C1260">
        <v>167899</v>
      </c>
      <c r="D1260">
        <v>167899</v>
      </c>
      <c r="E1260">
        <v>10</v>
      </c>
      <c r="F1260">
        <v>0</v>
      </c>
      <c r="G1260">
        <v>30</v>
      </c>
      <c r="O1260">
        <v>40</v>
      </c>
      <c r="S1260">
        <f t="shared" si="287"/>
        <v>2.5</v>
      </c>
      <c r="T1260">
        <f t="shared" si="288"/>
        <v>0</v>
      </c>
      <c r="U1260">
        <f t="shared" si="286"/>
        <v>1</v>
      </c>
      <c r="V1260">
        <f t="shared" si="289"/>
        <v>1</v>
      </c>
      <c r="W1260">
        <f t="shared" si="290"/>
        <v>0</v>
      </c>
      <c r="X1260">
        <f t="shared" si="299"/>
        <v>0</v>
      </c>
      <c r="Y1260">
        <f t="shared" si="300"/>
        <v>0</v>
      </c>
      <c r="Z1260">
        <f t="shared" si="291"/>
        <v>2</v>
      </c>
      <c r="AA1260">
        <f t="shared" si="292"/>
        <v>0</v>
      </c>
      <c r="AB1260">
        <f t="shared" si="293"/>
        <v>4.2857142857142856</v>
      </c>
      <c r="AC1260">
        <f t="shared" si="294"/>
        <v>0</v>
      </c>
      <c r="AD1260" s="1">
        <f t="shared" si="295"/>
        <v>0</v>
      </c>
      <c r="AE1260">
        <f t="shared" si="296"/>
        <v>0</v>
      </c>
      <c r="AF1260">
        <f t="shared" si="297"/>
        <v>0</v>
      </c>
      <c r="AG1260">
        <f t="shared" si="298"/>
        <v>0</v>
      </c>
    </row>
    <row r="1261" spans="1:33" x14ac:dyDescent="0.25">
      <c r="A1261" t="s">
        <v>2120</v>
      </c>
      <c r="B1261" t="s">
        <v>49</v>
      </c>
      <c r="C1261">
        <v>167702</v>
      </c>
      <c r="D1261">
        <v>167702</v>
      </c>
      <c r="E1261">
        <v>50</v>
      </c>
      <c r="F1261">
        <v>0</v>
      </c>
      <c r="G1261">
        <v>30</v>
      </c>
      <c r="O1261">
        <v>80</v>
      </c>
      <c r="S1261">
        <f t="shared" si="287"/>
        <v>5</v>
      </c>
      <c r="T1261">
        <f t="shared" si="288"/>
        <v>0</v>
      </c>
      <c r="U1261">
        <f t="shared" si="286"/>
        <v>1</v>
      </c>
      <c r="V1261">
        <f t="shared" si="289"/>
        <v>1</v>
      </c>
      <c r="W1261">
        <f t="shared" si="290"/>
        <v>0</v>
      </c>
      <c r="X1261">
        <f t="shared" si="299"/>
        <v>0</v>
      </c>
      <c r="Y1261">
        <f t="shared" si="300"/>
        <v>0</v>
      </c>
      <c r="Z1261">
        <f t="shared" si="291"/>
        <v>10</v>
      </c>
      <c r="AA1261">
        <f t="shared" si="292"/>
        <v>0</v>
      </c>
      <c r="AB1261">
        <f t="shared" si="293"/>
        <v>4.2857142857142856</v>
      </c>
      <c r="AC1261">
        <f t="shared" si="294"/>
        <v>0</v>
      </c>
      <c r="AD1261" s="1">
        <f t="shared" si="295"/>
        <v>0</v>
      </c>
      <c r="AE1261">
        <f t="shared" si="296"/>
        <v>0</v>
      </c>
      <c r="AF1261">
        <f t="shared" si="297"/>
        <v>0</v>
      </c>
      <c r="AG1261">
        <f t="shared" si="298"/>
        <v>0</v>
      </c>
    </row>
    <row r="1262" spans="1:33" x14ac:dyDescent="0.25">
      <c r="A1262" t="s">
        <v>2121</v>
      </c>
      <c r="B1262" t="s">
        <v>286</v>
      </c>
      <c r="C1262">
        <v>165711</v>
      </c>
      <c r="D1262">
        <v>165711</v>
      </c>
      <c r="E1262">
        <v>40</v>
      </c>
      <c r="F1262">
        <v>30</v>
      </c>
      <c r="G1262">
        <v>50</v>
      </c>
      <c r="O1262">
        <v>120</v>
      </c>
      <c r="S1262">
        <f t="shared" si="287"/>
        <v>7.5</v>
      </c>
      <c r="T1262">
        <f t="shared" si="288"/>
        <v>0</v>
      </c>
      <c r="U1262">
        <f t="shared" si="286"/>
        <v>1</v>
      </c>
      <c r="V1262">
        <f t="shared" si="289"/>
        <v>1</v>
      </c>
      <c r="W1262">
        <f t="shared" si="290"/>
        <v>0</v>
      </c>
      <c r="X1262">
        <f t="shared" si="299"/>
        <v>1</v>
      </c>
      <c r="Y1262">
        <f t="shared" si="300"/>
        <v>0</v>
      </c>
      <c r="Z1262">
        <f t="shared" si="291"/>
        <v>8</v>
      </c>
      <c r="AA1262">
        <f t="shared" si="292"/>
        <v>7.5</v>
      </c>
      <c r="AB1262">
        <f t="shared" si="293"/>
        <v>7.1428571428571432</v>
      </c>
      <c r="AC1262">
        <f t="shared" si="294"/>
        <v>0</v>
      </c>
      <c r="AD1262" s="1">
        <f t="shared" si="295"/>
        <v>0</v>
      </c>
      <c r="AE1262">
        <f t="shared" si="296"/>
        <v>0</v>
      </c>
      <c r="AF1262">
        <f t="shared" si="297"/>
        <v>0</v>
      </c>
      <c r="AG1262">
        <f t="shared" si="298"/>
        <v>0</v>
      </c>
    </row>
    <row r="1263" spans="1:33" x14ac:dyDescent="0.25">
      <c r="A1263" t="s">
        <v>2122</v>
      </c>
      <c r="B1263" t="s">
        <v>489</v>
      </c>
      <c r="C1263">
        <v>168831</v>
      </c>
      <c r="D1263">
        <v>168831</v>
      </c>
      <c r="E1263">
        <v>40</v>
      </c>
      <c r="F1263">
        <v>10</v>
      </c>
      <c r="G1263">
        <v>30</v>
      </c>
      <c r="O1263">
        <v>80</v>
      </c>
      <c r="S1263">
        <f t="shared" si="287"/>
        <v>5</v>
      </c>
      <c r="T1263">
        <f t="shared" si="288"/>
        <v>0</v>
      </c>
      <c r="U1263">
        <f t="shared" si="286"/>
        <v>1</v>
      </c>
      <c r="V1263">
        <f t="shared" si="289"/>
        <v>1</v>
      </c>
      <c r="W1263">
        <f t="shared" si="290"/>
        <v>0</v>
      </c>
      <c r="X1263">
        <f t="shared" si="299"/>
        <v>0</v>
      </c>
      <c r="Y1263">
        <f t="shared" si="300"/>
        <v>0</v>
      </c>
      <c r="Z1263">
        <f t="shared" si="291"/>
        <v>8</v>
      </c>
      <c r="AA1263">
        <f t="shared" si="292"/>
        <v>2.5</v>
      </c>
      <c r="AB1263">
        <f t="shared" si="293"/>
        <v>4.2857142857142856</v>
      </c>
      <c r="AC1263">
        <f t="shared" si="294"/>
        <v>0</v>
      </c>
      <c r="AD1263" s="1">
        <f t="shared" si="295"/>
        <v>0</v>
      </c>
      <c r="AE1263">
        <f t="shared" si="296"/>
        <v>0</v>
      </c>
      <c r="AF1263">
        <f t="shared" si="297"/>
        <v>0</v>
      </c>
      <c r="AG1263">
        <f t="shared" si="298"/>
        <v>0</v>
      </c>
    </row>
    <row r="1264" spans="1:33" x14ac:dyDescent="0.25">
      <c r="A1264" t="s">
        <v>2123</v>
      </c>
      <c r="B1264" t="s">
        <v>2124</v>
      </c>
      <c r="C1264">
        <v>168287</v>
      </c>
      <c r="D1264">
        <v>168287</v>
      </c>
      <c r="H1264">
        <v>20</v>
      </c>
      <c r="I1264">
        <v>30</v>
      </c>
      <c r="J1264">
        <v>10</v>
      </c>
      <c r="K1264">
        <v>0</v>
      </c>
      <c r="L1264">
        <v>10</v>
      </c>
      <c r="M1264">
        <v>70</v>
      </c>
      <c r="S1264">
        <f t="shared" si="287"/>
        <v>0</v>
      </c>
      <c r="T1264">
        <f t="shared" si="288"/>
        <v>5.833333333333333</v>
      </c>
      <c r="U1264">
        <f t="shared" si="286"/>
        <v>1</v>
      </c>
      <c r="V1264">
        <f t="shared" si="289"/>
        <v>0</v>
      </c>
      <c r="W1264">
        <f t="shared" si="290"/>
        <v>1</v>
      </c>
      <c r="X1264">
        <f t="shared" si="299"/>
        <v>0</v>
      </c>
      <c r="Y1264">
        <f t="shared" si="300"/>
        <v>0</v>
      </c>
      <c r="Z1264">
        <f t="shared" si="291"/>
        <v>0</v>
      </c>
      <c r="AA1264">
        <f t="shared" si="292"/>
        <v>0</v>
      </c>
      <c r="AB1264">
        <f t="shared" si="293"/>
        <v>0</v>
      </c>
      <c r="AC1264">
        <f t="shared" si="294"/>
        <v>10</v>
      </c>
      <c r="AD1264" s="1">
        <f t="shared" si="295"/>
        <v>5</v>
      </c>
      <c r="AE1264">
        <f t="shared" si="296"/>
        <v>5</v>
      </c>
      <c r="AF1264">
        <f t="shared" si="297"/>
        <v>0</v>
      </c>
      <c r="AG1264">
        <f t="shared" si="298"/>
        <v>10</v>
      </c>
    </row>
    <row r="1265" spans="1:33" x14ac:dyDescent="0.25">
      <c r="A1265" t="s">
        <v>2125</v>
      </c>
      <c r="B1265" t="s">
        <v>1010</v>
      </c>
      <c r="C1265">
        <v>158122</v>
      </c>
      <c r="D1265">
        <v>158122</v>
      </c>
      <c r="R1265" t="s">
        <v>20</v>
      </c>
      <c r="S1265">
        <f t="shared" si="287"/>
        <v>0</v>
      </c>
      <c r="T1265">
        <f t="shared" si="288"/>
        <v>0</v>
      </c>
      <c r="U1265">
        <f t="shared" si="286"/>
        <v>0</v>
      </c>
      <c r="V1265">
        <f t="shared" si="289"/>
        <v>0</v>
      </c>
      <c r="W1265">
        <f t="shared" si="290"/>
        <v>0</v>
      </c>
      <c r="X1265">
        <f t="shared" si="299"/>
        <v>0</v>
      </c>
      <c r="Y1265">
        <f t="shared" si="300"/>
        <v>0</v>
      </c>
      <c r="Z1265">
        <f t="shared" si="291"/>
        <v>0</v>
      </c>
      <c r="AA1265">
        <f t="shared" si="292"/>
        <v>0</v>
      </c>
      <c r="AB1265">
        <f t="shared" si="293"/>
        <v>0</v>
      </c>
      <c r="AC1265">
        <f t="shared" si="294"/>
        <v>0</v>
      </c>
      <c r="AD1265" s="1">
        <f t="shared" si="295"/>
        <v>0</v>
      </c>
      <c r="AE1265">
        <f t="shared" si="296"/>
        <v>0</v>
      </c>
      <c r="AF1265">
        <f t="shared" si="297"/>
        <v>0</v>
      </c>
      <c r="AG1265">
        <f t="shared" si="298"/>
        <v>0</v>
      </c>
    </row>
    <row r="1266" spans="1:33" x14ac:dyDescent="0.25">
      <c r="A1266" t="s">
        <v>2126</v>
      </c>
      <c r="B1266" t="s">
        <v>2127</v>
      </c>
      <c r="C1266">
        <v>156028</v>
      </c>
      <c r="D1266">
        <v>156028</v>
      </c>
      <c r="H1266">
        <v>0</v>
      </c>
      <c r="J1266">
        <v>0</v>
      </c>
      <c r="M1266">
        <v>0</v>
      </c>
      <c r="S1266">
        <f t="shared" si="287"/>
        <v>0</v>
      </c>
      <c r="T1266">
        <f t="shared" si="288"/>
        <v>0</v>
      </c>
      <c r="U1266">
        <f t="shared" si="286"/>
        <v>1</v>
      </c>
      <c r="V1266">
        <f t="shared" si="289"/>
        <v>0</v>
      </c>
      <c r="W1266">
        <f t="shared" si="290"/>
        <v>1</v>
      </c>
      <c r="X1266">
        <f t="shared" si="299"/>
        <v>0</v>
      </c>
      <c r="Y1266">
        <f t="shared" si="300"/>
        <v>0</v>
      </c>
      <c r="Z1266">
        <f t="shared" si="291"/>
        <v>0</v>
      </c>
      <c r="AA1266">
        <f t="shared" si="292"/>
        <v>0</v>
      </c>
      <c r="AB1266">
        <f t="shared" si="293"/>
        <v>0</v>
      </c>
      <c r="AC1266">
        <f t="shared" si="294"/>
        <v>0</v>
      </c>
      <c r="AD1266" s="1">
        <f t="shared" si="295"/>
        <v>0</v>
      </c>
      <c r="AE1266">
        <f t="shared" si="296"/>
        <v>0</v>
      </c>
      <c r="AF1266">
        <f t="shared" si="297"/>
        <v>0</v>
      </c>
      <c r="AG1266">
        <f t="shared" si="298"/>
        <v>0</v>
      </c>
    </row>
    <row r="1267" spans="1:33" x14ac:dyDescent="0.25">
      <c r="A1267" t="s">
        <v>2128</v>
      </c>
      <c r="B1267" t="s">
        <v>2129</v>
      </c>
      <c r="C1267">
        <v>167237</v>
      </c>
      <c r="D1267">
        <v>167237</v>
      </c>
      <c r="E1267">
        <v>40</v>
      </c>
      <c r="F1267">
        <v>40</v>
      </c>
      <c r="G1267">
        <v>40</v>
      </c>
      <c r="O1267">
        <v>120</v>
      </c>
      <c r="S1267">
        <f t="shared" si="287"/>
        <v>7.5</v>
      </c>
      <c r="T1267">
        <f t="shared" si="288"/>
        <v>0</v>
      </c>
      <c r="U1267">
        <f t="shared" si="286"/>
        <v>1</v>
      </c>
      <c r="V1267">
        <f t="shared" si="289"/>
        <v>1</v>
      </c>
      <c r="W1267">
        <f t="shared" si="290"/>
        <v>0</v>
      </c>
      <c r="X1267">
        <f t="shared" si="299"/>
        <v>1</v>
      </c>
      <c r="Y1267">
        <f t="shared" si="300"/>
        <v>0</v>
      </c>
      <c r="Z1267">
        <f t="shared" si="291"/>
        <v>8</v>
      </c>
      <c r="AA1267">
        <f t="shared" si="292"/>
        <v>10</v>
      </c>
      <c r="AB1267">
        <f t="shared" si="293"/>
        <v>5.7142857142857144</v>
      </c>
      <c r="AC1267">
        <f t="shared" si="294"/>
        <v>0</v>
      </c>
      <c r="AD1267" s="1">
        <f t="shared" si="295"/>
        <v>0</v>
      </c>
      <c r="AE1267">
        <f t="shared" si="296"/>
        <v>0</v>
      </c>
      <c r="AF1267">
        <f t="shared" si="297"/>
        <v>0</v>
      </c>
      <c r="AG1267">
        <f t="shared" si="298"/>
        <v>0</v>
      </c>
    </row>
    <row r="1268" spans="1:33" x14ac:dyDescent="0.25">
      <c r="A1268" t="s">
        <v>2130</v>
      </c>
      <c r="B1268" t="s">
        <v>2131</v>
      </c>
      <c r="C1268">
        <v>168490</v>
      </c>
      <c r="D1268">
        <v>168490</v>
      </c>
      <c r="E1268">
        <v>10</v>
      </c>
      <c r="F1268">
        <v>10</v>
      </c>
      <c r="G1268">
        <v>20</v>
      </c>
      <c r="O1268">
        <v>40</v>
      </c>
      <c r="S1268">
        <f t="shared" si="287"/>
        <v>2.5</v>
      </c>
      <c r="T1268">
        <f t="shared" si="288"/>
        <v>0</v>
      </c>
      <c r="U1268">
        <f t="shared" si="286"/>
        <v>1</v>
      </c>
      <c r="V1268">
        <f t="shared" si="289"/>
        <v>1</v>
      </c>
      <c r="W1268">
        <f t="shared" si="290"/>
        <v>0</v>
      </c>
      <c r="X1268">
        <f t="shared" si="299"/>
        <v>0</v>
      </c>
      <c r="Y1268">
        <f t="shared" si="300"/>
        <v>0</v>
      </c>
      <c r="Z1268">
        <f t="shared" si="291"/>
        <v>2</v>
      </c>
      <c r="AA1268">
        <f t="shared" si="292"/>
        <v>2.5</v>
      </c>
      <c r="AB1268">
        <f t="shared" si="293"/>
        <v>2.8571428571428572</v>
      </c>
      <c r="AC1268">
        <f t="shared" si="294"/>
        <v>0</v>
      </c>
      <c r="AD1268" s="1">
        <f t="shared" si="295"/>
        <v>0</v>
      </c>
      <c r="AE1268">
        <f t="shared" si="296"/>
        <v>0</v>
      </c>
      <c r="AF1268">
        <f t="shared" si="297"/>
        <v>0</v>
      </c>
      <c r="AG1268">
        <f t="shared" si="298"/>
        <v>0</v>
      </c>
    </row>
    <row r="1269" spans="1:33" x14ac:dyDescent="0.25">
      <c r="A1269" t="s">
        <v>2132</v>
      </c>
      <c r="B1269" t="s">
        <v>286</v>
      </c>
      <c r="C1269">
        <v>166491</v>
      </c>
      <c r="D1269">
        <v>166491</v>
      </c>
      <c r="H1269">
        <v>10</v>
      </c>
      <c r="I1269">
        <v>40</v>
      </c>
      <c r="J1269">
        <v>10</v>
      </c>
      <c r="K1269">
        <v>0</v>
      </c>
      <c r="L1269">
        <v>0</v>
      </c>
      <c r="M1269">
        <v>60</v>
      </c>
      <c r="S1269">
        <f t="shared" si="287"/>
        <v>0</v>
      </c>
      <c r="T1269">
        <f t="shared" si="288"/>
        <v>5</v>
      </c>
      <c r="U1269">
        <f t="shared" si="286"/>
        <v>1</v>
      </c>
      <c r="V1269">
        <f t="shared" si="289"/>
        <v>0</v>
      </c>
      <c r="W1269">
        <f t="shared" si="290"/>
        <v>1</v>
      </c>
      <c r="X1269">
        <f t="shared" si="299"/>
        <v>0</v>
      </c>
      <c r="Y1269">
        <f t="shared" si="300"/>
        <v>0</v>
      </c>
      <c r="Z1269">
        <f t="shared" si="291"/>
        <v>0</v>
      </c>
      <c r="AA1269">
        <f t="shared" si="292"/>
        <v>0</v>
      </c>
      <c r="AB1269">
        <f t="shared" si="293"/>
        <v>0</v>
      </c>
      <c r="AC1269">
        <f t="shared" si="294"/>
        <v>5</v>
      </c>
      <c r="AD1269" s="1">
        <f t="shared" si="295"/>
        <v>6.666666666666667</v>
      </c>
      <c r="AE1269">
        <f t="shared" si="296"/>
        <v>5</v>
      </c>
      <c r="AF1269">
        <f t="shared" si="297"/>
        <v>0</v>
      </c>
      <c r="AG1269">
        <f t="shared" si="298"/>
        <v>0</v>
      </c>
    </row>
    <row r="1270" spans="1:33" x14ac:dyDescent="0.25">
      <c r="A1270" t="s">
        <v>2133</v>
      </c>
      <c r="B1270" t="s">
        <v>2134</v>
      </c>
      <c r="C1270">
        <v>168686</v>
      </c>
      <c r="D1270">
        <v>168686</v>
      </c>
      <c r="S1270">
        <f t="shared" si="287"/>
        <v>0</v>
      </c>
      <c r="T1270">
        <f t="shared" si="288"/>
        <v>0</v>
      </c>
      <c r="U1270">
        <f t="shared" si="286"/>
        <v>0</v>
      </c>
      <c r="V1270">
        <f t="shared" si="289"/>
        <v>0</v>
      </c>
      <c r="W1270">
        <f t="shared" si="290"/>
        <v>0</v>
      </c>
      <c r="X1270">
        <f t="shared" si="299"/>
        <v>0</v>
      </c>
      <c r="Y1270">
        <f t="shared" si="300"/>
        <v>0</v>
      </c>
      <c r="Z1270">
        <f t="shared" si="291"/>
        <v>0</v>
      </c>
      <c r="AA1270">
        <f t="shared" si="292"/>
        <v>0</v>
      </c>
      <c r="AB1270">
        <f t="shared" si="293"/>
        <v>0</v>
      </c>
      <c r="AC1270">
        <f t="shared" si="294"/>
        <v>0</v>
      </c>
      <c r="AD1270" s="1">
        <f t="shared" si="295"/>
        <v>0</v>
      </c>
      <c r="AE1270">
        <f t="shared" si="296"/>
        <v>0</v>
      </c>
      <c r="AF1270">
        <f t="shared" si="297"/>
        <v>0</v>
      </c>
      <c r="AG1270">
        <f t="shared" si="298"/>
        <v>0</v>
      </c>
    </row>
    <row r="1271" spans="1:33" x14ac:dyDescent="0.25">
      <c r="A1271" t="s">
        <v>2135</v>
      </c>
      <c r="B1271" t="s">
        <v>2136</v>
      </c>
      <c r="C1271">
        <v>166974</v>
      </c>
      <c r="D1271">
        <v>166974</v>
      </c>
      <c r="S1271">
        <f t="shared" si="287"/>
        <v>0</v>
      </c>
      <c r="T1271">
        <f t="shared" si="288"/>
        <v>0</v>
      </c>
      <c r="U1271">
        <f t="shared" si="286"/>
        <v>0</v>
      </c>
      <c r="V1271">
        <f t="shared" si="289"/>
        <v>0</v>
      </c>
      <c r="W1271">
        <f t="shared" si="290"/>
        <v>0</v>
      </c>
      <c r="X1271">
        <f t="shared" si="299"/>
        <v>0</v>
      </c>
      <c r="Y1271">
        <f t="shared" si="300"/>
        <v>0</v>
      </c>
      <c r="Z1271">
        <f t="shared" si="291"/>
        <v>0</v>
      </c>
      <c r="AA1271">
        <f t="shared" si="292"/>
        <v>0</v>
      </c>
      <c r="AB1271">
        <f t="shared" si="293"/>
        <v>0</v>
      </c>
      <c r="AC1271">
        <f t="shared" si="294"/>
        <v>0</v>
      </c>
      <c r="AD1271" s="1">
        <f t="shared" si="295"/>
        <v>0</v>
      </c>
      <c r="AE1271">
        <f t="shared" si="296"/>
        <v>0</v>
      </c>
      <c r="AF1271">
        <f t="shared" si="297"/>
        <v>0</v>
      </c>
      <c r="AG1271">
        <f t="shared" si="298"/>
        <v>0</v>
      </c>
    </row>
    <row r="1272" spans="1:33" x14ac:dyDescent="0.25">
      <c r="A1272" t="s">
        <v>2137</v>
      </c>
      <c r="B1272" t="s">
        <v>2138</v>
      </c>
      <c r="C1272">
        <v>165280</v>
      </c>
      <c r="D1272">
        <v>165280</v>
      </c>
      <c r="E1272">
        <v>50</v>
      </c>
      <c r="F1272">
        <v>20</v>
      </c>
      <c r="G1272">
        <v>20</v>
      </c>
      <c r="O1272">
        <v>90</v>
      </c>
      <c r="S1272">
        <f t="shared" si="287"/>
        <v>5.625</v>
      </c>
      <c r="T1272">
        <f t="shared" si="288"/>
        <v>0</v>
      </c>
      <c r="U1272">
        <f t="shared" si="286"/>
        <v>1</v>
      </c>
      <c r="V1272">
        <f t="shared" si="289"/>
        <v>1</v>
      </c>
      <c r="W1272">
        <f t="shared" si="290"/>
        <v>0</v>
      </c>
      <c r="X1272">
        <f t="shared" si="299"/>
        <v>0</v>
      </c>
      <c r="Y1272">
        <f t="shared" si="300"/>
        <v>0</v>
      </c>
      <c r="Z1272">
        <f t="shared" si="291"/>
        <v>10</v>
      </c>
      <c r="AA1272">
        <f t="shared" si="292"/>
        <v>5</v>
      </c>
      <c r="AB1272">
        <f t="shared" si="293"/>
        <v>2.8571428571428572</v>
      </c>
      <c r="AC1272">
        <f t="shared" si="294"/>
        <v>0</v>
      </c>
      <c r="AD1272" s="1">
        <f t="shared" si="295"/>
        <v>0</v>
      </c>
      <c r="AE1272">
        <f t="shared" si="296"/>
        <v>0</v>
      </c>
      <c r="AF1272">
        <f t="shared" si="297"/>
        <v>0</v>
      </c>
      <c r="AG1272">
        <f t="shared" si="298"/>
        <v>0</v>
      </c>
    </row>
    <row r="1273" spans="1:33" x14ac:dyDescent="0.25">
      <c r="A1273" t="s">
        <v>2139</v>
      </c>
      <c r="B1273" t="s">
        <v>1822</v>
      </c>
      <c r="C1273">
        <v>165553</v>
      </c>
      <c r="D1273">
        <v>165553</v>
      </c>
      <c r="E1273">
        <v>40</v>
      </c>
      <c r="F1273">
        <v>20</v>
      </c>
      <c r="G1273">
        <v>60</v>
      </c>
      <c r="O1273">
        <v>120</v>
      </c>
      <c r="S1273">
        <f t="shared" si="287"/>
        <v>7.5</v>
      </c>
      <c r="T1273">
        <f t="shared" si="288"/>
        <v>0</v>
      </c>
      <c r="U1273">
        <f t="shared" si="286"/>
        <v>1</v>
      </c>
      <c r="V1273">
        <f t="shared" si="289"/>
        <v>1</v>
      </c>
      <c r="W1273">
        <f t="shared" si="290"/>
        <v>0</v>
      </c>
      <c r="X1273">
        <f t="shared" si="299"/>
        <v>1</v>
      </c>
      <c r="Y1273">
        <f t="shared" si="300"/>
        <v>0</v>
      </c>
      <c r="Z1273">
        <f t="shared" si="291"/>
        <v>8</v>
      </c>
      <c r="AA1273">
        <f t="shared" si="292"/>
        <v>5</v>
      </c>
      <c r="AB1273">
        <f t="shared" si="293"/>
        <v>8.5714285714285712</v>
      </c>
      <c r="AC1273">
        <f t="shared" si="294"/>
        <v>0</v>
      </c>
      <c r="AD1273" s="1">
        <f t="shared" si="295"/>
        <v>0</v>
      </c>
      <c r="AE1273">
        <f t="shared" si="296"/>
        <v>0</v>
      </c>
      <c r="AF1273">
        <f t="shared" si="297"/>
        <v>0</v>
      </c>
      <c r="AG1273">
        <f t="shared" si="298"/>
        <v>0</v>
      </c>
    </row>
    <row r="1274" spans="1:33" x14ac:dyDescent="0.25">
      <c r="A1274" t="s">
        <v>2140</v>
      </c>
      <c r="B1274" t="s">
        <v>551</v>
      </c>
      <c r="C1274">
        <v>166567</v>
      </c>
      <c r="D1274">
        <v>166567</v>
      </c>
      <c r="H1274">
        <v>10</v>
      </c>
      <c r="I1274">
        <v>30</v>
      </c>
      <c r="J1274">
        <v>10</v>
      </c>
      <c r="M1274">
        <v>50</v>
      </c>
      <c r="S1274">
        <f t="shared" si="287"/>
        <v>0</v>
      </c>
      <c r="T1274">
        <f t="shared" si="288"/>
        <v>4.166666666666667</v>
      </c>
      <c r="U1274">
        <f t="shared" si="286"/>
        <v>1</v>
      </c>
      <c r="V1274">
        <f t="shared" si="289"/>
        <v>0</v>
      </c>
      <c r="W1274">
        <f t="shared" si="290"/>
        <v>1</v>
      </c>
      <c r="X1274">
        <f t="shared" si="299"/>
        <v>0</v>
      </c>
      <c r="Y1274">
        <f t="shared" si="300"/>
        <v>0</v>
      </c>
      <c r="Z1274">
        <f t="shared" si="291"/>
        <v>0</v>
      </c>
      <c r="AA1274">
        <f t="shared" si="292"/>
        <v>0</v>
      </c>
      <c r="AB1274">
        <f t="shared" si="293"/>
        <v>0</v>
      </c>
      <c r="AC1274">
        <f t="shared" si="294"/>
        <v>5</v>
      </c>
      <c r="AD1274" s="1">
        <f t="shared" si="295"/>
        <v>5</v>
      </c>
      <c r="AE1274">
        <f t="shared" si="296"/>
        <v>5</v>
      </c>
      <c r="AF1274">
        <f t="shared" si="297"/>
        <v>0</v>
      </c>
      <c r="AG1274">
        <f t="shared" si="298"/>
        <v>0</v>
      </c>
    </row>
    <row r="1275" spans="1:33" x14ac:dyDescent="0.25">
      <c r="A1275" t="s">
        <v>2141</v>
      </c>
      <c r="B1275" t="s">
        <v>872</v>
      </c>
      <c r="C1275">
        <v>167356</v>
      </c>
      <c r="D1275">
        <v>167356</v>
      </c>
      <c r="H1275">
        <v>10</v>
      </c>
      <c r="I1275">
        <v>20</v>
      </c>
      <c r="J1275">
        <v>10</v>
      </c>
      <c r="K1275">
        <v>0</v>
      </c>
      <c r="L1275">
        <v>0</v>
      </c>
      <c r="M1275">
        <v>40</v>
      </c>
      <c r="S1275">
        <f t="shared" si="287"/>
        <v>0</v>
      </c>
      <c r="T1275">
        <f t="shared" si="288"/>
        <v>3.3333333333333335</v>
      </c>
      <c r="U1275">
        <f t="shared" si="286"/>
        <v>1</v>
      </c>
      <c r="V1275">
        <f t="shared" si="289"/>
        <v>0</v>
      </c>
      <c r="W1275">
        <f t="shared" si="290"/>
        <v>1</v>
      </c>
      <c r="X1275">
        <f t="shared" si="299"/>
        <v>0</v>
      </c>
      <c r="Y1275">
        <f t="shared" si="300"/>
        <v>0</v>
      </c>
      <c r="Z1275">
        <f t="shared" si="291"/>
        <v>0</v>
      </c>
      <c r="AA1275">
        <f t="shared" si="292"/>
        <v>0</v>
      </c>
      <c r="AB1275">
        <f t="shared" si="293"/>
        <v>0</v>
      </c>
      <c r="AC1275">
        <f t="shared" si="294"/>
        <v>5</v>
      </c>
      <c r="AD1275" s="1">
        <f t="shared" si="295"/>
        <v>3.3333333333333335</v>
      </c>
      <c r="AE1275">
        <f t="shared" si="296"/>
        <v>5</v>
      </c>
      <c r="AF1275">
        <f t="shared" si="297"/>
        <v>0</v>
      </c>
      <c r="AG1275">
        <f t="shared" si="298"/>
        <v>0</v>
      </c>
    </row>
    <row r="1276" spans="1:33" x14ac:dyDescent="0.25">
      <c r="A1276" t="s">
        <v>2142</v>
      </c>
      <c r="B1276" t="s">
        <v>2143</v>
      </c>
      <c r="C1276">
        <v>167076</v>
      </c>
      <c r="D1276">
        <v>167076</v>
      </c>
      <c r="E1276">
        <v>30</v>
      </c>
      <c r="F1276">
        <v>10</v>
      </c>
      <c r="G1276">
        <v>30</v>
      </c>
      <c r="O1276">
        <v>70</v>
      </c>
      <c r="S1276">
        <f t="shared" si="287"/>
        <v>4.375</v>
      </c>
      <c r="T1276">
        <f t="shared" si="288"/>
        <v>0</v>
      </c>
      <c r="U1276">
        <f t="shared" si="286"/>
        <v>1</v>
      </c>
      <c r="V1276">
        <f t="shared" si="289"/>
        <v>1</v>
      </c>
      <c r="W1276">
        <f t="shared" si="290"/>
        <v>0</v>
      </c>
      <c r="X1276">
        <f t="shared" si="299"/>
        <v>0</v>
      </c>
      <c r="Y1276">
        <f t="shared" si="300"/>
        <v>0</v>
      </c>
      <c r="Z1276">
        <f t="shared" si="291"/>
        <v>6</v>
      </c>
      <c r="AA1276">
        <f t="shared" si="292"/>
        <v>2.5</v>
      </c>
      <c r="AB1276">
        <f t="shared" si="293"/>
        <v>4.2857142857142856</v>
      </c>
      <c r="AC1276">
        <f t="shared" si="294"/>
        <v>0</v>
      </c>
      <c r="AD1276" s="1">
        <f t="shared" si="295"/>
        <v>0</v>
      </c>
      <c r="AE1276">
        <f t="shared" si="296"/>
        <v>0</v>
      </c>
      <c r="AF1276">
        <f t="shared" si="297"/>
        <v>0</v>
      </c>
      <c r="AG1276">
        <f t="shared" si="298"/>
        <v>0</v>
      </c>
    </row>
    <row r="1277" spans="1:33" x14ac:dyDescent="0.25">
      <c r="A1277" t="s">
        <v>2144</v>
      </c>
      <c r="B1277" t="s">
        <v>2145</v>
      </c>
      <c r="C1277">
        <v>167180</v>
      </c>
      <c r="D1277">
        <v>167180</v>
      </c>
      <c r="E1277">
        <v>10</v>
      </c>
      <c r="F1277">
        <v>20</v>
      </c>
      <c r="G1277">
        <v>40</v>
      </c>
      <c r="O1277">
        <v>70</v>
      </c>
      <c r="S1277">
        <f t="shared" si="287"/>
        <v>4.375</v>
      </c>
      <c r="T1277">
        <f t="shared" si="288"/>
        <v>0</v>
      </c>
      <c r="U1277">
        <f t="shared" si="286"/>
        <v>1</v>
      </c>
      <c r="V1277">
        <f t="shared" si="289"/>
        <v>1</v>
      </c>
      <c r="W1277">
        <f t="shared" si="290"/>
        <v>0</v>
      </c>
      <c r="X1277">
        <f t="shared" si="299"/>
        <v>0</v>
      </c>
      <c r="Y1277">
        <f t="shared" si="300"/>
        <v>0</v>
      </c>
      <c r="Z1277">
        <f t="shared" si="291"/>
        <v>2</v>
      </c>
      <c r="AA1277">
        <f t="shared" si="292"/>
        <v>5</v>
      </c>
      <c r="AB1277">
        <f t="shared" si="293"/>
        <v>5.7142857142857144</v>
      </c>
      <c r="AC1277">
        <f t="shared" si="294"/>
        <v>0</v>
      </c>
      <c r="AD1277" s="1">
        <f t="shared" si="295"/>
        <v>0</v>
      </c>
      <c r="AE1277">
        <f t="shared" si="296"/>
        <v>0</v>
      </c>
      <c r="AF1277">
        <f t="shared" si="297"/>
        <v>0</v>
      </c>
      <c r="AG1277">
        <f t="shared" si="298"/>
        <v>0</v>
      </c>
    </row>
    <row r="1278" spans="1:33" x14ac:dyDescent="0.25">
      <c r="A1278" t="s">
        <v>2146</v>
      </c>
      <c r="B1278" t="s">
        <v>1426</v>
      </c>
      <c r="C1278">
        <v>167846</v>
      </c>
      <c r="D1278">
        <v>167846</v>
      </c>
      <c r="S1278">
        <f t="shared" si="287"/>
        <v>0</v>
      </c>
      <c r="T1278">
        <f t="shared" si="288"/>
        <v>0</v>
      </c>
      <c r="U1278">
        <f t="shared" si="286"/>
        <v>0</v>
      </c>
      <c r="V1278">
        <f t="shared" si="289"/>
        <v>0</v>
      </c>
      <c r="W1278">
        <f t="shared" si="290"/>
        <v>0</v>
      </c>
      <c r="X1278">
        <f t="shared" si="299"/>
        <v>0</v>
      </c>
      <c r="Y1278">
        <f t="shared" si="300"/>
        <v>0</v>
      </c>
      <c r="Z1278">
        <f t="shared" si="291"/>
        <v>0</v>
      </c>
      <c r="AA1278">
        <f t="shared" si="292"/>
        <v>0</v>
      </c>
      <c r="AB1278">
        <f t="shared" si="293"/>
        <v>0</v>
      </c>
      <c r="AC1278">
        <f t="shared" si="294"/>
        <v>0</v>
      </c>
      <c r="AD1278" s="1">
        <f t="shared" si="295"/>
        <v>0</v>
      </c>
      <c r="AE1278">
        <f t="shared" si="296"/>
        <v>0</v>
      </c>
      <c r="AF1278">
        <f t="shared" si="297"/>
        <v>0</v>
      </c>
      <c r="AG1278">
        <f t="shared" si="298"/>
        <v>0</v>
      </c>
    </row>
    <row r="1279" spans="1:33" x14ac:dyDescent="0.25">
      <c r="A1279" t="s">
        <v>2147</v>
      </c>
      <c r="B1279" t="s">
        <v>2148</v>
      </c>
      <c r="C1279">
        <v>166878</v>
      </c>
      <c r="D1279">
        <v>166878</v>
      </c>
      <c r="E1279">
        <v>40</v>
      </c>
      <c r="F1279">
        <v>30</v>
      </c>
      <c r="G1279">
        <v>10</v>
      </c>
      <c r="O1279">
        <v>80</v>
      </c>
      <c r="S1279">
        <f t="shared" si="287"/>
        <v>5</v>
      </c>
      <c r="T1279">
        <f t="shared" si="288"/>
        <v>0</v>
      </c>
      <c r="U1279">
        <f t="shared" si="286"/>
        <v>1</v>
      </c>
      <c r="V1279">
        <f t="shared" si="289"/>
        <v>1</v>
      </c>
      <c r="W1279">
        <f t="shared" si="290"/>
        <v>0</v>
      </c>
      <c r="X1279">
        <f t="shared" si="299"/>
        <v>0</v>
      </c>
      <c r="Y1279">
        <f t="shared" si="300"/>
        <v>0</v>
      </c>
      <c r="Z1279">
        <f t="shared" si="291"/>
        <v>8</v>
      </c>
      <c r="AA1279">
        <f t="shared" si="292"/>
        <v>7.5</v>
      </c>
      <c r="AB1279">
        <f t="shared" si="293"/>
        <v>1.4285714285714286</v>
      </c>
      <c r="AC1279">
        <f t="shared" si="294"/>
        <v>0</v>
      </c>
      <c r="AD1279" s="1">
        <f t="shared" si="295"/>
        <v>0</v>
      </c>
      <c r="AE1279">
        <f t="shared" si="296"/>
        <v>0</v>
      </c>
      <c r="AF1279">
        <f t="shared" si="297"/>
        <v>0</v>
      </c>
      <c r="AG1279">
        <f t="shared" si="298"/>
        <v>0</v>
      </c>
    </row>
    <row r="1280" spans="1:33" x14ac:dyDescent="0.25">
      <c r="A1280" t="s">
        <v>2149</v>
      </c>
      <c r="B1280" t="s">
        <v>924</v>
      </c>
      <c r="C1280">
        <v>166559</v>
      </c>
      <c r="D1280">
        <v>166559</v>
      </c>
      <c r="R1280" t="s">
        <v>20</v>
      </c>
      <c r="S1280">
        <f t="shared" si="287"/>
        <v>0</v>
      </c>
      <c r="T1280">
        <f t="shared" si="288"/>
        <v>0</v>
      </c>
      <c r="U1280">
        <f t="shared" si="286"/>
        <v>0</v>
      </c>
      <c r="V1280">
        <f t="shared" si="289"/>
        <v>0</v>
      </c>
      <c r="W1280">
        <f t="shared" si="290"/>
        <v>0</v>
      </c>
      <c r="X1280">
        <f t="shared" si="299"/>
        <v>0</v>
      </c>
      <c r="Y1280">
        <f t="shared" si="300"/>
        <v>0</v>
      </c>
      <c r="Z1280">
        <f t="shared" si="291"/>
        <v>0</v>
      </c>
      <c r="AA1280">
        <f t="shared" si="292"/>
        <v>0</v>
      </c>
      <c r="AB1280">
        <f t="shared" si="293"/>
        <v>0</v>
      </c>
      <c r="AC1280">
        <f t="shared" si="294"/>
        <v>0</v>
      </c>
      <c r="AD1280" s="1">
        <f t="shared" si="295"/>
        <v>0</v>
      </c>
      <c r="AE1280">
        <f t="shared" si="296"/>
        <v>0</v>
      </c>
      <c r="AF1280">
        <f t="shared" si="297"/>
        <v>0</v>
      </c>
      <c r="AG1280">
        <f t="shared" si="298"/>
        <v>0</v>
      </c>
    </row>
    <row r="1281" spans="1:33" x14ac:dyDescent="0.25">
      <c r="A1281" t="s">
        <v>2150</v>
      </c>
      <c r="B1281" t="s">
        <v>270</v>
      </c>
      <c r="C1281">
        <v>166547</v>
      </c>
      <c r="D1281">
        <v>166547</v>
      </c>
      <c r="H1281">
        <v>20</v>
      </c>
      <c r="I1281">
        <v>40</v>
      </c>
      <c r="J1281">
        <v>20</v>
      </c>
      <c r="K1281">
        <v>10</v>
      </c>
      <c r="L1281">
        <v>10</v>
      </c>
      <c r="M1281">
        <v>100</v>
      </c>
      <c r="S1281">
        <f t="shared" si="287"/>
        <v>0</v>
      </c>
      <c r="T1281">
        <f t="shared" si="288"/>
        <v>8.3333333333333339</v>
      </c>
      <c r="U1281">
        <f t="shared" si="286"/>
        <v>1</v>
      </c>
      <c r="V1281">
        <f t="shared" si="289"/>
        <v>0</v>
      </c>
      <c r="W1281">
        <f t="shared" si="290"/>
        <v>1</v>
      </c>
      <c r="X1281">
        <f t="shared" si="299"/>
        <v>0</v>
      </c>
      <c r="Y1281">
        <f t="shared" si="300"/>
        <v>1</v>
      </c>
      <c r="Z1281">
        <f t="shared" si="291"/>
        <v>0</v>
      </c>
      <c r="AA1281">
        <f t="shared" si="292"/>
        <v>0</v>
      </c>
      <c r="AB1281">
        <f t="shared" si="293"/>
        <v>0</v>
      </c>
      <c r="AC1281">
        <f t="shared" si="294"/>
        <v>10</v>
      </c>
      <c r="AD1281" s="1">
        <f t="shared" si="295"/>
        <v>6.666666666666667</v>
      </c>
      <c r="AE1281">
        <f t="shared" si="296"/>
        <v>10</v>
      </c>
      <c r="AF1281">
        <f t="shared" si="297"/>
        <v>10</v>
      </c>
      <c r="AG1281">
        <f t="shared" si="298"/>
        <v>10</v>
      </c>
    </row>
    <row r="1282" spans="1:33" x14ac:dyDescent="0.25">
      <c r="A1282" t="s">
        <v>2151</v>
      </c>
      <c r="B1282" t="s">
        <v>228</v>
      </c>
      <c r="C1282">
        <v>165356</v>
      </c>
      <c r="D1282">
        <v>165356</v>
      </c>
      <c r="E1282">
        <v>10</v>
      </c>
      <c r="F1282">
        <v>20</v>
      </c>
      <c r="G1282">
        <v>30</v>
      </c>
      <c r="O1282">
        <v>60</v>
      </c>
      <c r="S1282">
        <f t="shared" si="287"/>
        <v>3.75</v>
      </c>
      <c r="T1282">
        <f t="shared" si="288"/>
        <v>0</v>
      </c>
      <c r="U1282">
        <f t="shared" ref="U1282:U1345" si="301">IF(AND(E1282="",F1282="",G1282="",H1282="",I1282="",J1282="",K1282="",L1282="",M1282=""),0,1)</f>
        <v>1</v>
      </c>
      <c r="V1282">
        <f t="shared" si="289"/>
        <v>1</v>
      </c>
      <c r="W1282">
        <f t="shared" si="290"/>
        <v>0</v>
      </c>
      <c r="X1282">
        <f t="shared" si="299"/>
        <v>0</v>
      </c>
      <c r="Y1282">
        <f t="shared" si="300"/>
        <v>0</v>
      </c>
      <c r="Z1282">
        <f t="shared" si="291"/>
        <v>2</v>
      </c>
      <c r="AA1282">
        <f t="shared" si="292"/>
        <v>5</v>
      </c>
      <c r="AB1282">
        <f t="shared" si="293"/>
        <v>4.2857142857142856</v>
      </c>
      <c r="AC1282">
        <f t="shared" si="294"/>
        <v>0</v>
      </c>
      <c r="AD1282" s="1">
        <f t="shared" si="295"/>
        <v>0</v>
      </c>
      <c r="AE1282">
        <f t="shared" si="296"/>
        <v>0</v>
      </c>
      <c r="AF1282">
        <f t="shared" si="297"/>
        <v>0</v>
      </c>
      <c r="AG1282">
        <f t="shared" si="298"/>
        <v>0</v>
      </c>
    </row>
    <row r="1283" spans="1:33" x14ac:dyDescent="0.25">
      <c r="A1283" t="s">
        <v>2152</v>
      </c>
      <c r="B1283" t="s">
        <v>529</v>
      </c>
      <c r="C1283">
        <v>167628</v>
      </c>
      <c r="D1283">
        <v>167628</v>
      </c>
      <c r="E1283">
        <v>50</v>
      </c>
      <c r="F1283">
        <v>30</v>
      </c>
      <c r="G1283">
        <v>30</v>
      </c>
      <c r="O1283">
        <v>110</v>
      </c>
      <c r="S1283">
        <f t="shared" ref="S1283:S1346" si="302">O1283/16</f>
        <v>6.875</v>
      </c>
      <c r="T1283">
        <f t="shared" ref="T1283:T1346" si="303">M1283/12</f>
        <v>0</v>
      </c>
      <c r="U1283">
        <f t="shared" si="301"/>
        <v>1</v>
      </c>
      <c r="V1283">
        <f t="shared" ref="V1283:V1346" si="304">IF(O1283="",0,1)</f>
        <v>1</v>
      </c>
      <c r="W1283">
        <f t="shared" ref="W1283:W1346" si="305">IF(M1283="",0,1)</f>
        <v>0</v>
      </c>
      <c r="X1283">
        <f t="shared" si="299"/>
        <v>1</v>
      </c>
      <c r="Y1283">
        <f t="shared" si="300"/>
        <v>0</v>
      </c>
      <c r="Z1283">
        <f t="shared" ref="Z1283:Z1346" si="306">E1283/5</f>
        <v>10</v>
      </c>
      <c r="AA1283">
        <f t="shared" ref="AA1283:AA1346" si="307">F1283/4</f>
        <v>7.5</v>
      </c>
      <c r="AB1283">
        <f t="shared" ref="AB1283:AB1346" si="308">G1283/7</f>
        <v>4.2857142857142856</v>
      </c>
      <c r="AC1283">
        <f t="shared" ref="AC1283:AC1346" si="309">H1283/2</f>
        <v>0</v>
      </c>
      <c r="AD1283" s="1">
        <f t="shared" ref="AD1283:AD1346" si="310">I1283/6</f>
        <v>0</v>
      </c>
      <c r="AE1283">
        <f t="shared" ref="AE1283:AE1346" si="311">J1283/2</f>
        <v>0</v>
      </c>
      <c r="AF1283">
        <f t="shared" ref="AF1283:AF1346" si="312">K1283</f>
        <v>0</v>
      </c>
      <c r="AG1283">
        <f t="shared" ref="AG1283:AG1346" si="313">L1283</f>
        <v>0</v>
      </c>
    </row>
    <row r="1284" spans="1:33" x14ac:dyDescent="0.25">
      <c r="A1284" t="s">
        <v>2153</v>
      </c>
      <c r="B1284" t="s">
        <v>2154</v>
      </c>
      <c r="C1284">
        <v>165493</v>
      </c>
      <c r="D1284">
        <v>165493</v>
      </c>
      <c r="E1284">
        <v>30</v>
      </c>
      <c r="F1284">
        <v>20</v>
      </c>
      <c r="G1284">
        <v>50</v>
      </c>
      <c r="O1284">
        <v>100</v>
      </c>
      <c r="S1284">
        <f t="shared" si="302"/>
        <v>6.25</v>
      </c>
      <c r="T1284">
        <f t="shared" si="303"/>
        <v>0</v>
      </c>
      <c r="U1284">
        <f t="shared" si="301"/>
        <v>1</v>
      </c>
      <c r="V1284">
        <f t="shared" si="304"/>
        <v>1</v>
      </c>
      <c r="W1284">
        <f t="shared" si="305"/>
        <v>0</v>
      </c>
      <c r="X1284">
        <f t="shared" si="299"/>
        <v>1</v>
      </c>
      <c r="Y1284">
        <f t="shared" si="300"/>
        <v>0</v>
      </c>
      <c r="Z1284">
        <f t="shared" si="306"/>
        <v>6</v>
      </c>
      <c r="AA1284">
        <f t="shared" si="307"/>
        <v>5</v>
      </c>
      <c r="AB1284">
        <f t="shared" si="308"/>
        <v>7.1428571428571432</v>
      </c>
      <c r="AC1284">
        <f t="shared" si="309"/>
        <v>0</v>
      </c>
      <c r="AD1284" s="1">
        <f t="shared" si="310"/>
        <v>0</v>
      </c>
      <c r="AE1284">
        <f t="shared" si="311"/>
        <v>0</v>
      </c>
      <c r="AF1284">
        <f t="shared" si="312"/>
        <v>0</v>
      </c>
      <c r="AG1284">
        <f t="shared" si="313"/>
        <v>0</v>
      </c>
    </row>
    <row r="1285" spans="1:33" x14ac:dyDescent="0.25">
      <c r="A1285" t="s">
        <v>2155</v>
      </c>
      <c r="B1285" t="s">
        <v>2156</v>
      </c>
      <c r="C1285">
        <v>168619</v>
      </c>
      <c r="D1285">
        <v>168619</v>
      </c>
      <c r="E1285">
        <v>10</v>
      </c>
      <c r="F1285">
        <v>20</v>
      </c>
      <c r="G1285">
        <v>20</v>
      </c>
      <c r="O1285">
        <v>50</v>
      </c>
      <c r="S1285">
        <f t="shared" si="302"/>
        <v>3.125</v>
      </c>
      <c r="T1285">
        <f t="shared" si="303"/>
        <v>0</v>
      </c>
      <c r="U1285">
        <f t="shared" si="301"/>
        <v>1</v>
      </c>
      <c r="V1285">
        <f t="shared" si="304"/>
        <v>1</v>
      </c>
      <c r="W1285">
        <f t="shared" si="305"/>
        <v>0</v>
      </c>
      <c r="X1285">
        <f t="shared" ref="X1285:X1348" si="314">IF(AND(V1285=1,S1285&gt;6),1,0)</f>
        <v>0</v>
      </c>
      <c r="Y1285">
        <f t="shared" ref="Y1285:Y1348" si="315">IF(AND(W1285=1,T1285&gt;6),1,0)</f>
        <v>0</v>
      </c>
      <c r="Z1285">
        <f t="shared" si="306"/>
        <v>2</v>
      </c>
      <c r="AA1285">
        <f t="shared" si="307"/>
        <v>5</v>
      </c>
      <c r="AB1285">
        <f t="shared" si="308"/>
        <v>2.8571428571428572</v>
      </c>
      <c r="AC1285">
        <f t="shared" si="309"/>
        <v>0</v>
      </c>
      <c r="AD1285" s="1">
        <f t="shared" si="310"/>
        <v>0</v>
      </c>
      <c r="AE1285">
        <f t="shared" si="311"/>
        <v>0</v>
      </c>
      <c r="AF1285">
        <f t="shared" si="312"/>
        <v>0</v>
      </c>
      <c r="AG1285">
        <f t="shared" si="313"/>
        <v>0</v>
      </c>
    </row>
    <row r="1286" spans="1:33" x14ac:dyDescent="0.25">
      <c r="A1286" t="s">
        <v>2157</v>
      </c>
      <c r="B1286" t="s">
        <v>270</v>
      </c>
      <c r="C1286">
        <v>161730</v>
      </c>
      <c r="D1286">
        <v>161730</v>
      </c>
      <c r="S1286">
        <f t="shared" si="302"/>
        <v>0</v>
      </c>
      <c r="T1286">
        <f t="shared" si="303"/>
        <v>0</v>
      </c>
      <c r="U1286">
        <f t="shared" si="301"/>
        <v>0</v>
      </c>
      <c r="V1286">
        <f t="shared" si="304"/>
        <v>0</v>
      </c>
      <c r="W1286">
        <f t="shared" si="305"/>
        <v>0</v>
      </c>
      <c r="X1286">
        <f t="shared" si="314"/>
        <v>0</v>
      </c>
      <c r="Y1286">
        <f t="shared" si="315"/>
        <v>0</v>
      </c>
      <c r="Z1286">
        <f t="shared" si="306"/>
        <v>0</v>
      </c>
      <c r="AA1286">
        <f t="shared" si="307"/>
        <v>0</v>
      </c>
      <c r="AB1286">
        <f t="shared" si="308"/>
        <v>0</v>
      </c>
      <c r="AC1286">
        <f t="shared" si="309"/>
        <v>0</v>
      </c>
      <c r="AD1286" s="1">
        <f t="shared" si="310"/>
        <v>0</v>
      </c>
      <c r="AE1286">
        <f t="shared" si="311"/>
        <v>0</v>
      </c>
      <c r="AF1286">
        <f t="shared" si="312"/>
        <v>0</v>
      </c>
      <c r="AG1286">
        <f t="shared" si="313"/>
        <v>0</v>
      </c>
    </row>
    <row r="1287" spans="1:33" x14ac:dyDescent="0.25">
      <c r="A1287" t="s">
        <v>2158</v>
      </c>
      <c r="B1287" t="s">
        <v>577</v>
      </c>
      <c r="C1287">
        <v>168822</v>
      </c>
      <c r="D1287">
        <v>168822</v>
      </c>
      <c r="S1287">
        <f t="shared" si="302"/>
        <v>0</v>
      </c>
      <c r="T1287">
        <f t="shared" si="303"/>
        <v>0</v>
      </c>
      <c r="U1287">
        <f t="shared" si="301"/>
        <v>0</v>
      </c>
      <c r="V1287">
        <f t="shared" si="304"/>
        <v>0</v>
      </c>
      <c r="W1287">
        <f t="shared" si="305"/>
        <v>0</v>
      </c>
      <c r="X1287">
        <f t="shared" si="314"/>
        <v>0</v>
      </c>
      <c r="Y1287">
        <f t="shared" si="315"/>
        <v>0</v>
      </c>
      <c r="Z1287">
        <f t="shared" si="306"/>
        <v>0</v>
      </c>
      <c r="AA1287">
        <f t="shared" si="307"/>
        <v>0</v>
      </c>
      <c r="AB1287">
        <f t="shared" si="308"/>
        <v>0</v>
      </c>
      <c r="AC1287">
        <f t="shared" si="309"/>
        <v>0</v>
      </c>
      <c r="AD1287" s="1">
        <f t="shared" si="310"/>
        <v>0</v>
      </c>
      <c r="AE1287">
        <f t="shared" si="311"/>
        <v>0</v>
      </c>
      <c r="AF1287">
        <f t="shared" si="312"/>
        <v>0</v>
      </c>
      <c r="AG1287">
        <f t="shared" si="313"/>
        <v>0</v>
      </c>
    </row>
    <row r="1288" spans="1:33" x14ac:dyDescent="0.25">
      <c r="A1288" t="s">
        <v>2159</v>
      </c>
      <c r="B1288" t="s">
        <v>2160</v>
      </c>
      <c r="C1288">
        <v>166764</v>
      </c>
      <c r="D1288">
        <v>166764</v>
      </c>
      <c r="E1288">
        <v>10</v>
      </c>
      <c r="F1288">
        <v>30</v>
      </c>
      <c r="G1288">
        <v>30</v>
      </c>
      <c r="O1288">
        <v>70</v>
      </c>
      <c r="S1288">
        <f t="shared" si="302"/>
        <v>4.375</v>
      </c>
      <c r="T1288">
        <f t="shared" si="303"/>
        <v>0</v>
      </c>
      <c r="U1288">
        <f t="shared" si="301"/>
        <v>1</v>
      </c>
      <c r="V1288">
        <f t="shared" si="304"/>
        <v>1</v>
      </c>
      <c r="W1288">
        <f t="shared" si="305"/>
        <v>0</v>
      </c>
      <c r="X1288">
        <f t="shared" si="314"/>
        <v>0</v>
      </c>
      <c r="Y1288">
        <f t="shared" si="315"/>
        <v>0</v>
      </c>
      <c r="Z1288">
        <f t="shared" si="306"/>
        <v>2</v>
      </c>
      <c r="AA1288">
        <f t="shared" si="307"/>
        <v>7.5</v>
      </c>
      <c r="AB1288">
        <f t="shared" si="308"/>
        <v>4.2857142857142856</v>
      </c>
      <c r="AC1288">
        <f t="shared" si="309"/>
        <v>0</v>
      </c>
      <c r="AD1288" s="1">
        <f t="shared" si="310"/>
        <v>0</v>
      </c>
      <c r="AE1288">
        <f t="shared" si="311"/>
        <v>0</v>
      </c>
      <c r="AF1288">
        <f t="shared" si="312"/>
        <v>0</v>
      </c>
      <c r="AG1288">
        <f t="shared" si="313"/>
        <v>0</v>
      </c>
    </row>
    <row r="1289" spans="1:33" x14ac:dyDescent="0.25">
      <c r="A1289" t="s">
        <v>2161</v>
      </c>
      <c r="B1289" t="s">
        <v>2162</v>
      </c>
      <c r="C1289">
        <v>168303</v>
      </c>
      <c r="D1289">
        <v>168303</v>
      </c>
      <c r="H1289">
        <v>10</v>
      </c>
      <c r="I1289">
        <v>50</v>
      </c>
      <c r="J1289">
        <v>10</v>
      </c>
      <c r="K1289">
        <v>10</v>
      </c>
      <c r="L1289">
        <v>10</v>
      </c>
      <c r="M1289">
        <v>90</v>
      </c>
      <c r="S1289">
        <f t="shared" si="302"/>
        <v>0</v>
      </c>
      <c r="T1289">
        <f t="shared" si="303"/>
        <v>7.5</v>
      </c>
      <c r="U1289">
        <f t="shared" si="301"/>
        <v>1</v>
      </c>
      <c r="V1289">
        <f t="shared" si="304"/>
        <v>0</v>
      </c>
      <c r="W1289">
        <f t="shared" si="305"/>
        <v>1</v>
      </c>
      <c r="X1289">
        <f t="shared" si="314"/>
        <v>0</v>
      </c>
      <c r="Y1289">
        <f t="shared" si="315"/>
        <v>1</v>
      </c>
      <c r="Z1289">
        <f t="shared" si="306"/>
        <v>0</v>
      </c>
      <c r="AA1289">
        <f t="shared" si="307"/>
        <v>0</v>
      </c>
      <c r="AB1289">
        <f t="shared" si="308"/>
        <v>0</v>
      </c>
      <c r="AC1289">
        <f t="shared" si="309"/>
        <v>5</v>
      </c>
      <c r="AD1289" s="1">
        <f t="shared" si="310"/>
        <v>8.3333333333333339</v>
      </c>
      <c r="AE1289">
        <f t="shared" si="311"/>
        <v>5</v>
      </c>
      <c r="AF1289">
        <f t="shared" si="312"/>
        <v>10</v>
      </c>
      <c r="AG1289">
        <f t="shared" si="313"/>
        <v>10</v>
      </c>
    </row>
    <row r="1290" spans="1:33" x14ac:dyDescent="0.25">
      <c r="A1290" t="s">
        <v>2163</v>
      </c>
      <c r="B1290" t="s">
        <v>2164</v>
      </c>
      <c r="C1290">
        <v>167808</v>
      </c>
      <c r="D1290">
        <v>167808</v>
      </c>
      <c r="E1290">
        <v>30</v>
      </c>
      <c r="F1290">
        <v>20</v>
      </c>
      <c r="G1290">
        <v>30</v>
      </c>
      <c r="O1290">
        <v>80</v>
      </c>
      <c r="S1290">
        <f t="shared" si="302"/>
        <v>5</v>
      </c>
      <c r="T1290">
        <f t="shared" si="303"/>
        <v>0</v>
      </c>
      <c r="U1290">
        <f t="shared" si="301"/>
        <v>1</v>
      </c>
      <c r="V1290">
        <f t="shared" si="304"/>
        <v>1</v>
      </c>
      <c r="W1290">
        <f t="shared" si="305"/>
        <v>0</v>
      </c>
      <c r="X1290">
        <f t="shared" si="314"/>
        <v>0</v>
      </c>
      <c r="Y1290">
        <f t="shared" si="315"/>
        <v>0</v>
      </c>
      <c r="Z1290">
        <f t="shared" si="306"/>
        <v>6</v>
      </c>
      <c r="AA1290">
        <f t="shared" si="307"/>
        <v>5</v>
      </c>
      <c r="AB1290">
        <f t="shared" si="308"/>
        <v>4.2857142857142856</v>
      </c>
      <c r="AC1290">
        <f t="shared" si="309"/>
        <v>0</v>
      </c>
      <c r="AD1290" s="1">
        <f t="shared" si="310"/>
        <v>0</v>
      </c>
      <c r="AE1290">
        <f t="shared" si="311"/>
        <v>0</v>
      </c>
      <c r="AF1290">
        <f t="shared" si="312"/>
        <v>0</v>
      </c>
      <c r="AG1290">
        <f t="shared" si="313"/>
        <v>0</v>
      </c>
    </row>
    <row r="1291" spans="1:33" x14ac:dyDescent="0.25">
      <c r="A1291" t="s">
        <v>2165</v>
      </c>
      <c r="B1291" t="s">
        <v>2166</v>
      </c>
      <c r="C1291">
        <v>167216</v>
      </c>
      <c r="D1291">
        <v>167216</v>
      </c>
      <c r="H1291">
        <v>0</v>
      </c>
      <c r="I1291">
        <v>40</v>
      </c>
      <c r="J1291">
        <v>0</v>
      </c>
      <c r="K1291">
        <v>10</v>
      </c>
      <c r="L1291">
        <v>10</v>
      </c>
      <c r="M1291">
        <v>60</v>
      </c>
      <c r="S1291">
        <f t="shared" si="302"/>
        <v>0</v>
      </c>
      <c r="T1291">
        <f t="shared" si="303"/>
        <v>5</v>
      </c>
      <c r="U1291">
        <f t="shared" si="301"/>
        <v>1</v>
      </c>
      <c r="V1291">
        <f t="shared" si="304"/>
        <v>0</v>
      </c>
      <c r="W1291">
        <f t="shared" si="305"/>
        <v>1</v>
      </c>
      <c r="X1291">
        <f t="shared" si="314"/>
        <v>0</v>
      </c>
      <c r="Y1291">
        <f t="shared" si="315"/>
        <v>0</v>
      </c>
      <c r="Z1291">
        <f t="shared" si="306"/>
        <v>0</v>
      </c>
      <c r="AA1291">
        <f t="shared" si="307"/>
        <v>0</v>
      </c>
      <c r="AB1291">
        <f t="shared" si="308"/>
        <v>0</v>
      </c>
      <c r="AC1291">
        <f t="shared" si="309"/>
        <v>0</v>
      </c>
      <c r="AD1291" s="1">
        <f t="shared" si="310"/>
        <v>6.666666666666667</v>
      </c>
      <c r="AE1291">
        <f t="shared" si="311"/>
        <v>0</v>
      </c>
      <c r="AF1291">
        <f t="shared" si="312"/>
        <v>10</v>
      </c>
      <c r="AG1291">
        <f t="shared" si="313"/>
        <v>10</v>
      </c>
    </row>
    <row r="1292" spans="1:33" x14ac:dyDescent="0.25">
      <c r="A1292" t="s">
        <v>2167</v>
      </c>
      <c r="B1292" t="s">
        <v>2168</v>
      </c>
      <c r="C1292">
        <v>159638</v>
      </c>
      <c r="D1292">
        <v>159638</v>
      </c>
      <c r="S1292">
        <f t="shared" si="302"/>
        <v>0</v>
      </c>
      <c r="T1292">
        <f t="shared" si="303"/>
        <v>0</v>
      </c>
      <c r="U1292">
        <f t="shared" si="301"/>
        <v>0</v>
      </c>
      <c r="V1292">
        <f t="shared" si="304"/>
        <v>0</v>
      </c>
      <c r="W1292">
        <f t="shared" si="305"/>
        <v>0</v>
      </c>
      <c r="X1292">
        <f t="shared" si="314"/>
        <v>0</v>
      </c>
      <c r="Y1292">
        <f t="shared" si="315"/>
        <v>0</v>
      </c>
      <c r="Z1292">
        <f t="shared" si="306"/>
        <v>0</v>
      </c>
      <c r="AA1292">
        <f t="shared" si="307"/>
        <v>0</v>
      </c>
      <c r="AB1292">
        <f t="shared" si="308"/>
        <v>0</v>
      </c>
      <c r="AC1292">
        <f t="shared" si="309"/>
        <v>0</v>
      </c>
      <c r="AD1292" s="1">
        <f t="shared" si="310"/>
        <v>0</v>
      </c>
      <c r="AE1292">
        <f t="shared" si="311"/>
        <v>0</v>
      </c>
      <c r="AF1292">
        <f t="shared" si="312"/>
        <v>0</v>
      </c>
      <c r="AG1292">
        <f t="shared" si="313"/>
        <v>0</v>
      </c>
    </row>
    <row r="1293" spans="1:33" x14ac:dyDescent="0.25">
      <c r="A1293" t="s">
        <v>2169</v>
      </c>
      <c r="B1293" t="s">
        <v>338</v>
      </c>
      <c r="C1293">
        <v>167797</v>
      </c>
      <c r="D1293">
        <v>167797</v>
      </c>
      <c r="H1293">
        <v>20</v>
      </c>
      <c r="I1293">
        <v>50</v>
      </c>
      <c r="J1293">
        <v>20</v>
      </c>
      <c r="K1293">
        <v>10</v>
      </c>
      <c r="L1293">
        <v>0</v>
      </c>
      <c r="M1293">
        <v>100</v>
      </c>
      <c r="S1293">
        <f t="shared" si="302"/>
        <v>0</v>
      </c>
      <c r="T1293">
        <f t="shared" si="303"/>
        <v>8.3333333333333339</v>
      </c>
      <c r="U1293">
        <f t="shared" si="301"/>
        <v>1</v>
      </c>
      <c r="V1293">
        <f t="shared" si="304"/>
        <v>0</v>
      </c>
      <c r="W1293">
        <f t="shared" si="305"/>
        <v>1</v>
      </c>
      <c r="X1293">
        <f t="shared" si="314"/>
        <v>0</v>
      </c>
      <c r="Y1293">
        <f t="shared" si="315"/>
        <v>1</v>
      </c>
      <c r="Z1293">
        <f t="shared" si="306"/>
        <v>0</v>
      </c>
      <c r="AA1293">
        <f t="shared" si="307"/>
        <v>0</v>
      </c>
      <c r="AB1293">
        <f t="shared" si="308"/>
        <v>0</v>
      </c>
      <c r="AC1293">
        <f t="shared" si="309"/>
        <v>10</v>
      </c>
      <c r="AD1293" s="1">
        <f t="shared" si="310"/>
        <v>8.3333333333333339</v>
      </c>
      <c r="AE1293">
        <f t="shared" si="311"/>
        <v>10</v>
      </c>
      <c r="AF1293">
        <f t="shared" si="312"/>
        <v>10</v>
      </c>
      <c r="AG1293">
        <f t="shared" si="313"/>
        <v>0</v>
      </c>
    </row>
    <row r="1294" spans="1:33" x14ac:dyDescent="0.25">
      <c r="A1294" t="s">
        <v>2170</v>
      </c>
      <c r="B1294" t="s">
        <v>654</v>
      </c>
      <c r="C1294">
        <v>163747</v>
      </c>
      <c r="D1294">
        <v>163747</v>
      </c>
      <c r="E1294">
        <v>40</v>
      </c>
      <c r="F1294">
        <v>20</v>
      </c>
      <c r="G1294">
        <v>30</v>
      </c>
      <c r="O1294">
        <v>90</v>
      </c>
      <c r="S1294">
        <f t="shared" si="302"/>
        <v>5.625</v>
      </c>
      <c r="T1294">
        <f t="shared" si="303"/>
        <v>0</v>
      </c>
      <c r="U1294">
        <f t="shared" si="301"/>
        <v>1</v>
      </c>
      <c r="V1294">
        <f t="shared" si="304"/>
        <v>1</v>
      </c>
      <c r="W1294">
        <f t="shared" si="305"/>
        <v>0</v>
      </c>
      <c r="X1294">
        <f t="shared" si="314"/>
        <v>0</v>
      </c>
      <c r="Y1294">
        <f t="shared" si="315"/>
        <v>0</v>
      </c>
      <c r="Z1294">
        <f t="shared" si="306"/>
        <v>8</v>
      </c>
      <c r="AA1294">
        <f t="shared" si="307"/>
        <v>5</v>
      </c>
      <c r="AB1294">
        <f t="shared" si="308"/>
        <v>4.2857142857142856</v>
      </c>
      <c r="AC1294">
        <f t="shared" si="309"/>
        <v>0</v>
      </c>
      <c r="AD1294" s="1">
        <f t="shared" si="310"/>
        <v>0</v>
      </c>
      <c r="AE1294">
        <f t="shared" si="311"/>
        <v>0</v>
      </c>
      <c r="AF1294">
        <f t="shared" si="312"/>
        <v>0</v>
      </c>
      <c r="AG1294">
        <f t="shared" si="313"/>
        <v>0</v>
      </c>
    </row>
    <row r="1295" spans="1:33" x14ac:dyDescent="0.25">
      <c r="A1295" t="s">
        <v>2171</v>
      </c>
      <c r="B1295" t="s">
        <v>672</v>
      </c>
      <c r="C1295">
        <v>166585</v>
      </c>
      <c r="D1295">
        <v>166585</v>
      </c>
      <c r="H1295">
        <v>10</v>
      </c>
      <c r="I1295">
        <v>20</v>
      </c>
      <c r="J1295">
        <v>10</v>
      </c>
      <c r="K1295">
        <v>10</v>
      </c>
      <c r="L1295">
        <v>10</v>
      </c>
      <c r="M1295">
        <v>60</v>
      </c>
      <c r="S1295">
        <f t="shared" si="302"/>
        <v>0</v>
      </c>
      <c r="T1295">
        <f t="shared" si="303"/>
        <v>5</v>
      </c>
      <c r="U1295">
        <f t="shared" si="301"/>
        <v>1</v>
      </c>
      <c r="V1295">
        <f t="shared" si="304"/>
        <v>0</v>
      </c>
      <c r="W1295">
        <f t="shared" si="305"/>
        <v>1</v>
      </c>
      <c r="X1295">
        <f t="shared" si="314"/>
        <v>0</v>
      </c>
      <c r="Y1295">
        <f t="shared" si="315"/>
        <v>0</v>
      </c>
      <c r="Z1295">
        <f t="shared" si="306"/>
        <v>0</v>
      </c>
      <c r="AA1295">
        <f t="shared" si="307"/>
        <v>0</v>
      </c>
      <c r="AB1295">
        <f t="shared" si="308"/>
        <v>0</v>
      </c>
      <c r="AC1295">
        <f t="shared" si="309"/>
        <v>5</v>
      </c>
      <c r="AD1295" s="1">
        <f t="shared" si="310"/>
        <v>3.3333333333333335</v>
      </c>
      <c r="AE1295">
        <f t="shared" si="311"/>
        <v>5</v>
      </c>
      <c r="AF1295">
        <f t="shared" si="312"/>
        <v>10</v>
      </c>
      <c r="AG1295">
        <f t="shared" si="313"/>
        <v>10</v>
      </c>
    </row>
    <row r="1296" spans="1:33" x14ac:dyDescent="0.25">
      <c r="A1296" t="s">
        <v>2172</v>
      </c>
      <c r="B1296" t="s">
        <v>2173</v>
      </c>
      <c r="C1296">
        <v>168125</v>
      </c>
      <c r="D1296">
        <v>168125</v>
      </c>
      <c r="E1296">
        <v>20</v>
      </c>
      <c r="O1296">
        <v>20</v>
      </c>
      <c r="S1296">
        <f t="shared" si="302"/>
        <v>1.25</v>
      </c>
      <c r="T1296">
        <f t="shared" si="303"/>
        <v>0</v>
      </c>
      <c r="U1296">
        <f t="shared" si="301"/>
        <v>1</v>
      </c>
      <c r="V1296">
        <f t="shared" si="304"/>
        <v>1</v>
      </c>
      <c r="W1296">
        <f t="shared" si="305"/>
        <v>0</v>
      </c>
      <c r="X1296">
        <f t="shared" si="314"/>
        <v>0</v>
      </c>
      <c r="Y1296">
        <f t="shared" si="315"/>
        <v>0</v>
      </c>
      <c r="Z1296">
        <f t="shared" si="306"/>
        <v>4</v>
      </c>
      <c r="AA1296">
        <f t="shared" si="307"/>
        <v>0</v>
      </c>
      <c r="AB1296">
        <f t="shared" si="308"/>
        <v>0</v>
      </c>
      <c r="AC1296">
        <f t="shared" si="309"/>
        <v>0</v>
      </c>
      <c r="AD1296" s="1">
        <f t="shared" si="310"/>
        <v>0</v>
      </c>
      <c r="AE1296">
        <f t="shared" si="311"/>
        <v>0</v>
      </c>
      <c r="AF1296">
        <f t="shared" si="312"/>
        <v>0</v>
      </c>
      <c r="AG1296">
        <f t="shared" si="313"/>
        <v>0</v>
      </c>
    </row>
    <row r="1297" spans="1:33" x14ac:dyDescent="0.25">
      <c r="A1297" t="s">
        <v>2174</v>
      </c>
      <c r="B1297" t="s">
        <v>2175</v>
      </c>
      <c r="C1297">
        <v>159619</v>
      </c>
      <c r="D1297">
        <v>159619</v>
      </c>
      <c r="E1297">
        <v>20</v>
      </c>
      <c r="F1297">
        <v>0</v>
      </c>
      <c r="G1297">
        <v>10</v>
      </c>
      <c r="O1297">
        <v>30</v>
      </c>
      <c r="S1297">
        <f t="shared" si="302"/>
        <v>1.875</v>
      </c>
      <c r="T1297">
        <f t="shared" si="303"/>
        <v>0</v>
      </c>
      <c r="U1297">
        <f t="shared" si="301"/>
        <v>1</v>
      </c>
      <c r="V1297">
        <f t="shared" si="304"/>
        <v>1</v>
      </c>
      <c r="W1297">
        <f t="shared" si="305"/>
        <v>0</v>
      </c>
      <c r="X1297">
        <f t="shared" si="314"/>
        <v>0</v>
      </c>
      <c r="Y1297">
        <f t="shared" si="315"/>
        <v>0</v>
      </c>
      <c r="Z1297">
        <f t="shared" si="306"/>
        <v>4</v>
      </c>
      <c r="AA1297">
        <f t="shared" si="307"/>
        <v>0</v>
      </c>
      <c r="AB1297">
        <f t="shared" si="308"/>
        <v>1.4285714285714286</v>
      </c>
      <c r="AC1297">
        <f t="shared" si="309"/>
        <v>0</v>
      </c>
      <c r="AD1297" s="1">
        <f t="shared" si="310"/>
        <v>0</v>
      </c>
      <c r="AE1297">
        <f t="shared" si="311"/>
        <v>0</v>
      </c>
      <c r="AF1297">
        <f t="shared" si="312"/>
        <v>0</v>
      </c>
      <c r="AG1297">
        <f t="shared" si="313"/>
        <v>0</v>
      </c>
    </row>
    <row r="1298" spans="1:33" x14ac:dyDescent="0.25">
      <c r="A1298" t="s">
        <v>2176</v>
      </c>
      <c r="B1298" t="s">
        <v>2177</v>
      </c>
      <c r="C1298">
        <v>165928</v>
      </c>
      <c r="D1298">
        <v>165928</v>
      </c>
      <c r="H1298">
        <v>10</v>
      </c>
      <c r="I1298">
        <v>30</v>
      </c>
      <c r="J1298">
        <v>10</v>
      </c>
      <c r="K1298">
        <v>10</v>
      </c>
      <c r="L1298">
        <v>10</v>
      </c>
      <c r="M1298">
        <v>70</v>
      </c>
      <c r="S1298">
        <f t="shared" si="302"/>
        <v>0</v>
      </c>
      <c r="T1298">
        <f t="shared" si="303"/>
        <v>5.833333333333333</v>
      </c>
      <c r="U1298">
        <f t="shared" si="301"/>
        <v>1</v>
      </c>
      <c r="V1298">
        <f t="shared" si="304"/>
        <v>0</v>
      </c>
      <c r="W1298">
        <f t="shared" si="305"/>
        <v>1</v>
      </c>
      <c r="X1298">
        <f t="shared" si="314"/>
        <v>0</v>
      </c>
      <c r="Y1298">
        <f t="shared" si="315"/>
        <v>0</v>
      </c>
      <c r="Z1298">
        <f t="shared" si="306"/>
        <v>0</v>
      </c>
      <c r="AA1298">
        <f t="shared" si="307"/>
        <v>0</v>
      </c>
      <c r="AB1298">
        <f t="shared" si="308"/>
        <v>0</v>
      </c>
      <c r="AC1298">
        <f t="shared" si="309"/>
        <v>5</v>
      </c>
      <c r="AD1298" s="1">
        <f t="shared" si="310"/>
        <v>5</v>
      </c>
      <c r="AE1298">
        <f t="shared" si="311"/>
        <v>5</v>
      </c>
      <c r="AF1298">
        <f t="shared" si="312"/>
        <v>10</v>
      </c>
      <c r="AG1298">
        <f t="shared" si="313"/>
        <v>10</v>
      </c>
    </row>
    <row r="1299" spans="1:33" x14ac:dyDescent="0.25">
      <c r="A1299" t="s">
        <v>2178</v>
      </c>
      <c r="B1299" t="s">
        <v>2179</v>
      </c>
      <c r="C1299">
        <v>157099</v>
      </c>
      <c r="D1299">
        <v>157099</v>
      </c>
      <c r="S1299">
        <f t="shared" si="302"/>
        <v>0</v>
      </c>
      <c r="T1299">
        <f t="shared" si="303"/>
        <v>0</v>
      </c>
      <c r="U1299">
        <f t="shared" si="301"/>
        <v>0</v>
      </c>
      <c r="V1299">
        <f t="shared" si="304"/>
        <v>0</v>
      </c>
      <c r="W1299">
        <f t="shared" si="305"/>
        <v>0</v>
      </c>
      <c r="X1299">
        <f t="shared" si="314"/>
        <v>0</v>
      </c>
      <c r="Y1299">
        <f t="shared" si="315"/>
        <v>0</v>
      </c>
      <c r="Z1299">
        <f t="shared" si="306"/>
        <v>0</v>
      </c>
      <c r="AA1299">
        <f t="shared" si="307"/>
        <v>0</v>
      </c>
      <c r="AB1299">
        <f t="shared" si="308"/>
        <v>0</v>
      </c>
      <c r="AC1299">
        <f t="shared" si="309"/>
        <v>0</v>
      </c>
      <c r="AD1299" s="1">
        <f t="shared" si="310"/>
        <v>0</v>
      </c>
      <c r="AE1299">
        <f t="shared" si="311"/>
        <v>0</v>
      </c>
      <c r="AF1299">
        <f t="shared" si="312"/>
        <v>0</v>
      </c>
      <c r="AG1299">
        <f t="shared" si="313"/>
        <v>0</v>
      </c>
    </row>
    <row r="1300" spans="1:33" x14ac:dyDescent="0.25">
      <c r="A1300" t="s">
        <v>2180</v>
      </c>
      <c r="B1300" t="s">
        <v>2181</v>
      </c>
      <c r="C1300">
        <v>166987</v>
      </c>
      <c r="D1300">
        <v>166987</v>
      </c>
      <c r="E1300">
        <v>40</v>
      </c>
      <c r="F1300">
        <v>30</v>
      </c>
      <c r="G1300">
        <v>20</v>
      </c>
      <c r="O1300">
        <v>90</v>
      </c>
      <c r="S1300">
        <f t="shared" si="302"/>
        <v>5.625</v>
      </c>
      <c r="T1300">
        <f t="shared" si="303"/>
        <v>0</v>
      </c>
      <c r="U1300">
        <f t="shared" si="301"/>
        <v>1</v>
      </c>
      <c r="V1300">
        <f t="shared" si="304"/>
        <v>1</v>
      </c>
      <c r="W1300">
        <f t="shared" si="305"/>
        <v>0</v>
      </c>
      <c r="X1300">
        <f t="shared" si="314"/>
        <v>0</v>
      </c>
      <c r="Y1300">
        <f t="shared" si="315"/>
        <v>0</v>
      </c>
      <c r="Z1300">
        <f t="shared" si="306"/>
        <v>8</v>
      </c>
      <c r="AA1300">
        <f t="shared" si="307"/>
        <v>7.5</v>
      </c>
      <c r="AB1300">
        <f t="shared" si="308"/>
        <v>2.8571428571428572</v>
      </c>
      <c r="AC1300">
        <f t="shared" si="309"/>
        <v>0</v>
      </c>
      <c r="AD1300" s="1">
        <f t="shared" si="310"/>
        <v>0</v>
      </c>
      <c r="AE1300">
        <f t="shared" si="311"/>
        <v>0</v>
      </c>
      <c r="AF1300">
        <f t="shared" si="312"/>
        <v>0</v>
      </c>
      <c r="AG1300">
        <f t="shared" si="313"/>
        <v>0</v>
      </c>
    </row>
    <row r="1301" spans="1:33" x14ac:dyDescent="0.25">
      <c r="A1301" t="s">
        <v>2182</v>
      </c>
      <c r="B1301" t="s">
        <v>45</v>
      </c>
      <c r="C1301">
        <v>167527</v>
      </c>
      <c r="D1301">
        <v>167527</v>
      </c>
      <c r="H1301">
        <v>0</v>
      </c>
      <c r="I1301">
        <v>30</v>
      </c>
      <c r="J1301">
        <v>0</v>
      </c>
      <c r="K1301">
        <v>10</v>
      </c>
      <c r="L1301">
        <v>0</v>
      </c>
      <c r="M1301">
        <v>40</v>
      </c>
      <c r="S1301">
        <f t="shared" si="302"/>
        <v>0</v>
      </c>
      <c r="T1301">
        <f t="shared" si="303"/>
        <v>3.3333333333333335</v>
      </c>
      <c r="U1301">
        <f t="shared" si="301"/>
        <v>1</v>
      </c>
      <c r="V1301">
        <f t="shared" si="304"/>
        <v>0</v>
      </c>
      <c r="W1301">
        <f t="shared" si="305"/>
        <v>1</v>
      </c>
      <c r="X1301">
        <f t="shared" si="314"/>
        <v>0</v>
      </c>
      <c r="Y1301">
        <f t="shared" si="315"/>
        <v>0</v>
      </c>
      <c r="Z1301">
        <f t="shared" si="306"/>
        <v>0</v>
      </c>
      <c r="AA1301">
        <f t="shared" si="307"/>
        <v>0</v>
      </c>
      <c r="AB1301">
        <f t="shared" si="308"/>
        <v>0</v>
      </c>
      <c r="AC1301">
        <f t="shared" si="309"/>
        <v>0</v>
      </c>
      <c r="AD1301" s="1">
        <f t="shared" si="310"/>
        <v>5</v>
      </c>
      <c r="AE1301">
        <f t="shared" si="311"/>
        <v>0</v>
      </c>
      <c r="AF1301">
        <f t="shared" si="312"/>
        <v>10</v>
      </c>
      <c r="AG1301">
        <f t="shared" si="313"/>
        <v>0</v>
      </c>
    </row>
    <row r="1302" spans="1:33" x14ac:dyDescent="0.25">
      <c r="A1302" t="s">
        <v>2183</v>
      </c>
      <c r="B1302" t="s">
        <v>1835</v>
      </c>
      <c r="C1302">
        <v>168737</v>
      </c>
      <c r="D1302">
        <v>168737</v>
      </c>
      <c r="S1302">
        <f t="shared" si="302"/>
        <v>0</v>
      </c>
      <c r="T1302">
        <f t="shared" si="303"/>
        <v>0</v>
      </c>
      <c r="U1302">
        <f t="shared" si="301"/>
        <v>0</v>
      </c>
      <c r="V1302">
        <f t="shared" si="304"/>
        <v>0</v>
      </c>
      <c r="W1302">
        <f t="shared" si="305"/>
        <v>0</v>
      </c>
      <c r="X1302">
        <f t="shared" si="314"/>
        <v>0</v>
      </c>
      <c r="Y1302">
        <f t="shared" si="315"/>
        <v>0</v>
      </c>
      <c r="Z1302">
        <f t="shared" si="306"/>
        <v>0</v>
      </c>
      <c r="AA1302">
        <f t="shared" si="307"/>
        <v>0</v>
      </c>
      <c r="AB1302">
        <f t="shared" si="308"/>
        <v>0</v>
      </c>
      <c r="AC1302">
        <f t="shared" si="309"/>
        <v>0</v>
      </c>
      <c r="AD1302" s="1">
        <f t="shared" si="310"/>
        <v>0</v>
      </c>
      <c r="AE1302">
        <f t="shared" si="311"/>
        <v>0</v>
      </c>
      <c r="AF1302">
        <f t="shared" si="312"/>
        <v>0</v>
      </c>
      <c r="AG1302">
        <f t="shared" si="313"/>
        <v>0</v>
      </c>
    </row>
    <row r="1303" spans="1:33" x14ac:dyDescent="0.25">
      <c r="A1303" t="s">
        <v>2184</v>
      </c>
      <c r="B1303" t="s">
        <v>2185</v>
      </c>
      <c r="C1303">
        <v>165065</v>
      </c>
      <c r="D1303">
        <v>165065</v>
      </c>
      <c r="E1303">
        <v>20</v>
      </c>
      <c r="F1303">
        <v>30</v>
      </c>
      <c r="G1303">
        <v>40</v>
      </c>
      <c r="O1303">
        <v>90</v>
      </c>
      <c r="S1303">
        <f t="shared" si="302"/>
        <v>5.625</v>
      </c>
      <c r="T1303">
        <f t="shared" si="303"/>
        <v>0</v>
      </c>
      <c r="U1303">
        <f t="shared" si="301"/>
        <v>1</v>
      </c>
      <c r="V1303">
        <f t="shared" si="304"/>
        <v>1</v>
      </c>
      <c r="W1303">
        <f t="shared" si="305"/>
        <v>0</v>
      </c>
      <c r="X1303">
        <f t="shared" si="314"/>
        <v>0</v>
      </c>
      <c r="Y1303">
        <f t="shared" si="315"/>
        <v>0</v>
      </c>
      <c r="Z1303">
        <f t="shared" si="306"/>
        <v>4</v>
      </c>
      <c r="AA1303">
        <f t="shared" si="307"/>
        <v>7.5</v>
      </c>
      <c r="AB1303">
        <f t="shared" si="308"/>
        <v>5.7142857142857144</v>
      </c>
      <c r="AC1303">
        <f t="shared" si="309"/>
        <v>0</v>
      </c>
      <c r="AD1303" s="1">
        <f t="shared" si="310"/>
        <v>0</v>
      </c>
      <c r="AE1303">
        <f t="shared" si="311"/>
        <v>0</v>
      </c>
      <c r="AF1303">
        <f t="shared" si="312"/>
        <v>0</v>
      </c>
      <c r="AG1303">
        <f t="shared" si="313"/>
        <v>0</v>
      </c>
    </row>
    <row r="1304" spans="1:33" x14ac:dyDescent="0.25">
      <c r="A1304" t="s">
        <v>2186</v>
      </c>
      <c r="B1304" t="s">
        <v>2187</v>
      </c>
      <c r="C1304">
        <v>163619</v>
      </c>
      <c r="D1304">
        <v>163619</v>
      </c>
      <c r="E1304">
        <v>0</v>
      </c>
      <c r="F1304">
        <v>40</v>
      </c>
      <c r="G1304">
        <v>50</v>
      </c>
      <c r="O1304">
        <v>90</v>
      </c>
      <c r="S1304">
        <f t="shared" si="302"/>
        <v>5.625</v>
      </c>
      <c r="T1304">
        <f t="shared" si="303"/>
        <v>0</v>
      </c>
      <c r="U1304">
        <f t="shared" si="301"/>
        <v>1</v>
      </c>
      <c r="V1304">
        <f t="shared" si="304"/>
        <v>1</v>
      </c>
      <c r="W1304">
        <f t="shared" si="305"/>
        <v>0</v>
      </c>
      <c r="X1304">
        <f t="shared" si="314"/>
        <v>0</v>
      </c>
      <c r="Y1304">
        <f t="shared" si="315"/>
        <v>0</v>
      </c>
      <c r="Z1304">
        <f t="shared" si="306"/>
        <v>0</v>
      </c>
      <c r="AA1304">
        <f t="shared" si="307"/>
        <v>10</v>
      </c>
      <c r="AB1304">
        <f t="shared" si="308"/>
        <v>7.1428571428571432</v>
      </c>
      <c r="AC1304">
        <f t="shared" si="309"/>
        <v>0</v>
      </c>
      <c r="AD1304" s="1">
        <f t="shared" si="310"/>
        <v>0</v>
      </c>
      <c r="AE1304">
        <f t="shared" si="311"/>
        <v>0</v>
      </c>
      <c r="AF1304">
        <f t="shared" si="312"/>
        <v>0</v>
      </c>
      <c r="AG1304">
        <f t="shared" si="313"/>
        <v>0</v>
      </c>
    </row>
    <row r="1305" spans="1:33" x14ac:dyDescent="0.25">
      <c r="A1305" t="s">
        <v>2188</v>
      </c>
      <c r="B1305" t="s">
        <v>2189</v>
      </c>
      <c r="C1305">
        <v>168553</v>
      </c>
      <c r="D1305">
        <v>168553</v>
      </c>
      <c r="H1305">
        <v>10</v>
      </c>
      <c r="I1305">
        <v>40</v>
      </c>
      <c r="J1305">
        <v>10</v>
      </c>
      <c r="K1305">
        <v>10</v>
      </c>
      <c r="L1305">
        <v>0</v>
      </c>
      <c r="M1305">
        <v>70</v>
      </c>
      <c r="S1305">
        <f t="shared" si="302"/>
        <v>0</v>
      </c>
      <c r="T1305">
        <f t="shared" si="303"/>
        <v>5.833333333333333</v>
      </c>
      <c r="U1305">
        <f t="shared" si="301"/>
        <v>1</v>
      </c>
      <c r="V1305">
        <f t="shared" si="304"/>
        <v>0</v>
      </c>
      <c r="W1305">
        <f t="shared" si="305"/>
        <v>1</v>
      </c>
      <c r="X1305">
        <f t="shared" si="314"/>
        <v>0</v>
      </c>
      <c r="Y1305">
        <f t="shared" si="315"/>
        <v>0</v>
      </c>
      <c r="Z1305">
        <f t="shared" si="306"/>
        <v>0</v>
      </c>
      <c r="AA1305">
        <f t="shared" si="307"/>
        <v>0</v>
      </c>
      <c r="AB1305">
        <f t="shared" si="308"/>
        <v>0</v>
      </c>
      <c r="AC1305">
        <f t="shared" si="309"/>
        <v>5</v>
      </c>
      <c r="AD1305" s="1">
        <f t="shared" si="310"/>
        <v>6.666666666666667</v>
      </c>
      <c r="AE1305">
        <f t="shared" si="311"/>
        <v>5</v>
      </c>
      <c r="AF1305">
        <f t="shared" si="312"/>
        <v>10</v>
      </c>
      <c r="AG1305">
        <f t="shared" si="313"/>
        <v>0</v>
      </c>
    </row>
    <row r="1306" spans="1:33" x14ac:dyDescent="0.25">
      <c r="A1306" t="s">
        <v>2190</v>
      </c>
      <c r="B1306" t="s">
        <v>2191</v>
      </c>
      <c r="C1306">
        <v>167011</v>
      </c>
      <c r="D1306">
        <v>167011</v>
      </c>
      <c r="E1306">
        <v>40</v>
      </c>
      <c r="F1306">
        <v>10</v>
      </c>
      <c r="G1306">
        <v>40</v>
      </c>
      <c r="O1306">
        <v>90</v>
      </c>
      <c r="S1306">
        <f t="shared" si="302"/>
        <v>5.625</v>
      </c>
      <c r="T1306">
        <f t="shared" si="303"/>
        <v>0</v>
      </c>
      <c r="U1306">
        <f t="shared" si="301"/>
        <v>1</v>
      </c>
      <c r="V1306">
        <f t="shared" si="304"/>
        <v>1</v>
      </c>
      <c r="W1306">
        <f t="shared" si="305"/>
        <v>0</v>
      </c>
      <c r="X1306">
        <f t="shared" si="314"/>
        <v>0</v>
      </c>
      <c r="Y1306">
        <f t="shared" si="315"/>
        <v>0</v>
      </c>
      <c r="Z1306">
        <f t="shared" si="306"/>
        <v>8</v>
      </c>
      <c r="AA1306">
        <f t="shared" si="307"/>
        <v>2.5</v>
      </c>
      <c r="AB1306">
        <f t="shared" si="308"/>
        <v>5.7142857142857144</v>
      </c>
      <c r="AC1306">
        <f t="shared" si="309"/>
        <v>0</v>
      </c>
      <c r="AD1306" s="1">
        <f t="shared" si="310"/>
        <v>0</v>
      </c>
      <c r="AE1306">
        <f t="shared" si="311"/>
        <v>0</v>
      </c>
      <c r="AF1306">
        <f t="shared" si="312"/>
        <v>0</v>
      </c>
      <c r="AG1306">
        <f t="shared" si="313"/>
        <v>0</v>
      </c>
    </row>
    <row r="1307" spans="1:33" x14ac:dyDescent="0.25">
      <c r="A1307" t="s">
        <v>2192</v>
      </c>
      <c r="B1307" t="s">
        <v>2193</v>
      </c>
      <c r="C1307">
        <v>168453</v>
      </c>
      <c r="D1307">
        <v>168453</v>
      </c>
      <c r="H1307">
        <v>10</v>
      </c>
      <c r="I1307">
        <v>20</v>
      </c>
      <c r="J1307">
        <v>20</v>
      </c>
      <c r="K1307">
        <v>10</v>
      </c>
      <c r="L1307">
        <v>0</v>
      </c>
      <c r="M1307">
        <v>60</v>
      </c>
      <c r="S1307">
        <f t="shared" si="302"/>
        <v>0</v>
      </c>
      <c r="T1307">
        <f t="shared" si="303"/>
        <v>5</v>
      </c>
      <c r="U1307">
        <f t="shared" si="301"/>
        <v>1</v>
      </c>
      <c r="V1307">
        <f t="shared" si="304"/>
        <v>0</v>
      </c>
      <c r="W1307">
        <f t="shared" si="305"/>
        <v>1</v>
      </c>
      <c r="X1307">
        <f t="shared" si="314"/>
        <v>0</v>
      </c>
      <c r="Y1307">
        <f t="shared" si="315"/>
        <v>0</v>
      </c>
      <c r="Z1307">
        <f t="shared" si="306"/>
        <v>0</v>
      </c>
      <c r="AA1307">
        <f t="shared" si="307"/>
        <v>0</v>
      </c>
      <c r="AB1307">
        <f t="shared" si="308"/>
        <v>0</v>
      </c>
      <c r="AC1307">
        <f t="shared" si="309"/>
        <v>5</v>
      </c>
      <c r="AD1307" s="1">
        <f t="shared" si="310"/>
        <v>3.3333333333333335</v>
      </c>
      <c r="AE1307">
        <f t="shared" si="311"/>
        <v>10</v>
      </c>
      <c r="AF1307">
        <f t="shared" si="312"/>
        <v>10</v>
      </c>
      <c r="AG1307">
        <f t="shared" si="313"/>
        <v>0</v>
      </c>
    </row>
    <row r="1308" spans="1:33" x14ac:dyDescent="0.25">
      <c r="A1308" t="s">
        <v>2194</v>
      </c>
      <c r="B1308" t="s">
        <v>2195</v>
      </c>
      <c r="C1308">
        <v>168687</v>
      </c>
      <c r="D1308">
        <v>168687</v>
      </c>
      <c r="H1308">
        <v>0</v>
      </c>
      <c r="I1308">
        <v>20</v>
      </c>
      <c r="J1308">
        <v>10</v>
      </c>
      <c r="K1308">
        <v>0</v>
      </c>
      <c r="L1308">
        <v>0</v>
      </c>
      <c r="M1308">
        <v>30</v>
      </c>
      <c r="S1308">
        <f t="shared" si="302"/>
        <v>0</v>
      </c>
      <c r="T1308">
        <f t="shared" si="303"/>
        <v>2.5</v>
      </c>
      <c r="U1308">
        <f t="shared" si="301"/>
        <v>1</v>
      </c>
      <c r="V1308">
        <f t="shared" si="304"/>
        <v>0</v>
      </c>
      <c r="W1308">
        <f t="shared" si="305"/>
        <v>1</v>
      </c>
      <c r="X1308">
        <f t="shared" si="314"/>
        <v>0</v>
      </c>
      <c r="Y1308">
        <f t="shared" si="315"/>
        <v>0</v>
      </c>
      <c r="Z1308">
        <f t="shared" si="306"/>
        <v>0</v>
      </c>
      <c r="AA1308">
        <f t="shared" si="307"/>
        <v>0</v>
      </c>
      <c r="AB1308">
        <f t="shared" si="308"/>
        <v>0</v>
      </c>
      <c r="AC1308">
        <f t="shared" si="309"/>
        <v>0</v>
      </c>
      <c r="AD1308" s="1">
        <f t="shared" si="310"/>
        <v>3.3333333333333335</v>
      </c>
      <c r="AE1308">
        <f t="shared" si="311"/>
        <v>5</v>
      </c>
      <c r="AF1308">
        <f t="shared" si="312"/>
        <v>0</v>
      </c>
      <c r="AG1308">
        <f t="shared" si="313"/>
        <v>0</v>
      </c>
    </row>
    <row r="1309" spans="1:33" x14ac:dyDescent="0.25">
      <c r="A1309" t="s">
        <v>2196</v>
      </c>
      <c r="B1309" t="s">
        <v>2197</v>
      </c>
      <c r="C1309">
        <v>168621</v>
      </c>
      <c r="D1309">
        <v>168621</v>
      </c>
      <c r="E1309">
        <v>10</v>
      </c>
      <c r="F1309">
        <v>20</v>
      </c>
      <c r="G1309">
        <v>30</v>
      </c>
      <c r="O1309">
        <v>60</v>
      </c>
      <c r="S1309">
        <f t="shared" si="302"/>
        <v>3.75</v>
      </c>
      <c r="T1309">
        <f t="shared" si="303"/>
        <v>0</v>
      </c>
      <c r="U1309">
        <f t="shared" si="301"/>
        <v>1</v>
      </c>
      <c r="V1309">
        <f t="shared" si="304"/>
        <v>1</v>
      </c>
      <c r="W1309">
        <f t="shared" si="305"/>
        <v>0</v>
      </c>
      <c r="X1309">
        <f t="shared" si="314"/>
        <v>0</v>
      </c>
      <c r="Y1309">
        <f t="shared" si="315"/>
        <v>0</v>
      </c>
      <c r="Z1309">
        <f t="shared" si="306"/>
        <v>2</v>
      </c>
      <c r="AA1309">
        <f t="shared" si="307"/>
        <v>5</v>
      </c>
      <c r="AB1309">
        <f t="shared" si="308"/>
        <v>4.2857142857142856</v>
      </c>
      <c r="AC1309">
        <f t="shared" si="309"/>
        <v>0</v>
      </c>
      <c r="AD1309" s="1">
        <f t="shared" si="310"/>
        <v>0</v>
      </c>
      <c r="AE1309">
        <f t="shared" si="311"/>
        <v>0</v>
      </c>
      <c r="AF1309">
        <f t="shared" si="312"/>
        <v>0</v>
      </c>
      <c r="AG1309">
        <f t="shared" si="313"/>
        <v>0</v>
      </c>
    </row>
    <row r="1310" spans="1:33" x14ac:dyDescent="0.25">
      <c r="A1310" t="s">
        <v>2198</v>
      </c>
      <c r="B1310" t="s">
        <v>1957</v>
      </c>
      <c r="C1310">
        <v>166456</v>
      </c>
      <c r="D1310">
        <v>166456</v>
      </c>
      <c r="E1310">
        <v>30</v>
      </c>
      <c r="F1310">
        <v>0</v>
      </c>
      <c r="G1310">
        <v>50</v>
      </c>
      <c r="O1310">
        <v>80</v>
      </c>
      <c r="S1310">
        <f t="shared" si="302"/>
        <v>5</v>
      </c>
      <c r="T1310">
        <f t="shared" si="303"/>
        <v>0</v>
      </c>
      <c r="U1310">
        <f t="shared" si="301"/>
        <v>1</v>
      </c>
      <c r="V1310">
        <f t="shared" si="304"/>
        <v>1</v>
      </c>
      <c r="W1310">
        <f t="shared" si="305"/>
        <v>0</v>
      </c>
      <c r="X1310">
        <f t="shared" si="314"/>
        <v>0</v>
      </c>
      <c r="Y1310">
        <f t="shared" si="315"/>
        <v>0</v>
      </c>
      <c r="Z1310">
        <f t="shared" si="306"/>
        <v>6</v>
      </c>
      <c r="AA1310">
        <f t="shared" si="307"/>
        <v>0</v>
      </c>
      <c r="AB1310">
        <f t="shared" si="308"/>
        <v>7.1428571428571432</v>
      </c>
      <c r="AC1310">
        <f t="shared" si="309"/>
        <v>0</v>
      </c>
      <c r="AD1310" s="1">
        <f t="shared" si="310"/>
        <v>0</v>
      </c>
      <c r="AE1310">
        <f t="shared" si="311"/>
        <v>0</v>
      </c>
      <c r="AF1310">
        <f t="shared" si="312"/>
        <v>0</v>
      </c>
      <c r="AG1310">
        <f t="shared" si="313"/>
        <v>0</v>
      </c>
    </row>
    <row r="1311" spans="1:33" x14ac:dyDescent="0.25">
      <c r="A1311" t="s">
        <v>2199</v>
      </c>
      <c r="B1311" t="s">
        <v>2200</v>
      </c>
      <c r="C1311">
        <v>167614</v>
      </c>
      <c r="D1311">
        <v>167614</v>
      </c>
      <c r="E1311">
        <v>40</v>
      </c>
      <c r="F1311">
        <v>30</v>
      </c>
      <c r="G1311">
        <v>30</v>
      </c>
      <c r="O1311">
        <v>100</v>
      </c>
      <c r="S1311">
        <f t="shared" si="302"/>
        <v>6.25</v>
      </c>
      <c r="T1311">
        <f t="shared" si="303"/>
        <v>0</v>
      </c>
      <c r="U1311">
        <f t="shared" si="301"/>
        <v>1</v>
      </c>
      <c r="V1311">
        <f t="shared" si="304"/>
        <v>1</v>
      </c>
      <c r="W1311">
        <f t="shared" si="305"/>
        <v>0</v>
      </c>
      <c r="X1311">
        <f t="shared" si="314"/>
        <v>1</v>
      </c>
      <c r="Y1311">
        <f t="shared" si="315"/>
        <v>0</v>
      </c>
      <c r="Z1311">
        <f t="shared" si="306"/>
        <v>8</v>
      </c>
      <c r="AA1311">
        <f t="shared" si="307"/>
        <v>7.5</v>
      </c>
      <c r="AB1311">
        <f t="shared" si="308"/>
        <v>4.2857142857142856</v>
      </c>
      <c r="AC1311">
        <f t="shared" si="309"/>
        <v>0</v>
      </c>
      <c r="AD1311" s="1">
        <f t="shared" si="310"/>
        <v>0</v>
      </c>
      <c r="AE1311">
        <f t="shared" si="311"/>
        <v>0</v>
      </c>
      <c r="AF1311">
        <f t="shared" si="312"/>
        <v>0</v>
      </c>
      <c r="AG1311">
        <f t="shared" si="313"/>
        <v>0</v>
      </c>
    </row>
    <row r="1312" spans="1:33" x14ac:dyDescent="0.25">
      <c r="A1312" t="s">
        <v>2201</v>
      </c>
      <c r="B1312" t="s">
        <v>2202</v>
      </c>
      <c r="C1312">
        <v>168452</v>
      </c>
      <c r="D1312">
        <v>168452</v>
      </c>
      <c r="S1312">
        <f t="shared" si="302"/>
        <v>0</v>
      </c>
      <c r="T1312">
        <f t="shared" si="303"/>
        <v>0</v>
      </c>
      <c r="U1312">
        <f t="shared" si="301"/>
        <v>0</v>
      </c>
      <c r="V1312">
        <f t="shared" si="304"/>
        <v>0</v>
      </c>
      <c r="W1312">
        <f t="shared" si="305"/>
        <v>0</v>
      </c>
      <c r="X1312">
        <f t="shared" si="314"/>
        <v>0</v>
      </c>
      <c r="Y1312">
        <f t="shared" si="315"/>
        <v>0</v>
      </c>
      <c r="Z1312">
        <f t="shared" si="306"/>
        <v>0</v>
      </c>
      <c r="AA1312">
        <f t="shared" si="307"/>
        <v>0</v>
      </c>
      <c r="AB1312">
        <f t="shared" si="308"/>
        <v>0</v>
      </c>
      <c r="AC1312">
        <f t="shared" si="309"/>
        <v>0</v>
      </c>
      <c r="AD1312" s="1">
        <f t="shared" si="310"/>
        <v>0</v>
      </c>
      <c r="AE1312">
        <f t="shared" si="311"/>
        <v>0</v>
      </c>
      <c r="AF1312">
        <f t="shared" si="312"/>
        <v>0</v>
      </c>
      <c r="AG1312">
        <f t="shared" si="313"/>
        <v>0</v>
      </c>
    </row>
    <row r="1313" spans="1:33" x14ac:dyDescent="0.25">
      <c r="A1313" t="s">
        <v>2203</v>
      </c>
      <c r="B1313" t="s">
        <v>2204</v>
      </c>
      <c r="C1313">
        <v>167500</v>
      </c>
      <c r="D1313">
        <v>167500</v>
      </c>
      <c r="S1313">
        <f t="shared" si="302"/>
        <v>0</v>
      </c>
      <c r="T1313">
        <f t="shared" si="303"/>
        <v>0</v>
      </c>
      <c r="U1313">
        <f t="shared" si="301"/>
        <v>0</v>
      </c>
      <c r="V1313">
        <f t="shared" si="304"/>
        <v>0</v>
      </c>
      <c r="W1313">
        <f t="shared" si="305"/>
        <v>0</v>
      </c>
      <c r="X1313">
        <f t="shared" si="314"/>
        <v>0</v>
      </c>
      <c r="Y1313">
        <f t="shared" si="315"/>
        <v>0</v>
      </c>
      <c r="Z1313">
        <f t="shared" si="306"/>
        <v>0</v>
      </c>
      <c r="AA1313">
        <f t="shared" si="307"/>
        <v>0</v>
      </c>
      <c r="AB1313">
        <f t="shared" si="308"/>
        <v>0</v>
      </c>
      <c r="AC1313">
        <f t="shared" si="309"/>
        <v>0</v>
      </c>
      <c r="AD1313" s="1">
        <f t="shared" si="310"/>
        <v>0</v>
      </c>
      <c r="AE1313">
        <f t="shared" si="311"/>
        <v>0</v>
      </c>
      <c r="AF1313">
        <f t="shared" si="312"/>
        <v>0</v>
      </c>
      <c r="AG1313">
        <f t="shared" si="313"/>
        <v>0</v>
      </c>
    </row>
    <row r="1314" spans="1:33" x14ac:dyDescent="0.25">
      <c r="A1314" t="s">
        <v>2205</v>
      </c>
      <c r="B1314" t="s">
        <v>43</v>
      </c>
      <c r="C1314">
        <v>168601</v>
      </c>
      <c r="D1314">
        <v>168601</v>
      </c>
      <c r="E1314">
        <v>20</v>
      </c>
      <c r="F1314">
        <v>20</v>
      </c>
      <c r="G1314">
        <v>10</v>
      </c>
      <c r="O1314">
        <v>50</v>
      </c>
      <c r="S1314">
        <f t="shared" si="302"/>
        <v>3.125</v>
      </c>
      <c r="T1314">
        <f t="shared" si="303"/>
        <v>0</v>
      </c>
      <c r="U1314">
        <f t="shared" si="301"/>
        <v>1</v>
      </c>
      <c r="V1314">
        <f t="shared" si="304"/>
        <v>1</v>
      </c>
      <c r="W1314">
        <f t="shared" si="305"/>
        <v>0</v>
      </c>
      <c r="X1314">
        <f t="shared" si="314"/>
        <v>0</v>
      </c>
      <c r="Y1314">
        <f t="shared" si="315"/>
        <v>0</v>
      </c>
      <c r="Z1314">
        <f t="shared" si="306"/>
        <v>4</v>
      </c>
      <c r="AA1314">
        <f t="shared" si="307"/>
        <v>5</v>
      </c>
      <c r="AB1314">
        <f t="shared" si="308"/>
        <v>1.4285714285714286</v>
      </c>
      <c r="AC1314">
        <f t="shared" si="309"/>
        <v>0</v>
      </c>
      <c r="AD1314" s="1">
        <f t="shared" si="310"/>
        <v>0</v>
      </c>
      <c r="AE1314">
        <f t="shared" si="311"/>
        <v>0</v>
      </c>
      <c r="AF1314">
        <f t="shared" si="312"/>
        <v>0</v>
      </c>
      <c r="AG1314">
        <f t="shared" si="313"/>
        <v>0</v>
      </c>
    </row>
    <row r="1315" spans="1:33" x14ac:dyDescent="0.25">
      <c r="A1315" t="s">
        <v>2206</v>
      </c>
      <c r="B1315" t="s">
        <v>2207</v>
      </c>
      <c r="C1315">
        <v>167765</v>
      </c>
      <c r="D1315">
        <v>167765</v>
      </c>
      <c r="H1315">
        <v>0</v>
      </c>
      <c r="I1315">
        <v>10</v>
      </c>
      <c r="J1315">
        <v>10</v>
      </c>
      <c r="K1315">
        <v>10</v>
      </c>
      <c r="L1315">
        <v>10</v>
      </c>
      <c r="M1315">
        <v>40</v>
      </c>
      <c r="S1315">
        <f t="shared" si="302"/>
        <v>0</v>
      </c>
      <c r="T1315">
        <f t="shared" si="303"/>
        <v>3.3333333333333335</v>
      </c>
      <c r="U1315">
        <f t="shared" si="301"/>
        <v>1</v>
      </c>
      <c r="V1315">
        <f t="shared" si="304"/>
        <v>0</v>
      </c>
      <c r="W1315">
        <f t="shared" si="305"/>
        <v>1</v>
      </c>
      <c r="X1315">
        <f t="shared" si="314"/>
        <v>0</v>
      </c>
      <c r="Y1315">
        <f t="shared" si="315"/>
        <v>0</v>
      </c>
      <c r="Z1315">
        <f t="shared" si="306"/>
        <v>0</v>
      </c>
      <c r="AA1315">
        <f t="shared" si="307"/>
        <v>0</v>
      </c>
      <c r="AB1315">
        <f t="shared" si="308"/>
        <v>0</v>
      </c>
      <c r="AC1315">
        <f t="shared" si="309"/>
        <v>0</v>
      </c>
      <c r="AD1315" s="1">
        <f t="shared" si="310"/>
        <v>1.6666666666666667</v>
      </c>
      <c r="AE1315">
        <f t="shared" si="311"/>
        <v>5</v>
      </c>
      <c r="AF1315">
        <f t="shared" si="312"/>
        <v>10</v>
      </c>
      <c r="AG1315">
        <f t="shared" si="313"/>
        <v>10</v>
      </c>
    </row>
    <row r="1316" spans="1:33" x14ac:dyDescent="0.25">
      <c r="A1316" t="s">
        <v>2208</v>
      </c>
      <c r="B1316" t="s">
        <v>443</v>
      </c>
      <c r="C1316">
        <v>167247</v>
      </c>
      <c r="D1316">
        <v>167247</v>
      </c>
      <c r="E1316">
        <v>40</v>
      </c>
      <c r="F1316">
        <v>10</v>
      </c>
      <c r="G1316">
        <v>40</v>
      </c>
      <c r="O1316">
        <v>90</v>
      </c>
      <c r="S1316">
        <f t="shared" si="302"/>
        <v>5.625</v>
      </c>
      <c r="T1316">
        <f t="shared" si="303"/>
        <v>0</v>
      </c>
      <c r="U1316">
        <f t="shared" si="301"/>
        <v>1</v>
      </c>
      <c r="V1316">
        <f t="shared" si="304"/>
        <v>1</v>
      </c>
      <c r="W1316">
        <f t="shared" si="305"/>
        <v>0</v>
      </c>
      <c r="X1316">
        <f t="shared" si="314"/>
        <v>0</v>
      </c>
      <c r="Y1316">
        <f t="shared" si="315"/>
        <v>0</v>
      </c>
      <c r="Z1316">
        <f t="shared" si="306"/>
        <v>8</v>
      </c>
      <c r="AA1316">
        <f t="shared" si="307"/>
        <v>2.5</v>
      </c>
      <c r="AB1316">
        <f t="shared" si="308"/>
        <v>5.7142857142857144</v>
      </c>
      <c r="AC1316">
        <f t="shared" si="309"/>
        <v>0</v>
      </c>
      <c r="AD1316" s="1">
        <f t="shared" si="310"/>
        <v>0</v>
      </c>
      <c r="AE1316">
        <f t="shared" si="311"/>
        <v>0</v>
      </c>
      <c r="AF1316">
        <f t="shared" si="312"/>
        <v>0</v>
      </c>
      <c r="AG1316">
        <f t="shared" si="313"/>
        <v>0</v>
      </c>
    </row>
    <row r="1317" spans="1:33" x14ac:dyDescent="0.25">
      <c r="A1317" t="s">
        <v>2209</v>
      </c>
      <c r="B1317" t="s">
        <v>2210</v>
      </c>
      <c r="C1317">
        <v>164678</v>
      </c>
      <c r="D1317">
        <v>164678</v>
      </c>
      <c r="S1317">
        <f t="shared" si="302"/>
        <v>0</v>
      </c>
      <c r="T1317">
        <f t="shared" si="303"/>
        <v>0</v>
      </c>
      <c r="U1317">
        <f t="shared" si="301"/>
        <v>0</v>
      </c>
      <c r="V1317">
        <f t="shared" si="304"/>
        <v>0</v>
      </c>
      <c r="W1317">
        <f t="shared" si="305"/>
        <v>0</v>
      </c>
      <c r="X1317">
        <f t="shared" si="314"/>
        <v>0</v>
      </c>
      <c r="Y1317">
        <f t="shared" si="315"/>
        <v>0</v>
      </c>
      <c r="Z1317">
        <f t="shared" si="306"/>
        <v>0</v>
      </c>
      <c r="AA1317">
        <f t="shared" si="307"/>
        <v>0</v>
      </c>
      <c r="AB1317">
        <f t="shared" si="308"/>
        <v>0</v>
      </c>
      <c r="AC1317">
        <f t="shared" si="309"/>
        <v>0</v>
      </c>
      <c r="AD1317" s="1">
        <f t="shared" si="310"/>
        <v>0</v>
      </c>
      <c r="AE1317">
        <f t="shared" si="311"/>
        <v>0</v>
      </c>
      <c r="AF1317">
        <f t="shared" si="312"/>
        <v>0</v>
      </c>
      <c r="AG1317">
        <f t="shared" si="313"/>
        <v>0</v>
      </c>
    </row>
    <row r="1318" spans="1:33" x14ac:dyDescent="0.25">
      <c r="A1318" t="s">
        <v>2211</v>
      </c>
      <c r="B1318" t="s">
        <v>2212</v>
      </c>
      <c r="C1318">
        <v>165558</v>
      </c>
      <c r="D1318">
        <v>165558</v>
      </c>
      <c r="E1318">
        <v>20</v>
      </c>
      <c r="F1318">
        <v>40</v>
      </c>
      <c r="G1318">
        <v>50</v>
      </c>
      <c r="O1318">
        <v>110</v>
      </c>
      <c r="S1318">
        <f t="shared" si="302"/>
        <v>6.875</v>
      </c>
      <c r="T1318">
        <f t="shared" si="303"/>
        <v>0</v>
      </c>
      <c r="U1318">
        <f t="shared" si="301"/>
        <v>1</v>
      </c>
      <c r="V1318">
        <f t="shared" si="304"/>
        <v>1</v>
      </c>
      <c r="W1318">
        <f t="shared" si="305"/>
        <v>0</v>
      </c>
      <c r="X1318">
        <f t="shared" si="314"/>
        <v>1</v>
      </c>
      <c r="Y1318">
        <f t="shared" si="315"/>
        <v>0</v>
      </c>
      <c r="Z1318">
        <f t="shared" si="306"/>
        <v>4</v>
      </c>
      <c r="AA1318">
        <f t="shared" si="307"/>
        <v>10</v>
      </c>
      <c r="AB1318">
        <f t="shared" si="308"/>
        <v>7.1428571428571432</v>
      </c>
      <c r="AC1318">
        <f t="shared" si="309"/>
        <v>0</v>
      </c>
      <c r="AD1318" s="1">
        <f t="shared" si="310"/>
        <v>0</v>
      </c>
      <c r="AE1318">
        <f t="shared" si="311"/>
        <v>0</v>
      </c>
      <c r="AF1318">
        <f t="shared" si="312"/>
        <v>0</v>
      </c>
      <c r="AG1318">
        <f t="shared" si="313"/>
        <v>0</v>
      </c>
    </row>
    <row r="1319" spans="1:33" x14ac:dyDescent="0.25">
      <c r="A1319" t="s">
        <v>2213</v>
      </c>
      <c r="B1319" t="s">
        <v>963</v>
      </c>
      <c r="C1319">
        <v>167127</v>
      </c>
      <c r="D1319">
        <v>167127</v>
      </c>
      <c r="H1319">
        <v>20</v>
      </c>
      <c r="I1319">
        <v>60</v>
      </c>
      <c r="J1319">
        <v>20</v>
      </c>
      <c r="K1319">
        <v>10</v>
      </c>
      <c r="L1319">
        <v>10</v>
      </c>
      <c r="M1319">
        <v>120</v>
      </c>
      <c r="S1319">
        <f t="shared" si="302"/>
        <v>0</v>
      </c>
      <c r="T1319">
        <f t="shared" si="303"/>
        <v>10</v>
      </c>
      <c r="U1319">
        <f t="shared" si="301"/>
        <v>1</v>
      </c>
      <c r="V1319">
        <f t="shared" si="304"/>
        <v>0</v>
      </c>
      <c r="W1319">
        <f t="shared" si="305"/>
        <v>1</v>
      </c>
      <c r="X1319">
        <f t="shared" si="314"/>
        <v>0</v>
      </c>
      <c r="Y1319">
        <f t="shared" si="315"/>
        <v>1</v>
      </c>
      <c r="Z1319">
        <f t="shared" si="306"/>
        <v>0</v>
      </c>
      <c r="AA1319">
        <f t="shared" si="307"/>
        <v>0</v>
      </c>
      <c r="AB1319">
        <f t="shared" si="308"/>
        <v>0</v>
      </c>
      <c r="AC1319">
        <f t="shared" si="309"/>
        <v>10</v>
      </c>
      <c r="AD1319" s="1">
        <f t="shared" si="310"/>
        <v>10</v>
      </c>
      <c r="AE1319">
        <f t="shared" si="311"/>
        <v>10</v>
      </c>
      <c r="AF1319">
        <f t="shared" si="312"/>
        <v>10</v>
      </c>
      <c r="AG1319">
        <f t="shared" si="313"/>
        <v>10</v>
      </c>
    </row>
    <row r="1320" spans="1:33" x14ac:dyDescent="0.25">
      <c r="A1320" t="s">
        <v>2214</v>
      </c>
      <c r="B1320" t="s">
        <v>1308</v>
      </c>
      <c r="C1320">
        <v>166523</v>
      </c>
      <c r="D1320">
        <v>166523</v>
      </c>
      <c r="E1320">
        <v>40</v>
      </c>
      <c r="F1320">
        <v>20</v>
      </c>
      <c r="G1320">
        <v>30</v>
      </c>
      <c r="O1320">
        <v>90</v>
      </c>
      <c r="S1320">
        <f t="shared" si="302"/>
        <v>5.625</v>
      </c>
      <c r="T1320">
        <f t="shared" si="303"/>
        <v>0</v>
      </c>
      <c r="U1320">
        <f t="shared" si="301"/>
        <v>1</v>
      </c>
      <c r="V1320">
        <f t="shared" si="304"/>
        <v>1</v>
      </c>
      <c r="W1320">
        <f t="shared" si="305"/>
        <v>0</v>
      </c>
      <c r="X1320">
        <f t="shared" si="314"/>
        <v>0</v>
      </c>
      <c r="Y1320">
        <f t="shared" si="315"/>
        <v>0</v>
      </c>
      <c r="Z1320">
        <f t="shared" si="306"/>
        <v>8</v>
      </c>
      <c r="AA1320">
        <f t="shared" si="307"/>
        <v>5</v>
      </c>
      <c r="AB1320">
        <f t="shared" si="308"/>
        <v>4.2857142857142856</v>
      </c>
      <c r="AC1320">
        <f t="shared" si="309"/>
        <v>0</v>
      </c>
      <c r="AD1320" s="1">
        <f t="shared" si="310"/>
        <v>0</v>
      </c>
      <c r="AE1320">
        <f t="shared" si="311"/>
        <v>0</v>
      </c>
      <c r="AF1320">
        <f t="shared" si="312"/>
        <v>0</v>
      </c>
      <c r="AG1320">
        <f t="shared" si="313"/>
        <v>0</v>
      </c>
    </row>
    <row r="1321" spans="1:33" x14ac:dyDescent="0.25">
      <c r="A1321" t="s">
        <v>2215</v>
      </c>
      <c r="B1321" t="s">
        <v>53</v>
      </c>
      <c r="C1321">
        <v>168022</v>
      </c>
      <c r="D1321">
        <v>168022</v>
      </c>
      <c r="E1321">
        <v>10</v>
      </c>
      <c r="F1321">
        <v>10</v>
      </c>
      <c r="G1321">
        <v>0</v>
      </c>
      <c r="O1321">
        <v>20</v>
      </c>
      <c r="S1321">
        <f t="shared" si="302"/>
        <v>1.25</v>
      </c>
      <c r="T1321">
        <f t="shared" si="303"/>
        <v>0</v>
      </c>
      <c r="U1321">
        <f t="shared" si="301"/>
        <v>1</v>
      </c>
      <c r="V1321">
        <f t="shared" si="304"/>
        <v>1</v>
      </c>
      <c r="W1321">
        <f t="shared" si="305"/>
        <v>0</v>
      </c>
      <c r="X1321">
        <f t="shared" si="314"/>
        <v>0</v>
      </c>
      <c r="Y1321">
        <f t="shared" si="315"/>
        <v>0</v>
      </c>
      <c r="Z1321">
        <f t="shared" si="306"/>
        <v>2</v>
      </c>
      <c r="AA1321">
        <f t="shared" si="307"/>
        <v>2.5</v>
      </c>
      <c r="AB1321">
        <f t="shared" si="308"/>
        <v>0</v>
      </c>
      <c r="AC1321">
        <f t="shared" si="309"/>
        <v>0</v>
      </c>
      <c r="AD1321" s="1">
        <f t="shared" si="310"/>
        <v>0</v>
      </c>
      <c r="AE1321">
        <f t="shared" si="311"/>
        <v>0</v>
      </c>
      <c r="AF1321">
        <f t="shared" si="312"/>
        <v>0</v>
      </c>
      <c r="AG1321">
        <f t="shared" si="313"/>
        <v>0</v>
      </c>
    </row>
    <row r="1322" spans="1:33" x14ac:dyDescent="0.25">
      <c r="A1322" t="s">
        <v>2216</v>
      </c>
      <c r="B1322" t="s">
        <v>393</v>
      </c>
      <c r="C1322">
        <v>167351</v>
      </c>
      <c r="D1322">
        <v>167351</v>
      </c>
      <c r="H1322">
        <v>0</v>
      </c>
      <c r="I1322">
        <v>30</v>
      </c>
      <c r="J1322">
        <v>10</v>
      </c>
      <c r="K1322">
        <v>0</v>
      </c>
      <c r="L1322">
        <v>10</v>
      </c>
      <c r="M1322">
        <v>50</v>
      </c>
      <c r="S1322">
        <f t="shared" si="302"/>
        <v>0</v>
      </c>
      <c r="T1322">
        <f t="shared" si="303"/>
        <v>4.166666666666667</v>
      </c>
      <c r="U1322">
        <f t="shared" si="301"/>
        <v>1</v>
      </c>
      <c r="V1322">
        <f t="shared" si="304"/>
        <v>0</v>
      </c>
      <c r="W1322">
        <f t="shared" si="305"/>
        <v>1</v>
      </c>
      <c r="X1322">
        <f t="shared" si="314"/>
        <v>0</v>
      </c>
      <c r="Y1322">
        <f t="shared" si="315"/>
        <v>0</v>
      </c>
      <c r="Z1322">
        <f t="shared" si="306"/>
        <v>0</v>
      </c>
      <c r="AA1322">
        <f t="shared" si="307"/>
        <v>0</v>
      </c>
      <c r="AB1322">
        <f t="shared" si="308"/>
        <v>0</v>
      </c>
      <c r="AC1322">
        <f t="shared" si="309"/>
        <v>0</v>
      </c>
      <c r="AD1322" s="1">
        <f t="shared" si="310"/>
        <v>5</v>
      </c>
      <c r="AE1322">
        <f t="shared" si="311"/>
        <v>5</v>
      </c>
      <c r="AF1322">
        <f t="shared" si="312"/>
        <v>0</v>
      </c>
      <c r="AG1322">
        <f t="shared" si="313"/>
        <v>10</v>
      </c>
    </row>
    <row r="1323" spans="1:33" x14ac:dyDescent="0.25">
      <c r="A1323" t="s">
        <v>2217</v>
      </c>
      <c r="B1323" t="s">
        <v>2218</v>
      </c>
      <c r="C1323">
        <v>168904</v>
      </c>
      <c r="D1323">
        <v>168904</v>
      </c>
      <c r="S1323">
        <f t="shared" si="302"/>
        <v>0</v>
      </c>
      <c r="T1323">
        <f t="shared" si="303"/>
        <v>0</v>
      </c>
      <c r="U1323">
        <f t="shared" si="301"/>
        <v>0</v>
      </c>
      <c r="V1323">
        <f t="shared" si="304"/>
        <v>0</v>
      </c>
      <c r="W1323">
        <f t="shared" si="305"/>
        <v>0</v>
      </c>
      <c r="X1323">
        <f t="shared" si="314"/>
        <v>0</v>
      </c>
      <c r="Y1323">
        <f t="shared" si="315"/>
        <v>0</v>
      </c>
      <c r="Z1323">
        <f t="shared" si="306"/>
        <v>0</v>
      </c>
      <c r="AA1323">
        <f t="shared" si="307"/>
        <v>0</v>
      </c>
      <c r="AB1323">
        <f t="shared" si="308"/>
        <v>0</v>
      </c>
      <c r="AC1323">
        <f t="shared" si="309"/>
        <v>0</v>
      </c>
      <c r="AD1323" s="1">
        <f t="shared" si="310"/>
        <v>0</v>
      </c>
      <c r="AE1323">
        <f t="shared" si="311"/>
        <v>0</v>
      </c>
      <c r="AF1323">
        <f t="shared" si="312"/>
        <v>0</v>
      </c>
      <c r="AG1323">
        <f t="shared" si="313"/>
        <v>0</v>
      </c>
    </row>
    <row r="1324" spans="1:33" x14ac:dyDescent="0.25">
      <c r="A1324" t="s">
        <v>2217</v>
      </c>
      <c r="B1324" t="s">
        <v>2219</v>
      </c>
      <c r="C1324">
        <v>163935</v>
      </c>
      <c r="D1324">
        <v>163935</v>
      </c>
      <c r="E1324">
        <v>30</v>
      </c>
      <c r="F1324">
        <v>30</v>
      </c>
      <c r="G1324">
        <v>40</v>
      </c>
      <c r="O1324">
        <v>100</v>
      </c>
      <c r="S1324">
        <f t="shared" si="302"/>
        <v>6.25</v>
      </c>
      <c r="T1324">
        <f t="shared" si="303"/>
        <v>0</v>
      </c>
      <c r="U1324">
        <f t="shared" si="301"/>
        <v>1</v>
      </c>
      <c r="V1324">
        <f t="shared" si="304"/>
        <v>1</v>
      </c>
      <c r="W1324">
        <f t="shared" si="305"/>
        <v>0</v>
      </c>
      <c r="X1324">
        <f t="shared" si="314"/>
        <v>1</v>
      </c>
      <c r="Y1324">
        <f t="shared" si="315"/>
        <v>0</v>
      </c>
      <c r="Z1324">
        <f t="shared" si="306"/>
        <v>6</v>
      </c>
      <c r="AA1324">
        <f t="shared" si="307"/>
        <v>7.5</v>
      </c>
      <c r="AB1324">
        <f t="shared" si="308"/>
        <v>5.7142857142857144</v>
      </c>
      <c r="AC1324">
        <f t="shared" si="309"/>
        <v>0</v>
      </c>
      <c r="AD1324" s="1">
        <f t="shared" si="310"/>
        <v>0</v>
      </c>
      <c r="AE1324">
        <f t="shared" si="311"/>
        <v>0</v>
      </c>
      <c r="AF1324">
        <f t="shared" si="312"/>
        <v>0</v>
      </c>
      <c r="AG1324">
        <f t="shared" si="313"/>
        <v>0</v>
      </c>
    </row>
    <row r="1325" spans="1:33" x14ac:dyDescent="0.25">
      <c r="A1325" t="s">
        <v>2220</v>
      </c>
      <c r="B1325" t="s">
        <v>43</v>
      </c>
      <c r="C1325">
        <v>166174</v>
      </c>
      <c r="D1325">
        <v>166174</v>
      </c>
      <c r="S1325">
        <f t="shared" si="302"/>
        <v>0</v>
      </c>
      <c r="T1325">
        <f t="shared" si="303"/>
        <v>0</v>
      </c>
      <c r="U1325">
        <f t="shared" si="301"/>
        <v>0</v>
      </c>
      <c r="V1325">
        <f t="shared" si="304"/>
        <v>0</v>
      </c>
      <c r="W1325">
        <f t="shared" si="305"/>
        <v>0</v>
      </c>
      <c r="X1325">
        <f t="shared" si="314"/>
        <v>0</v>
      </c>
      <c r="Y1325">
        <f t="shared" si="315"/>
        <v>0</v>
      </c>
      <c r="Z1325">
        <f t="shared" si="306"/>
        <v>0</v>
      </c>
      <c r="AA1325">
        <f t="shared" si="307"/>
        <v>0</v>
      </c>
      <c r="AB1325">
        <f t="shared" si="308"/>
        <v>0</v>
      </c>
      <c r="AC1325">
        <f t="shared" si="309"/>
        <v>0</v>
      </c>
      <c r="AD1325" s="1">
        <f t="shared" si="310"/>
        <v>0</v>
      </c>
      <c r="AE1325">
        <f t="shared" si="311"/>
        <v>0</v>
      </c>
      <c r="AF1325">
        <f t="shared" si="312"/>
        <v>0</v>
      </c>
      <c r="AG1325">
        <f t="shared" si="313"/>
        <v>0</v>
      </c>
    </row>
    <row r="1326" spans="1:33" x14ac:dyDescent="0.25">
      <c r="A1326" t="s">
        <v>2221</v>
      </c>
      <c r="B1326" t="s">
        <v>2222</v>
      </c>
      <c r="C1326">
        <v>163765</v>
      </c>
      <c r="D1326">
        <v>163765</v>
      </c>
      <c r="H1326">
        <v>20</v>
      </c>
      <c r="I1326">
        <v>60</v>
      </c>
      <c r="J1326">
        <v>20</v>
      </c>
      <c r="K1326">
        <v>10</v>
      </c>
      <c r="L1326">
        <v>10</v>
      </c>
      <c r="M1326">
        <v>120</v>
      </c>
      <c r="S1326">
        <f t="shared" si="302"/>
        <v>0</v>
      </c>
      <c r="T1326">
        <f t="shared" si="303"/>
        <v>10</v>
      </c>
      <c r="U1326">
        <f t="shared" si="301"/>
        <v>1</v>
      </c>
      <c r="V1326">
        <f t="shared" si="304"/>
        <v>0</v>
      </c>
      <c r="W1326">
        <f t="shared" si="305"/>
        <v>1</v>
      </c>
      <c r="X1326">
        <f t="shared" si="314"/>
        <v>0</v>
      </c>
      <c r="Y1326">
        <f t="shared" si="315"/>
        <v>1</v>
      </c>
      <c r="Z1326">
        <f t="shared" si="306"/>
        <v>0</v>
      </c>
      <c r="AA1326">
        <f t="shared" si="307"/>
        <v>0</v>
      </c>
      <c r="AB1326">
        <f t="shared" si="308"/>
        <v>0</v>
      </c>
      <c r="AC1326">
        <f t="shared" si="309"/>
        <v>10</v>
      </c>
      <c r="AD1326" s="1">
        <f t="shared" si="310"/>
        <v>10</v>
      </c>
      <c r="AE1326">
        <f t="shared" si="311"/>
        <v>10</v>
      </c>
      <c r="AF1326">
        <f t="shared" si="312"/>
        <v>10</v>
      </c>
      <c r="AG1326">
        <f t="shared" si="313"/>
        <v>10</v>
      </c>
    </row>
    <row r="1327" spans="1:33" x14ac:dyDescent="0.25">
      <c r="A1327" t="s">
        <v>2223</v>
      </c>
      <c r="B1327" t="s">
        <v>697</v>
      </c>
      <c r="C1327">
        <v>166412</v>
      </c>
      <c r="D1327">
        <v>166412</v>
      </c>
      <c r="E1327">
        <v>10</v>
      </c>
      <c r="F1327">
        <v>10</v>
      </c>
      <c r="G1327">
        <v>40</v>
      </c>
      <c r="O1327">
        <v>60</v>
      </c>
      <c r="S1327">
        <f t="shared" si="302"/>
        <v>3.75</v>
      </c>
      <c r="T1327">
        <f t="shared" si="303"/>
        <v>0</v>
      </c>
      <c r="U1327">
        <f t="shared" si="301"/>
        <v>1</v>
      </c>
      <c r="V1327">
        <f t="shared" si="304"/>
        <v>1</v>
      </c>
      <c r="W1327">
        <f t="shared" si="305"/>
        <v>0</v>
      </c>
      <c r="X1327">
        <f t="shared" si="314"/>
        <v>0</v>
      </c>
      <c r="Y1327">
        <f t="shared" si="315"/>
        <v>0</v>
      </c>
      <c r="Z1327">
        <f t="shared" si="306"/>
        <v>2</v>
      </c>
      <c r="AA1327">
        <f t="shared" si="307"/>
        <v>2.5</v>
      </c>
      <c r="AB1327">
        <f t="shared" si="308"/>
        <v>5.7142857142857144</v>
      </c>
      <c r="AC1327">
        <f t="shared" si="309"/>
        <v>0</v>
      </c>
      <c r="AD1327" s="1">
        <f t="shared" si="310"/>
        <v>0</v>
      </c>
      <c r="AE1327">
        <f t="shared" si="311"/>
        <v>0</v>
      </c>
      <c r="AF1327">
        <f t="shared" si="312"/>
        <v>0</v>
      </c>
      <c r="AG1327">
        <f t="shared" si="313"/>
        <v>0</v>
      </c>
    </row>
    <row r="1328" spans="1:33" x14ac:dyDescent="0.25">
      <c r="A1328" t="s">
        <v>2224</v>
      </c>
      <c r="B1328" t="s">
        <v>2225</v>
      </c>
      <c r="C1328">
        <v>167263</v>
      </c>
      <c r="D1328">
        <v>167263</v>
      </c>
      <c r="H1328">
        <v>0</v>
      </c>
      <c r="I1328">
        <v>30</v>
      </c>
      <c r="J1328">
        <v>10</v>
      </c>
      <c r="K1328">
        <v>10</v>
      </c>
      <c r="L1328">
        <v>10</v>
      </c>
      <c r="M1328">
        <v>60</v>
      </c>
      <c r="S1328">
        <f t="shared" si="302"/>
        <v>0</v>
      </c>
      <c r="T1328">
        <f t="shared" si="303"/>
        <v>5</v>
      </c>
      <c r="U1328">
        <f t="shared" si="301"/>
        <v>1</v>
      </c>
      <c r="V1328">
        <f t="shared" si="304"/>
        <v>0</v>
      </c>
      <c r="W1328">
        <f t="shared" si="305"/>
        <v>1</v>
      </c>
      <c r="X1328">
        <f t="shared" si="314"/>
        <v>0</v>
      </c>
      <c r="Y1328">
        <f t="shared" si="315"/>
        <v>0</v>
      </c>
      <c r="Z1328">
        <f t="shared" si="306"/>
        <v>0</v>
      </c>
      <c r="AA1328">
        <f t="shared" si="307"/>
        <v>0</v>
      </c>
      <c r="AB1328">
        <f t="shared" si="308"/>
        <v>0</v>
      </c>
      <c r="AC1328">
        <f t="shared" si="309"/>
        <v>0</v>
      </c>
      <c r="AD1328" s="1">
        <f t="shared" si="310"/>
        <v>5</v>
      </c>
      <c r="AE1328">
        <f t="shared" si="311"/>
        <v>5</v>
      </c>
      <c r="AF1328">
        <f t="shared" si="312"/>
        <v>10</v>
      </c>
      <c r="AG1328">
        <f t="shared" si="313"/>
        <v>10</v>
      </c>
    </row>
    <row r="1329" spans="1:33" x14ac:dyDescent="0.25">
      <c r="A1329" t="s">
        <v>2226</v>
      </c>
      <c r="B1329" t="s">
        <v>558</v>
      </c>
      <c r="C1329">
        <v>168036</v>
      </c>
      <c r="D1329">
        <v>168036</v>
      </c>
      <c r="H1329">
        <v>20</v>
      </c>
      <c r="I1329">
        <v>60</v>
      </c>
      <c r="J1329">
        <v>10</v>
      </c>
      <c r="K1329">
        <v>10</v>
      </c>
      <c r="L1329">
        <v>0</v>
      </c>
      <c r="M1329">
        <v>100</v>
      </c>
      <c r="S1329">
        <f t="shared" si="302"/>
        <v>0</v>
      </c>
      <c r="T1329">
        <f t="shared" si="303"/>
        <v>8.3333333333333339</v>
      </c>
      <c r="U1329">
        <f t="shared" si="301"/>
        <v>1</v>
      </c>
      <c r="V1329">
        <f t="shared" si="304"/>
        <v>0</v>
      </c>
      <c r="W1329">
        <f t="shared" si="305"/>
        <v>1</v>
      </c>
      <c r="X1329">
        <f t="shared" si="314"/>
        <v>0</v>
      </c>
      <c r="Y1329">
        <f t="shared" si="315"/>
        <v>1</v>
      </c>
      <c r="Z1329">
        <f t="shared" si="306"/>
        <v>0</v>
      </c>
      <c r="AA1329">
        <f t="shared" si="307"/>
        <v>0</v>
      </c>
      <c r="AB1329">
        <f t="shared" si="308"/>
        <v>0</v>
      </c>
      <c r="AC1329">
        <f t="shared" si="309"/>
        <v>10</v>
      </c>
      <c r="AD1329" s="1">
        <f t="shared" si="310"/>
        <v>10</v>
      </c>
      <c r="AE1329">
        <f t="shared" si="311"/>
        <v>5</v>
      </c>
      <c r="AF1329">
        <f t="shared" si="312"/>
        <v>10</v>
      </c>
      <c r="AG1329">
        <f t="shared" si="313"/>
        <v>0</v>
      </c>
    </row>
    <row r="1330" spans="1:33" x14ac:dyDescent="0.25">
      <c r="A1330" t="s">
        <v>2227</v>
      </c>
      <c r="B1330" t="s">
        <v>618</v>
      </c>
      <c r="C1330">
        <v>166148</v>
      </c>
      <c r="D1330">
        <v>166148</v>
      </c>
      <c r="H1330">
        <v>0</v>
      </c>
      <c r="I1330">
        <v>30</v>
      </c>
      <c r="J1330">
        <v>20</v>
      </c>
      <c r="K1330">
        <v>10</v>
      </c>
      <c r="L1330">
        <v>10</v>
      </c>
      <c r="M1330">
        <v>70</v>
      </c>
      <c r="S1330">
        <f t="shared" si="302"/>
        <v>0</v>
      </c>
      <c r="T1330">
        <f t="shared" si="303"/>
        <v>5.833333333333333</v>
      </c>
      <c r="U1330">
        <f t="shared" si="301"/>
        <v>1</v>
      </c>
      <c r="V1330">
        <f t="shared" si="304"/>
        <v>0</v>
      </c>
      <c r="W1330">
        <f t="shared" si="305"/>
        <v>1</v>
      </c>
      <c r="X1330">
        <f t="shared" si="314"/>
        <v>0</v>
      </c>
      <c r="Y1330">
        <f t="shared" si="315"/>
        <v>0</v>
      </c>
      <c r="Z1330">
        <f t="shared" si="306"/>
        <v>0</v>
      </c>
      <c r="AA1330">
        <f t="shared" si="307"/>
        <v>0</v>
      </c>
      <c r="AB1330">
        <f t="shared" si="308"/>
        <v>0</v>
      </c>
      <c r="AC1330">
        <f t="shared" si="309"/>
        <v>0</v>
      </c>
      <c r="AD1330" s="1">
        <f t="shared" si="310"/>
        <v>5</v>
      </c>
      <c r="AE1330">
        <f t="shared" si="311"/>
        <v>10</v>
      </c>
      <c r="AF1330">
        <f t="shared" si="312"/>
        <v>10</v>
      </c>
      <c r="AG1330">
        <f t="shared" si="313"/>
        <v>10</v>
      </c>
    </row>
    <row r="1331" spans="1:33" x14ac:dyDescent="0.25">
      <c r="A1331" t="s">
        <v>2228</v>
      </c>
      <c r="B1331" t="s">
        <v>2229</v>
      </c>
      <c r="C1331">
        <v>168694</v>
      </c>
      <c r="D1331">
        <v>168694</v>
      </c>
      <c r="E1331">
        <v>10</v>
      </c>
      <c r="F1331">
        <v>20</v>
      </c>
      <c r="G1331">
        <v>20</v>
      </c>
      <c r="O1331">
        <v>50</v>
      </c>
      <c r="S1331">
        <f t="shared" si="302"/>
        <v>3.125</v>
      </c>
      <c r="T1331">
        <f t="shared" si="303"/>
        <v>0</v>
      </c>
      <c r="U1331">
        <f t="shared" si="301"/>
        <v>1</v>
      </c>
      <c r="V1331">
        <f t="shared" si="304"/>
        <v>1</v>
      </c>
      <c r="W1331">
        <f t="shared" si="305"/>
        <v>0</v>
      </c>
      <c r="X1331">
        <f t="shared" si="314"/>
        <v>0</v>
      </c>
      <c r="Y1331">
        <f t="shared" si="315"/>
        <v>0</v>
      </c>
      <c r="Z1331">
        <f t="shared" si="306"/>
        <v>2</v>
      </c>
      <c r="AA1331">
        <f t="shared" si="307"/>
        <v>5</v>
      </c>
      <c r="AB1331">
        <f t="shared" si="308"/>
        <v>2.8571428571428572</v>
      </c>
      <c r="AC1331">
        <f t="shared" si="309"/>
        <v>0</v>
      </c>
      <c r="AD1331" s="1">
        <f t="shared" si="310"/>
        <v>0</v>
      </c>
      <c r="AE1331">
        <f t="shared" si="311"/>
        <v>0</v>
      </c>
      <c r="AF1331">
        <f t="shared" si="312"/>
        <v>0</v>
      </c>
      <c r="AG1331">
        <f t="shared" si="313"/>
        <v>0</v>
      </c>
    </row>
    <row r="1332" spans="1:33" x14ac:dyDescent="0.25">
      <c r="A1332" t="s">
        <v>2230</v>
      </c>
      <c r="B1332" t="s">
        <v>2231</v>
      </c>
      <c r="C1332">
        <v>167148</v>
      </c>
      <c r="D1332">
        <v>167148</v>
      </c>
      <c r="H1332">
        <v>10</v>
      </c>
      <c r="I1332">
        <v>40</v>
      </c>
      <c r="J1332">
        <v>20</v>
      </c>
      <c r="K1332">
        <v>10</v>
      </c>
      <c r="L1332">
        <v>10</v>
      </c>
      <c r="M1332">
        <v>90</v>
      </c>
      <c r="S1332">
        <f t="shared" si="302"/>
        <v>0</v>
      </c>
      <c r="T1332">
        <f t="shared" si="303"/>
        <v>7.5</v>
      </c>
      <c r="U1332">
        <f t="shared" si="301"/>
        <v>1</v>
      </c>
      <c r="V1332">
        <f t="shared" si="304"/>
        <v>0</v>
      </c>
      <c r="W1332">
        <f t="shared" si="305"/>
        <v>1</v>
      </c>
      <c r="X1332">
        <f t="shared" si="314"/>
        <v>0</v>
      </c>
      <c r="Y1332">
        <f t="shared" si="315"/>
        <v>1</v>
      </c>
      <c r="Z1332">
        <f t="shared" si="306"/>
        <v>0</v>
      </c>
      <c r="AA1332">
        <f t="shared" si="307"/>
        <v>0</v>
      </c>
      <c r="AB1332">
        <f t="shared" si="308"/>
        <v>0</v>
      </c>
      <c r="AC1332">
        <f t="shared" si="309"/>
        <v>5</v>
      </c>
      <c r="AD1332" s="1">
        <f t="shared" si="310"/>
        <v>6.666666666666667</v>
      </c>
      <c r="AE1332">
        <f t="shared" si="311"/>
        <v>10</v>
      </c>
      <c r="AF1332">
        <f t="shared" si="312"/>
        <v>10</v>
      </c>
      <c r="AG1332">
        <f t="shared" si="313"/>
        <v>10</v>
      </c>
    </row>
    <row r="1333" spans="1:33" x14ac:dyDescent="0.25">
      <c r="A1333" t="s">
        <v>2232</v>
      </c>
      <c r="B1333" t="s">
        <v>367</v>
      </c>
      <c r="C1333">
        <v>167032</v>
      </c>
      <c r="D1333">
        <v>167032</v>
      </c>
      <c r="H1333">
        <v>0</v>
      </c>
      <c r="I1333">
        <v>50</v>
      </c>
      <c r="J1333">
        <v>10</v>
      </c>
      <c r="K1333">
        <v>10</v>
      </c>
      <c r="L1333">
        <v>10</v>
      </c>
      <c r="M1333">
        <v>80</v>
      </c>
      <c r="S1333">
        <f t="shared" si="302"/>
        <v>0</v>
      </c>
      <c r="T1333">
        <f t="shared" si="303"/>
        <v>6.666666666666667</v>
      </c>
      <c r="U1333">
        <f t="shared" si="301"/>
        <v>1</v>
      </c>
      <c r="V1333">
        <f t="shared" si="304"/>
        <v>0</v>
      </c>
      <c r="W1333">
        <f t="shared" si="305"/>
        <v>1</v>
      </c>
      <c r="X1333">
        <f t="shared" si="314"/>
        <v>0</v>
      </c>
      <c r="Y1333">
        <f t="shared" si="315"/>
        <v>1</v>
      </c>
      <c r="Z1333">
        <f t="shared" si="306"/>
        <v>0</v>
      </c>
      <c r="AA1333">
        <f t="shared" si="307"/>
        <v>0</v>
      </c>
      <c r="AB1333">
        <f t="shared" si="308"/>
        <v>0</v>
      </c>
      <c r="AC1333">
        <f t="shared" si="309"/>
        <v>0</v>
      </c>
      <c r="AD1333" s="1">
        <f t="shared" si="310"/>
        <v>8.3333333333333339</v>
      </c>
      <c r="AE1333">
        <f t="shared" si="311"/>
        <v>5</v>
      </c>
      <c r="AF1333">
        <f t="shared" si="312"/>
        <v>10</v>
      </c>
      <c r="AG1333">
        <f t="shared" si="313"/>
        <v>10</v>
      </c>
    </row>
    <row r="1334" spans="1:33" x14ac:dyDescent="0.25">
      <c r="A1334" t="s">
        <v>2233</v>
      </c>
      <c r="B1334" t="s">
        <v>944</v>
      </c>
      <c r="C1334">
        <v>168175</v>
      </c>
      <c r="D1334">
        <v>168175</v>
      </c>
      <c r="H1334">
        <v>0</v>
      </c>
      <c r="I1334">
        <v>30</v>
      </c>
      <c r="J1334">
        <v>20</v>
      </c>
      <c r="K1334">
        <v>10</v>
      </c>
      <c r="L1334">
        <v>10</v>
      </c>
      <c r="M1334">
        <v>70</v>
      </c>
      <c r="S1334">
        <f t="shared" si="302"/>
        <v>0</v>
      </c>
      <c r="T1334">
        <f t="shared" si="303"/>
        <v>5.833333333333333</v>
      </c>
      <c r="U1334">
        <f t="shared" si="301"/>
        <v>1</v>
      </c>
      <c r="V1334">
        <f t="shared" si="304"/>
        <v>0</v>
      </c>
      <c r="W1334">
        <f t="shared" si="305"/>
        <v>1</v>
      </c>
      <c r="X1334">
        <f t="shared" si="314"/>
        <v>0</v>
      </c>
      <c r="Y1334">
        <f t="shared" si="315"/>
        <v>0</v>
      </c>
      <c r="Z1334">
        <f t="shared" si="306"/>
        <v>0</v>
      </c>
      <c r="AA1334">
        <f t="shared" si="307"/>
        <v>0</v>
      </c>
      <c r="AB1334">
        <f t="shared" si="308"/>
        <v>0</v>
      </c>
      <c r="AC1334">
        <f t="shared" si="309"/>
        <v>0</v>
      </c>
      <c r="AD1334" s="1">
        <f t="shared" si="310"/>
        <v>5</v>
      </c>
      <c r="AE1334">
        <f t="shared" si="311"/>
        <v>10</v>
      </c>
      <c r="AF1334">
        <f t="shared" si="312"/>
        <v>10</v>
      </c>
      <c r="AG1334">
        <f t="shared" si="313"/>
        <v>10</v>
      </c>
    </row>
    <row r="1335" spans="1:33" x14ac:dyDescent="0.25">
      <c r="A1335" t="s">
        <v>2234</v>
      </c>
      <c r="B1335" t="s">
        <v>79</v>
      </c>
      <c r="C1335">
        <v>168384</v>
      </c>
      <c r="D1335">
        <v>168384</v>
      </c>
      <c r="S1335">
        <f t="shared" si="302"/>
        <v>0</v>
      </c>
      <c r="T1335">
        <f t="shared" si="303"/>
        <v>0</v>
      </c>
      <c r="U1335">
        <f t="shared" si="301"/>
        <v>0</v>
      </c>
      <c r="V1335">
        <f t="shared" si="304"/>
        <v>0</v>
      </c>
      <c r="W1335">
        <f t="shared" si="305"/>
        <v>0</v>
      </c>
      <c r="X1335">
        <f t="shared" si="314"/>
        <v>0</v>
      </c>
      <c r="Y1335">
        <f t="shared" si="315"/>
        <v>0</v>
      </c>
      <c r="Z1335">
        <f t="shared" si="306"/>
        <v>0</v>
      </c>
      <c r="AA1335">
        <f t="shared" si="307"/>
        <v>0</v>
      </c>
      <c r="AB1335">
        <f t="shared" si="308"/>
        <v>0</v>
      </c>
      <c r="AC1335">
        <f t="shared" si="309"/>
        <v>0</v>
      </c>
      <c r="AD1335" s="1">
        <f t="shared" si="310"/>
        <v>0</v>
      </c>
      <c r="AE1335">
        <f t="shared" si="311"/>
        <v>0</v>
      </c>
      <c r="AF1335">
        <f t="shared" si="312"/>
        <v>0</v>
      </c>
      <c r="AG1335">
        <f t="shared" si="313"/>
        <v>0</v>
      </c>
    </row>
    <row r="1336" spans="1:33" x14ac:dyDescent="0.25">
      <c r="A1336" t="s">
        <v>2235</v>
      </c>
      <c r="B1336" t="s">
        <v>2236</v>
      </c>
      <c r="C1336">
        <v>166039</v>
      </c>
      <c r="D1336">
        <v>166039</v>
      </c>
      <c r="H1336">
        <v>10</v>
      </c>
      <c r="I1336">
        <v>30</v>
      </c>
      <c r="J1336">
        <v>10</v>
      </c>
      <c r="M1336">
        <v>50</v>
      </c>
      <c r="S1336">
        <f t="shared" si="302"/>
        <v>0</v>
      </c>
      <c r="T1336">
        <f t="shared" si="303"/>
        <v>4.166666666666667</v>
      </c>
      <c r="U1336">
        <f t="shared" si="301"/>
        <v>1</v>
      </c>
      <c r="V1336">
        <f t="shared" si="304"/>
        <v>0</v>
      </c>
      <c r="W1336">
        <f t="shared" si="305"/>
        <v>1</v>
      </c>
      <c r="X1336">
        <f t="shared" si="314"/>
        <v>0</v>
      </c>
      <c r="Y1336">
        <f t="shared" si="315"/>
        <v>0</v>
      </c>
      <c r="Z1336">
        <f t="shared" si="306"/>
        <v>0</v>
      </c>
      <c r="AA1336">
        <f t="shared" si="307"/>
        <v>0</v>
      </c>
      <c r="AB1336">
        <f t="shared" si="308"/>
        <v>0</v>
      </c>
      <c r="AC1336">
        <f t="shared" si="309"/>
        <v>5</v>
      </c>
      <c r="AD1336" s="1">
        <f t="shared" si="310"/>
        <v>5</v>
      </c>
      <c r="AE1336">
        <f t="shared" si="311"/>
        <v>5</v>
      </c>
      <c r="AF1336">
        <f t="shared" si="312"/>
        <v>0</v>
      </c>
      <c r="AG1336">
        <f t="shared" si="313"/>
        <v>0</v>
      </c>
    </row>
    <row r="1337" spans="1:33" x14ac:dyDescent="0.25">
      <c r="A1337" t="s">
        <v>2237</v>
      </c>
      <c r="B1337" t="s">
        <v>2238</v>
      </c>
      <c r="C1337">
        <v>167866</v>
      </c>
      <c r="D1337">
        <v>167866</v>
      </c>
      <c r="E1337">
        <v>30</v>
      </c>
      <c r="F1337">
        <v>30</v>
      </c>
      <c r="G1337">
        <v>20</v>
      </c>
      <c r="O1337">
        <v>80</v>
      </c>
      <c r="S1337">
        <f t="shared" si="302"/>
        <v>5</v>
      </c>
      <c r="T1337">
        <f t="shared" si="303"/>
        <v>0</v>
      </c>
      <c r="U1337">
        <f t="shared" si="301"/>
        <v>1</v>
      </c>
      <c r="V1337">
        <f t="shared" si="304"/>
        <v>1</v>
      </c>
      <c r="W1337">
        <f t="shared" si="305"/>
        <v>0</v>
      </c>
      <c r="X1337">
        <f t="shared" si="314"/>
        <v>0</v>
      </c>
      <c r="Y1337">
        <f t="shared" si="315"/>
        <v>0</v>
      </c>
      <c r="Z1337">
        <f t="shared" si="306"/>
        <v>6</v>
      </c>
      <c r="AA1337">
        <f t="shared" si="307"/>
        <v>7.5</v>
      </c>
      <c r="AB1337">
        <f t="shared" si="308"/>
        <v>2.8571428571428572</v>
      </c>
      <c r="AC1337">
        <f t="shared" si="309"/>
        <v>0</v>
      </c>
      <c r="AD1337" s="1">
        <f t="shared" si="310"/>
        <v>0</v>
      </c>
      <c r="AE1337">
        <f t="shared" si="311"/>
        <v>0</v>
      </c>
      <c r="AF1337">
        <f t="shared" si="312"/>
        <v>0</v>
      </c>
      <c r="AG1337">
        <f t="shared" si="313"/>
        <v>0</v>
      </c>
    </row>
    <row r="1338" spans="1:33" x14ac:dyDescent="0.25">
      <c r="A1338" t="s">
        <v>2239</v>
      </c>
      <c r="B1338" t="s">
        <v>95</v>
      </c>
      <c r="C1338">
        <v>165796</v>
      </c>
      <c r="D1338">
        <v>165796</v>
      </c>
      <c r="E1338">
        <v>10</v>
      </c>
      <c r="F1338">
        <v>40</v>
      </c>
      <c r="G1338">
        <v>40</v>
      </c>
      <c r="O1338">
        <v>90</v>
      </c>
      <c r="S1338">
        <f t="shared" si="302"/>
        <v>5.625</v>
      </c>
      <c r="T1338">
        <f t="shared" si="303"/>
        <v>0</v>
      </c>
      <c r="U1338">
        <f t="shared" si="301"/>
        <v>1</v>
      </c>
      <c r="V1338">
        <f t="shared" si="304"/>
        <v>1</v>
      </c>
      <c r="W1338">
        <f t="shared" si="305"/>
        <v>0</v>
      </c>
      <c r="X1338">
        <f t="shared" si="314"/>
        <v>0</v>
      </c>
      <c r="Y1338">
        <f t="shared" si="315"/>
        <v>0</v>
      </c>
      <c r="Z1338">
        <f t="shared" si="306"/>
        <v>2</v>
      </c>
      <c r="AA1338">
        <f t="shared" si="307"/>
        <v>10</v>
      </c>
      <c r="AB1338">
        <f t="shared" si="308"/>
        <v>5.7142857142857144</v>
      </c>
      <c r="AC1338">
        <f t="shared" si="309"/>
        <v>0</v>
      </c>
      <c r="AD1338" s="1">
        <f t="shared" si="310"/>
        <v>0</v>
      </c>
      <c r="AE1338">
        <f t="shared" si="311"/>
        <v>0</v>
      </c>
      <c r="AF1338">
        <f t="shared" si="312"/>
        <v>0</v>
      </c>
      <c r="AG1338">
        <f t="shared" si="313"/>
        <v>0</v>
      </c>
    </row>
    <row r="1339" spans="1:33" x14ac:dyDescent="0.25">
      <c r="A1339" t="s">
        <v>2240</v>
      </c>
      <c r="B1339" t="s">
        <v>2241</v>
      </c>
      <c r="C1339">
        <v>168515</v>
      </c>
      <c r="D1339">
        <v>168515</v>
      </c>
      <c r="H1339">
        <v>0</v>
      </c>
      <c r="I1339">
        <v>30</v>
      </c>
      <c r="J1339">
        <v>20</v>
      </c>
      <c r="K1339">
        <v>10</v>
      </c>
      <c r="L1339">
        <v>0</v>
      </c>
      <c r="M1339">
        <v>60</v>
      </c>
      <c r="S1339">
        <f t="shared" si="302"/>
        <v>0</v>
      </c>
      <c r="T1339">
        <f t="shared" si="303"/>
        <v>5</v>
      </c>
      <c r="U1339">
        <f t="shared" si="301"/>
        <v>1</v>
      </c>
      <c r="V1339">
        <f t="shared" si="304"/>
        <v>0</v>
      </c>
      <c r="W1339">
        <f t="shared" si="305"/>
        <v>1</v>
      </c>
      <c r="X1339">
        <f t="shared" si="314"/>
        <v>0</v>
      </c>
      <c r="Y1339">
        <f t="shared" si="315"/>
        <v>0</v>
      </c>
      <c r="Z1339">
        <f t="shared" si="306"/>
        <v>0</v>
      </c>
      <c r="AA1339">
        <f t="shared" si="307"/>
        <v>0</v>
      </c>
      <c r="AB1339">
        <f t="shared" si="308"/>
        <v>0</v>
      </c>
      <c r="AC1339">
        <f t="shared" si="309"/>
        <v>0</v>
      </c>
      <c r="AD1339" s="1">
        <f t="shared" si="310"/>
        <v>5</v>
      </c>
      <c r="AE1339">
        <f t="shared" si="311"/>
        <v>10</v>
      </c>
      <c r="AF1339">
        <f t="shared" si="312"/>
        <v>10</v>
      </c>
      <c r="AG1339">
        <f t="shared" si="313"/>
        <v>0</v>
      </c>
    </row>
    <row r="1340" spans="1:33" x14ac:dyDescent="0.25">
      <c r="A1340" t="s">
        <v>2242</v>
      </c>
      <c r="B1340" t="s">
        <v>2243</v>
      </c>
      <c r="C1340">
        <v>163175</v>
      </c>
      <c r="D1340">
        <v>163175</v>
      </c>
      <c r="S1340">
        <f t="shared" si="302"/>
        <v>0</v>
      </c>
      <c r="T1340">
        <f t="shared" si="303"/>
        <v>0</v>
      </c>
      <c r="U1340">
        <f t="shared" si="301"/>
        <v>0</v>
      </c>
      <c r="V1340">
        <f t="shared" si="304"/>
        <v>0</v>
      </c>
      <c r="W1340">
        <f t="shared" si="305"/>
        <v>0</v>
      </c>
      <c r="X1340">
        <f t="shared" si="314"/>
        <v>0</v>
      </c>
      <c r="Y1340">
        <f t="shared" si="315"/>
        <v>0</v>
      </c>
      <c r="Z1340">
        <f t="shared" si="306"/>
        <v>0</v>
      </c>
      <c r="AA1340">
        <f t="shared" si="307"/>
        <v>0</v>
      </c>
      <c r="AB1340">
        <f t="shared" si="308"/>
        <v>0</v>
      </c>
      <c r="AC1340">
        <f t="shared" si="309"/>
        <v>0</v>
      </c>
      <c r="AD1340" s="1">
        <f t="shared" si="310"/>
        <v>0</v>
      </c>
      <c r="AE1340">
        <f t="shared" si="311"/>
        <v>0</v>
      </c>
      <c r="AF1340">
        <f t="shared" si="312"/>
        <v>0</v>
      </c>
      <c r="AG1340">
        <f t="shared" si="313"/>
        <v>0</v>
      </c>
    </row>
    <row r="1341" spans="1:33" x14ac:dyDescent="0.25">
      <c r="A1341" t="s">
        <v>2244</v>
      </c>
      <c r="B1341" t="s">
        <v>1912</v>
      </c>
      <c r="C1341">
        <v>168311</v>
      </c>
      <c r="D1341">
        <v>168311</v>
      </c>
      <c r="E1341">
        <v>0</v>
      </c>
      <c r="F1341">
        <v>10</v>
      </c>
      <c r="G1341">
        <v>20</v>
      </c>
      <c r="O1341">
        <v>30</v>
      </c>
      <c r="S1341">
        <f t="shared" si="302"/>
        <v>1.875</v>
      </c>
      <c r="T1341">
        <f t="shared" si="303"/>
        <v>0</v>
      </c>
      <c r="U1341">
        <f t="shared" si="301"/>
        <v>1</v>
      </c>
      <c r="V1341">
        <f t="shared" si="304"/>
        <v>1</v>
      </c>
      <c r="W1341">
        <f t="shared" si="305"/>
        <v>0</v>
      </c>
      <c r="X1341">
        <f t="shared" si="314"/>
        <v>0</v>
      </c>
      <c r="Y1341">
        <f t="shared" si="315"/>
        <v>0</v>
      </c>
      <c r="Z1341">
        <f t="shared" si="306"/>
        <v>0</v>
      </c>
      <c r="AA1341">
        <f t="shared" si="307"/>
        <v>2.5</v>
      </c>
      <c r="AB1341">
        <f t="shared" si="308"/>
        <v>2.8571428571428572</v>
      </c>
      <c r="AC1341">
        <f t="shared" si="309"/>
        <v>0</v>
      </c>
      <c r="AD1341" s="1">
        <f t="shared" si="310"/>
        <v>0</v>
      </c>
      <c r="AE1341">
        <f t="shared" si="311"/>
        <v>0</v>
      </c>
      <c r="AF1341">
        <f t="shared" si="312"/>
        <v>0</v>
      </c>
      <c r="AG1341">
        <f t="shared" si="313"/>
        <v>0</v>
      </c>
    </row>
    <row r="1342" spans="1:33" x14ac:dyDescent="0.25">
      <c r="A1342" t="s">
        <v>2245</v>
      </c>
      <c r="B1342" t="s">
        <v>2246</v>
      </c>
      <c r="C1342">
        <v>167884</v>
      </c>
      <c r="D1342">
        <v>167884</v>
      </c>
      <c r="E1342">
        <v>40</v>
      </c>
      <c r="F1342">
        <v>20</v>
      </c>
      <c r="G1342">
        <v>20</v>
      </c>
      <c r="O1342">
        <v>80</v>
      </c>
      <c r="S1342">
        <f t="shared" si="302"/>
        <v>5</v>
      </c>
      <c r="T1342">
        <f t="shared" si="303"/>
        <v>0</v>
      </c>
      <c r="U1342">
        <f t="shared" si="301"/>
        <v>1</v>
      </c>
      <c r="V1342">
        <f t="shared" si="304"/>
        <v>1</v>
      </c>
      <c r="W1342">
        <f t="shared" si="305"/>
        <v>0</v>
      </c>
      <c r="X1342">
        <f t="shared" si="314"/>
        <v>0</v>
      </c>
      <c r="Y1342">
        <f t="shared" si="315"/>
        <v>0</v>
      </c>
      <c r="Z1342">
        <f t="shared" si="306"/>
        <v>8</v>
      </c>
      <c r="AA1342">
        <f t="shared" si="307"/>
        <v>5</v>
      </c>
      <c r="AB1342">
        <f t="shared" si="308"/>
        <v>2.8571428571428572</v>
      </c>
      <c r="AC1342">
        <f t="shared" si="309"/>
        <v>0</v>
      </c>
      <c r="AD1342" s="1">
        <f t="shared" si="310"/>
        <v>0</v>
      </c>
      <c r="AE1342">
        <f t="shared" si="311"/>
        <v>0</v>
      </c>
      <c r="AF1342">
        <f t="shared" si="312"/>
        <v>0</v>
      </c>
      <c r="AG1342">
        <f t="shared" si="313"/>
        <v>0</v>
      </c>
    </row>
    <row r="1343" spans="1:33" x14ac:dyDescent="0.25">
      <c r="A1343" t="s">
        <v>2247</v>
      </c>
      <c r="B1343" t="s">
        <v>906</v>
      </c>
      <c r="C1343">
        <v>167543</v>
      </c>
      <c r="D1343">
        <v>167543</v>
      </c>
      <c r="E1343">
        <v>10</v>
      </c>
      <c r="F1343">
        <v>10</v>
      </c>
      <c r="G1343">
        <v>50</v>
      </c>
      <c r="O1343">
        <v>70</v>
      </c>
      <c r="S1343">
        <f t="shared" si="302"/>
        <v>4.375</v>
      </c>
      <c r="T1343">
        <f t="shared" si="303"/>
        <v>0</v>
      </c>
      <c r="U1343">
        <f t="shared" si="301"/>
        <v>1</v>
      </c>
      <c r="V1343">
        <f t="shared" si="304"/>
        <v>1</v>
      </c>
      <c r="W1343">
        <f t="shared" si="305"/>
        <v>0</v>
      </c>
      <c r="X1343">
        <f t="shared" si="314"/>
        <v>0</v>
      </c>
      <c r="Y1343">
        <f t="shared" si="315"/>
        <v>0</v>
      </c>
      <c r="Z1343">
        <f t="shared" si="306"/>
        <v>2</v>
      </c>
      <c r="AA1343">
        <f t="shared" si="307"/>
        <v>2.5</v>
      </c>
      <c r="AB1343">
        <f t="shared" si="308"/>
        <v>7.1428571428571432</v>
      </c>
      <c r="AC1343">
        <f t="shared" si="309"/>
        <v>0</v>
      </c>
      <c r="AD1343" s="1">
        <f t="shared" si="310"/>
        <v>0</v>
      </c>
      <c r="AE1343">
        <f t="shared" si="311"/>
        <v>0</v>
      </c>
      <c r="AF1343">
        <f t="shared" si="312"/>
        <v>0</v>
      </c>
      <c r="AG1343">
        <f t="shared" si="313"/>
        <v>0</v>
      </c>
    </row>
    <row r="1344" spans="1:33" x14ac:dyDescent="0.25">
      <c r="A1344" t="s">
        <v>2248</v>
      </c>
      <c r="B1344" t="s">
        <v>2249</v>
      </c>
      <c r="C1344">
        <v>167252</v>
      </c>
      <c r="D1344">
        <v>167252</v>
      </c>
      <c r="E1344">
        <v>50</v>
      </c>
      <c r="F1344">
        <v>20</v>
      </c>
      <c r="G1344">
        <v>30</v>
      </c>
      <c r="O1344">
        <v>100</v>
      </c>
      <c r="S1344">
        <f t="shared" si="302"/>
        <v>6.25</v>
      </c>
      <c r="T1344">
        <f t="shared" si="303"/>
        <v>0</v>
      </c>
      <c r="U1344">
        <f t="shared" si="301"/>
        <v>1</v>
      </c>
      <c r="V1344">
        <f t="shared" si="304"/>
        <v>1</v>
      </c>
      <c r="W1344">
        <f t="shared" si="305"/>
        <v>0</v>
      </c>
      <c r="X1344">
        <f t="shared" si="314"/>
        <v>1</v>
      </c>
      <c r="Y1344">
        <f t="shared" si="315"/>
        <v>0</v>
      </c>
      <c r="Z1344">
        <f t="shared" si="306"/>
        <v>10</v>
      </c>
      <c r="AA1344">
        <f t="shared" si="307"/>
        <v>5</v>
      </c>
      <c r="AB1344">
        <f t="shared" si="308"/>
        <v>4.2857142857142856</v>
      </c>
      <c r="AC1344">
        <f t="shared" si="309"/>
        <v>0</v>
      </c>
      <c r="AD1344" s="1">
        <f t="shared" si="310"/>
        <v>0</v>
      </c>
      <c r="AE1344">
        <f t="shared" si="311"/>
        <v>0</v>
      </c>
      <c r="AF1344">
        <f t="shared" si="312"/>
        <v>0</v>
      </c>
      <c r="AG1344">
        <f t="shared" si="313"/>
        <v>0</v>
      </c>
    </row>
    <row r="1345" spans="1:33" x14ac:dyDescent="0.25">
      <c r="A1345" t="s">
        <v>2250</v>
      </c>
      <c r="B1345" t="s">
        <v>1483</v>
      </c>
      <c r="C1345">
        <v>166402</v>
      </c>
      <c r="D1345">
        <v>166402</v>
      </c>
      <c r="E1345">
        <v>0</v>
      </c>
      <c r="F1345">
        <v>0</v>
      </c>
      <c r="G1345">
        <v>20</v>
      </c>
      <c r="O1345">
        <v>20</v>
      </c>
      <c r="S1345">
        <f t="shared" si="302"/>
        <v>1.25</v>
      </c>
      <c r="T1345">
        <f t="shared" si="303"/>
        <v>0</v>
      </c>
      <c r="U1345">
        <f t="shared" si="301"/>
        <v>1</v>
      </c>
      <c r="V1345">
        <f t="shared" si="304"/>
        <v>1</v>
      </c>
      <c r="W1345">
        <f t="shared" si="305"/>
        <v>0</v>
      </c>
      <c r="X1345">
        <f t="shared" si="314"/>
        <v>0</v>
      </c>
      <c r="Y1345">
        <f t="shared" si="315"/>
        <v>0</v>
      </c>
      <c r="Z1345">
        <f t="shared" si="306"/>
        <v>0</v>
      </c>
      <c r="AA1345">
        <f t="shared" si="307"/>
        <v>0</v>
      </c>
      <c r="AB1345">
        <f t="shared" si="308"/>
        <v>2.8571428571428572</v>
      </c>
      <c r="AC1345">
        <f t="shared" si="309"/>
        <v>0</v>
      </c>
      <c r="AD1345" s="1">
        <f t="shared" si="310"/>
        <v>0</v>
      </c>
      <c r="AE1345">
        <f t="shared" si="311"/>
        <v>0</v>
      </c>
      <c r="AF1345">
        <f t="shared" si="312"/>
        <v>0</v>
      </c>
      <c r="AG1345">
        <f t="shared" si="313"/>
        <v>0</v>
      </c>
    </row>
    <row r="1346" spans="1:33" x14ac:dyDescent="0.25">
      <c r="A1346" t="s">
        <v>2251</v>
      </c>
      <c r="B1346" t="s">
        <v>2252</v>
      </c>
      <c r="C1346">
        <v>166443</v>
      </c>
      <c r="D1346">
        <v>166443</v>
      </c>
      <c r="H1346">
        <v>10</v>
      </c>
      <c r="I1346">
        <v>40</v>
      </c>
      <c r="J1346">
        <v>10</v>
      </c>
      <c r="K1346">
        <v>10</v>
      </c>
      <c r="L1346">
        <v>0</v>
      </c>
      <c r="M1346">
        <v>70</v>
      </c>
      <c r="S1346">
        <f t="shared" si="302"/>
        <v>0</v>
      </c>
      <c r="T1346">
        <f t="shared" si="303"/>
        <v>5.833333333333333</v>
      </c>
      <c r="U1346">
        <f t="shared" ref="U1346:U1409" si="316">IF(AND(E1346="",F1346="",G1346="",H1346="",I1346="",J1346="",K1346="",L1346="",M1346=""),0,1)</f>
        <v>1</v>
      </c>
      <c r="V1346">
        <f t="shared" si="304"/>
        <v>0</v>
      </c>
      <c r="W1346">
        <f t="shared" si="305"/>
        <v>1</v>
      </c>
      <c r="X1346">
        <f t="shared" si="314"/>
        <v>0</v>
      </c>
      <c r="Y1346">
        <f t="shared" si="315"/>
        <v>0</v>
      </c>
      <c r="Z1346">
        <f t="shared" si="306"/>
        <v>0</v>
      </c>
      <c r="AA1346">
        <f t="shared" si="307"/>
        <v>0</v>
      </c>
      <c r="AB1346">
        <f t="shared" si="308"/>
        <v>0</v>
      </c>
      <c r="AC1346">
        <f t="shared" si="309"/>
        <v>5</v>
      </c>
      <c r="AD1346" s="1">
        <f t="shared" si="310"/>
        <v>6.666666666666667</v>
      </c>
      <c r="AE1346">
        <f t="shared" si="311"/>
        <v>5</v>
      </c>
      <c r="AF1346">
        <f t="shared" si="312"/>
        <v>10</v>
      </c>
      <c r="AG1346">
        <f t="shared" si="313"/>
        <v>0</v>
      </c>
    </row>
    <row r="1347" spans="1:33" x14ac:dyDescent="0.25">
      <c r="A1347" t="s">
        <v>2253</v>
      </c>
      <c r="B1347" t="s">
        <v>2254</v>
      </c>
      <c r="C1347">
        <v>165962</v>
      </c>
      <c r="D1347">
        <v>165962</v>
      </c>
      <c r="H1347">
        <v>10</v>
      </c>
      <c r="I1347">
        <v>40</v>
      </c>
      <c r="J1347">
        <v>10</v>
      </c>
      <c r="K1347">
        <v>10</v>
      </c>
      <c r="L1347">
        <v>10</v>
      </c>
      <c r="M1347">
        <v>80</v>
      </c>
      <c r="S1347">
        <f t="shared" ref="S1347:S1410" si="317">O1347/16</f>
        <v>0</v>
      </c>
      <c r="T1347">
        <f t="shared" ref="T1347:T1410" si="318">M1347/12</f>
        <v>6.666666666666667</v>
      </c>
      <c r="U1347">
        <f t="shared" si="316"/>
        <v>1</v>
      </c>
      <c r="V1347">
        <f t="shared" ref="V1347:V1410" si="319">IF(O1347="",0,1)</f>
        <v>0</v>
      </c>
      <c r="W1347">
        <f t="shared" ref="W1347:W1410" si="320">IF(M1347="",0,1)</f>
        <v>1</v>
      </c>
      <c r="X1347">
        <f t="shared" si="314"/>
        <v>0</v>
      </c>
      <c r="Y1347">
        <f t="shared" si="315"/>
        <v>1</v>
      </c>
      <c r="Z1347">
        <f t="shared" ref="Z1347:Z1410" si="321">E1347/5</f>
        <v>0</v>
      </c>
      <c r="AA1347">
        <f t="shared" ref="AA1347:AA1410" si="322">F1347/4</f>
        <v>0</v>
      </c>
      <c r="AB1347">
        <f t="shared" ref="AB1347:AB1410" si="323">G1347/7</f>
        <v>0</v>
      </c>
      <c r="AC1347">
        <f t="shared" ref="AC1347:AC1410" si="324">H1347/2</f>
        <v>5</v>
      </c>
      <c r="AD1347" s="1">
        <f t="shared" ref="AD1347:AD1410" si="325">I1347/6</f>
        <v>6.666666666666667</v>
      </c>
      <c r="AE1347">
        <f t="shared" ref="AE1347:AE1410" si="326">J1347/2</f>
        <v>5</v>
      </c>
      <c r="AF1347">
        <f t="shared" ref="AF1347:AF1410" si="327">K1347</f>
        <v>10</v>
      </c>
      <c r="AG1347">
        <f t="shared" ref="AG1347:AG1410" si="328">L1347</f>
        <v>10</v>
      </c>
    </row>
    <row r="1348" spans="1:33" x14ac:dyDescent="0.25">
      <c r="A1348" t="s">
        <v>2255</v>
      </c>
      <c r="B1348" t="s">
        <v>2256</v>
      </c>
      <c r="C1348">
        <v>168152</v>
      </c>
      <c r="D1348">
        <v>168152</v>
      </c>
      <c r="E1348">
        <v>40</v>
      </c>
      <c r="F1348">
        <v>20</v>
      </c>
      <c r="G1348">
        <v>40</v>
      </c>
      <c r="O1348">
        <v>100</v>
      </c>
      <c r="S1348">
        <f t="shared" si="317"/>
        <v>6.25</v>
      </c>
      <c r="T1348">
        <f t="shared" si="318"/>
        <v>0</v>
      </c>
      <c r="U1348">
        <f t="shared" si="316"/>
        <v>1</v>
      </c>
      <c r="V1348">
        <f t="shared" si="319"/>
        <v>1</v>
      </c>
      <c r="W1348">
        <f t="shared" si="320"/>
        <v>0</v>
      </c>
      <c r="X1348">
        <f t="shared" si="314"/>
        <v>1</v>
      </c>
      <c r="Y1348">
        <f t="shared" si="315"/>
        <v>0</v>
      </c>
      <c r="Z1348">
        <f t="shared" si="321"/>
        <v>8</v>
      </c>
      <c r="AA1348">
        <f t="shared" si="322"/>
        <v>5</v>
      </c>
      <c r="AB1348">
        <f t="shared" si="323"/>
        <v>5.7142857142857144</v>
      </c>
      <c r="AC1348">
        <f t="shared" si="324"/>
        <v>0</v>
      </c>
      <c r="AD1348" s="1">
        <f t="shared" si="325"/>
        <v>0</v>
      </c>
      <c r="AE1348">
        <f t="shared" si="326"/>
        <v>0</v>
      </c>
      <c r="AF1348">
        <f t="shared" si="327"/>
        <v>0</v>
      </c>
      <c r="AG1348">
        <f t="shared" si="328"/>
        <v>0</v>
      </c>
    </row>
    <row r="1349" spans="1:33" x14ac:dyDescent="0.25">
      <c r="A1349" t="s">
        <v>2257</v>
      </c>
      <c r="B1349" t="s">
        <v>2258</v>
      </c>
      <c r="C1349">
        <v>168054</v>
      </c>
      <c r="D1349">
        <v>168054</v>
      </c>
      <c r="E1349">
        <v>30</v>
      </c>
      <c r="F1349">
        <v>20</v>
      </c>
      <c r="G1349">
        <v>20</v>
      </c>
      <c r="O1349">
        <v>70</v>
      </c>
      <c r="S1349">
        <f t="shared" si="317"/>
        <v>4.375</v>
      </c>
      <c r="T1349">
        <f t="shared" si="318"/>
        <v>0</v>
      </c>
      <c r="U1349">
        <f t="shared" si="316"/>
        <v>1</v>
      </c>
      <c r="V1349">
        <f t="shared" si="319"/>
        <v>1</v>
      </c>
      <c r="W1349">
        <f t="shared" si="320"/>
        <v>0</v>
      </c>
      <c r="X1349">
        <f t="shared" ref="X1349:X1412" si="329">IF(AND(V1349=1,S1349&gt;6),1,0)</f>
        <v>0</v>
      </c>
      <c r="Y1349">
        <f t="shared" ref="Y1349:Y1412" si="330">IF(AND(W1349=1,T1349&gt;6),1,0)</f>
        <v>0</v>
      </c>
      <c r="Z1349">
        <f t="shared" si="321"/>
        <v>6</v>
      </c>
      <c r="AA1349">
        <f t="shared" si="322"/>
        <v>5</v>
      </c>
      <c r="AB1349">
        <f t="shared" si="323"/>
        <v>2.8571428571428572</v>
      </c>
      <c r="AC1349">
        <f t="shared" si="324"/>
        <v>0</v>
      </c>
      <c r="AD1349" s="1">
        <f t="shared" si="325"/>
        <v>0</v>
      </c>
      <c r="AE1349">
        <f t="shared" si="326"/>
        <v>0</v>
      </c>
      <c r="AF1349">
        <f t="shared" si="327"/>
        <v>0</v>
      </c>
      <c r="AG1349">
        <f t="shared" si="328"/>
        <v>0</v>
      </c>
    </row>
    <row r="1350" spans="1:33" x14ac:dyDescent="0.25">
      <c r="A1350" t="s">
        <v>2259</v>
      </c>
      <c r="B1350" t="s">
        <v>59</v>
      </c>
      <c r="C1350">
        <v>168571</v>
      </c>
      <c r="D1350">
        <v>168571</v>
      </c>
      <c r="E1350">
        <v>20</v>
      </c>
      <c r="F1350">
        <v>20</v>
      </c>
      <c r="G1350">
        <v>40</v>
      </c>
      <c r="O1350">
        <v>80</v>
      </c>
      <c r="S1350">
        <f t="shared" si="317"/>
        <v>5</v>
      </c>
      <c r="T1350">
        <f t="shared" si="318"/>
        <v>0</v>
      </c>
      <c r="U1350">
        <f t="shared" si="316"/>
        <v>1</v>
      </c>
      <c r="V1350">
        <f t="shared" si="319"/>
        <v>1</v>
      </c>
      <c r="W1350">
        <f t="shared" si="320"/>
        <v>0</v>
      </c>
      <c r="X1350">
        <f t="shared" si="329"/>
        <v>0</v>
      </c>
      <c r="Y1350">
        <f t="shared" si="330"/>
        <v>0</v>
      </c>
      <c r="Z1350">
        <f t="shared" si="321"/>
        <v>4</v>
      </c>
      <c r="AA1350">
        <f t="shared" si="322"/>
        <v>5</v>
      </c>
      <c r="AB1350">
        <f t="shared" si="323"/>
        <v>5.7142857142857144</v>
      </c>
      <c r="AC1350">
        <f t="shared" si="324"/>
        <v>0</v>
      </c>
      <c r="AD1350" s="1">
        <f t="shared" si="325"/>
        <v>0</v>
      </c>
      <c r="AE1350">
        <f t="shared" si="326"/>
        <v>0</v>
      </c>
      <c r="AF1350">
        <f t="shared" si="327"/>
        <v>0</v>
      </c>
      <c r="AG1350">
        <f t="shared" si="328"/>
        <v>0</v>
      </c>
    </row>
    <row r="1351" spans="1:33" x14ac:dyDescent="0.25">
      <c r="A1351" t="s">
        <v>2260</v>
      </c>
      <c r="B1351" t="s">
        <v>2261</v>
      </c>
      <c r="C1351">
        <v>167218</v>
      </c>
      <c r="D1351">
        <v>167218</v>
      </c>
      <c r="H1351">
        <v>20</v>
      </c>
      <c r="I1351">
        <v>50</v>
      </c>
      <c r="J1351">
        <v>20</v>
      </c>
      <c r="K1351">
        <v>10</v>
      </c>
      <c r="L1351">
        <v>10</v>
      </c>
      <c r="M1351">
        <v>110</v>
      </c>
      <c r="S1351">
        <f t="shared" si="317"/>
        <v>0</v>
      </c>
      <c r="T1351">
        <f t="shared" si="318"/>
        <v>9.1666666666666661</v>
      </c>
      <c r="U1351">
        <f t="shared" si="316"/>
        <v>1</v>
      </c>
      <c r="V1351">
        <f t="shared" si="319"/>
        <v>0</v>
      </c>
      <c r="W1351">
        <f t="shared" si="320"/>
        <v>1</v>
      </c>
      <c r="X1351">
        <f t="shared" si="329"/>
        <v>0</v>
      </c>
      <c r="Y1351">
        <f t="shared" si="330"/>
        <v>1</v>
      </c>
      <c r="Z1351">
        <f t="shared" si="321"/>
        <v>0</v>
      </c>
      <c r="AA1351">
        <f t="shared" si="322"/>
        <v>0</v>
      </c>
      <c r="AB1351">
        <f t="shared" si="323"/>
        <v>0</v>
      </c>
      <c r="AC1351">
        <f t="shared" si="324"/>
        <v>10</v>
      </c>
      <c r="AD1351" s="1">
        <f t="shared" si="325"/>
        <v>8.3333333333333339</v>
      </c>
      <c r="AE1351">
        <f t="shared" si="326"/>
        <v>10</v>
      </c>
      <c r="AF1351">
        <f t="shared" si="327"/>
        <v>10</v>
      </c>
      <c r="AG1351">
        <f t="shared" si="328"/>
        <v>10</v>
      </c>
    </row>
    <row r="1352" spans="1:33" x14ac:dyDescent="0.25">
      <c r="A1352" t="s">
        <v>2262</v>
      </c>
      <c r="B1352" t="s">
        <v>2263</v>
      </c>
      <c r="C1352">
        <v>168385</v>
      </c>
      <c r="D1352">
        <v>168385</v>
      </c>
      <c r="E1352">
        <v>10</v>
      </c>
      <c r="F1352">
        <v>20</v>
      </c>
      <c r="G1352">
        <v>20</v>
      </c>
      <c r="O1352">
        <v>50</v>
      </c>
      <c r="S1352">
        <f t="shared" si="317"/>
        <v>3.125</v>
      </c>
      <c r="T1352">
        <f t="shared" si="318"/>
        <v>0</v>
      </c>
      <c r="U1352">
        <f t="shared" si="316"/>
        <v>1</v>
      </c>
      <c r="V1352">
        <f t="shared" si="319"/>
        <v>1</v>
      </c>
      <c r="W1352">
        <f t="shared" si="320"/>
        <v>0</v>
      </c>
      <c r="X1352">
        <f t="shared" si="329"/>
        <v>0</v>
      </c>
      <c r="Y1352">
        <f t="shared" si="330"/>
        <v>0</v>
      </c>
      <c r="Z1352">
        <f t="shared" si="321"/>
        <v>2</v>
      </c>
      <c r="AA1352">
        <f t="shared" si="322"/>
        <v>5</v>
      </c>
      <c r="AB1352">
        <f t="shared" si="323"/>
        <v>2.8571428571428572</v>
      </c>
      <c r="AC1352">
        <f t="shared" si="324"/>
        <v>0</v>
      </c>
      <c r="AD1352" s="1">
        <f t="shared" si="325"/>
        <v>0</v>
      </c>
      <c r="AE1352">
        <f t="shared" si="326"/>
        <v>0</v>
      </c>
      <c r="AF1352">
        <f t="shared" si="327"/>
        <v>0</v>
      </c>
      <c r="AG1352">
        <f t="shared" si="328"/>
        <v>0</v>
      </c>
    </row>
    <row r="1353" spans="1:33" x14ac:dyDescent="0.25">
      <c r="A1353" t="s">
        <v>2264</v>
      </c>
      <c r="B1353" t="s">
        <v>2265</v>
      </c>
      <c r="C1353">
        <v>166985</v>
      </c>
      <c r="D1353">
        <v>166985</v>
      </c>
      <c r="H1353">
        <v>20</v>
      </c>
      <c r="I1353">
        <v>20</v>
      </c>
      <c r="J1353">
        <v>10</v>
      </c>
      <c r="K1353">
        <v>0</v>
      </c>
      <c r="L1353">
        <v>0</v>
      </c>
      <c r="M1353">
        <v>50</v>
      </c>
      <c r="S1353">
        <f t="shared" si="317"/>
        <v>0</v>
      </c>
      <c r="T1353">
        <f t="shared" si="318"/>
        <v>4.166666666666667</v>
      </c>
      <c r="U1353">
        <f t="shared" si="316"/>
        <v>1</v>
      </c>
      <c r="V1353">
        <f t="shared" si="319"/>
        <v>0</v>
      </c>
      <c r="W1353">
        <f t="shared" si="320"/>
        <v>1</v>
      </c>
      <c r="X1353">
        <f t="shared" si="329"/>
        <v>0</v>
      </c>
      <c r="Y1353">
        <f t="shared" si="330"/>
        <v>0</v>
      </c>
      <c r="Z1353">
        <f t="shared" si="321"/>
        <v>0</v>
      </c>
      <c r="AA1353">
        <f t="shared" si="322"/>
        <v>0</v>
      </c>
      <c r="AB1353">
        <f t="shared" si="323"/>
        <v>0</v>
      </c>
      <c r="AC1353">
        <f t="shared" si="324"/>
        <v>10</v>
      </c>
      <c r="AD1353" s="1">
        <f t="shared" si="325"/>
        <v>3.3333333333333335</v>
      </c>
      <c r="AE1353">
        <f t="shared" si="326"/>
        <v>5</v>
      </c>
      <c r="AF1353">
        <f t="shared" si="327"/>
        <v>0</v>
      </c>
      <c r="AG1353">
        <f t="shared" si="328"/>
        <v>0</v>
      </c>
    </row>
    <row r="1354" spans="1:33" x14ac:dyDescent="0.25">
      <c r="A1354" t="s">
        <v>2266</v>
      </c>
      <c r="B1354" t="s">
        <v>958</v>
      </c>
      <c r="C1354">
        <v>160319</v>
      </c>
      <c r="D1354">
        <v>160319</v>
      </c>
      <c r="H1354">
        <v>10</v>
      </c>
      <c r="I1354">
        <v>30</v>
      </c>
      <c r="J1354">
        <v>10</v>
      </c>
      <c r="K1354">
        <v>10</v>
      </c>
      <c r="L1354">
        <v>10</v>
      </c>
      <c r="M1354">
        <v>70</v>
      </c>
      <c r="S1354">
        <f t="shared" si="317"/>
        <v>0</v>
      </c>
      <c r="T1354">
        <f t="shared" si="318"/>
        <v>5.833333333333333</v>
      </c>
      <c r="U1354">
        <f t="shared" si="316"/>
        <v>1</v>
      </c>
      <c r="V1354">
        <f t="shared" si="319"/>
        <v>0</v>
      </c>
      <c r="W1354">
        <f t="shared" si="320"/>
        <v>1</v>
      </c>
      <c r="X1354">
        <f t="shared" si="329"/>
        <v>0</v>
      </c>
      <c r="Y1354">
        <f t="shared" si="330"/>
        <v>0</v>
      </c>
      <c r="Z1354">
        <f t="shared" si="321"/>
        <v>0</v>
      </c>
      <c r="AA1354">
        <f t="shared" si="322"/>
        <v>0</v>
      </c>
      <c r="AB1354">
        <f t="shared" si="323"/>
        <v>0</v>
      </c>
      <c r="AC1354">
        <f t="shared" si="324"/>
        <v>5</v>
      </c>
      <c r="AD1354" s="1">
        <f t="shared" si="325"/>
        <v>5</v>
      </c>
      <c r="AE1354">
        <f t="shared" si="326"/>
        <v>5</v>
      </c>
      <c r="AF1354">
        <f t="shared" si="327"/>
        <v>10</v>
      </c>
      <c r="AG1354">
        <f t="shared" si="328"/>
        <v>10</v>
      </c>
    </row>
    <row r="1355" spans="1:33" x14ac:dyDescent="0.25">
      <c r="A1355" t="s">
        <v>2267</v>
      </c>
      <c r="B1355" t="s">
        <v>2268</v>
      </c>
      <c r="C1355">
        <v>165500</v>
      </c>
      <c r="D1355">
        <v>165500</v>
      </c>
      <c r="S1355">
        <f t="shared" si="317"/>
        <v>0</v>
      </c>
      <c r="T1355">
        <f t="shared" si="318"/>
        <v>0</v>
      </c>
      <c r="U1355">
        <f t="shared" si="316"/>
        <v>0</v>
      </c>
      <c r="V1355">
        <f t="shared" si="319"/>
        <v>0</v>
      </c>
      <c r="W1355">
        <f t="shared" si="320"/>
        <v>0</v>
      </c>
      <c r="X1355">
        <f t="shared" si="329"/>
        <v>0</v>
      </c>
      <c r="Y1355">
        <f t="shared" si="330"/>
        <v>0</v>
      </c>
      <c r="Z1355">
        <f t="shared" si="321"/>
        <v>0</v>
      </c>
      <c r="AA1355">
        <f t="shared" si="322"/>
        <v>0</v>
      </c>
      <c r="AB1355">
        <f t="shared" si="323"/>
        <v>0</v>
      </c>
      <c r="AC1355">
        <f t="shared" si="324"/>
        <v>0</v>
      </c>
      <c r="AD1355" s="1">
        <f t="shared" si="325"/>
        <v>0</v>
      </c>
      <c r="AE1355">
        <f t="shared" si="326"/>
        <v>0</v>
      </c>
      <c r="AF1355">
        <f t="shared" si="327"/>
        <v>0</v>
      </c>
      <c r="AG1355">
        <f t="shared" si="328"/>
        <v>0</v>
      </c>
    </row>
    <row r="1356" spans="1:33" x14ac:dyDescent="0.25">
      <c r="A1356" t="s">
        <v>2269</v>
      </c>
      <c r="B1356" t="s">
        <v>122</v>
      </c>
      <c r="C1356">
        <v>168590</v>
      </c>
      <c r="D1356">
        <v>168590</v>
      </c>
      <c r="S1356">
        <f t="shared" si="317"/>
        <v>0</v>
      </c>
      <c r="T1356">
        <f t="shared" si="318"/>
        <v>0</v>
      </c>
      <c r="U1356">
        <f t="shared" si="316"/>
        <v>0</v>
      </c>
      <c r="V1356">
        <f t="shared" si="319"/>
        <v>0</v>
      </c>
      <c r="W1356">
        <f t="shared" si="320"/>
        <v>0</v>
      </c>
      <c r="X1356">
        <f t="shared" si="329"/>
        <v>0</v>
      </c>
      <c r="Y1356">
        <f t="shared" si="330"/>
        <v>0</v>
      </c>
      <c r="Z1356">
        <f t="shared" si="321"/>
        <v>0</v>
      </c>
      <c r="AA1356">
        <f t="shared" si="322"/>
        <v>0</v>
      </c>
      <c r="AB1356">
        <f t="shared" si="323"/>
        <v>0</v>
      </c>
      <c r="AC1356">
        <f t="shared" si="324"/>
        <v>0</v>
      </c>
      <c r="AD1356" s="1">
        <f t="shared" si="325"/>
        <v>0</v>
      </c>
      <c r="AE1356">
        <f t="shared" si="326"/>
        <v>0</v>
      </c>
      <c r="AF1356">
        <f t="shared" si="327"/>
        <v>0</v>
      </c>
      <c r="AG1356">
        <f t="shared" si="328"/>
        <v>0</v>
      </c>
    </row>
    <row r="1357" spans="1:33" x14ac:dyDescent="0.25">
      <c r="A1357" t="s">
        <v>2270</v>
      </c>
      <c r="B1357" t="s">
        <v>228</v>
      </c>
      <c r="C1357">
        <v>165700</v>
      </c>
      <c r="D1357">
        <v>165700</v>
      </c>
      <c r="N1357" t="s">
        <v>549</v>
      </c>
      <c r="S1357">
        <f t="shared" si="317"/>
        <v>0</v>
      </c>
      <c r="T1357">
        <f t="shared" si="318"/>
        <v>0</v>
      </c>
      <c r="U1357">
        <f t="shared" si="316"/>
        <v>0</v>
      </c>
      <c r="V1357">
        <f t="shared" si="319"/>
        <v>0</v>
      </c>
      <c r="W1357">
        <f t="shared" si="320"/>
        <v>0</v>
      </c>
      <c r="X1357">
        <f t="shared" si="329"/>
        <v>0</v>
      </c>
      <c r="Y1357">
        <f t="shared" si="330"/>
        <v>0</v>
      </c>
      <c r="Z1357">
        <f t="shared" si="321"/>
        <v>0</v>
      </c>
      <c r="AA1357">
        <f t="shared" si="322"/>
        <v>0</v>
      </c>
      <c r="AB1357">
        <f t="shared" si="323"/>
        <v>0</v>
      </c>
      <c r="AC1357">
        <f t="shared" si="324"/>
        <v>0</v>
      </c>
      <c r="AD1357" s="1">
        <f t="shared" si="325"/>
        <v>0</v>
      </c>
      <c r="AE1357">
        <f t="shared" si="326"/>
        <v>0</v>
      </c>
      <c r="AF1357">
        <f t="shared" si="327"/>
        <v>0</v>
      </c>
      <c r="AG1357">
        <f t="shared" si="328"/>
        <v>0</v>
      </c>
    </row>
    <row r="1358" spans="1:33" x14ac:dyDescent="0.25">
      <c r="A1358" t="s">
        <v>2271</v>
      </c>
      <c r="B1358" t="s">
        <v>2272</v>
      </c>
      <c r="C1358">
        <v>168436</v>
      </c>
      <c r="D1358">
        <v>168436</v>
      </c>
      <c r="E1358">
        <v>50</v>
      </c>
      <c r="F1358">
        <v>30</v>
      </c>
      <c r="G1358">
        <v>40</v>
      </c>
      <c r="O1358">
        <v>120</v>
      </c>
      <c r="S1358">
        <f t="shared" si="317"/>
        <v>7.5</v>
      </c>
      <c r="T1358">
        <f t="shared" si="318"/>
        <v>0</v>
      </c>
      <c r="U1358">
        <f t="shared" si="316"/>
        <v>1</v>
      </c>
      <c r="V1358">
        <f t="shared" si="319"/>
        <v>1</v>
      </c>
      <c r="W1358">
        <f t="shared" si="320"/>
        <v>0</v>
      </c>
      <c r="X1358">
        <f t="shared" si="329"/>
        <v>1</v>
      </c>
      <c r="Y1358">
        <f t="shared" si="330"/>
        <v>0</v>
      </c>
      <c r="Z1358">
        <f t="shared" si="321"/>
        <v>10</v>
      </c>
      <c r="AA1358">
        <f t="shared" si="322"/>
        <v>7.5</v>
      </c>
      <c r="AB1358">
        <f t="shared" si="323"/>
        <v>5.7142857142857144</v>
      </c>
      <c r="AC1358">
        <f t="shared" si="324"/>
        <v>0</v>
      </c>
      <c r="AD1358" s="1">
        <f t="shared" si="325"/>
        <v>0</v>
      </c>
      <c r="AE1358">
        <f t="shared" si="326"/>
        <v>0</v>
      </c>
      <c r="AF1358">
        <f t="shared" si="327"/>
        <v>0</v>
      </c>
      <c r="AG1358">
        <f t="shared" si="328"/>
        <v>0</v>
      </c>
    </row>
    <row r="1359" spans="1:33" x14ac:dyDescent="0.25">
      <c r="A1359" t="s">
        <v>2273</v>
      </c>
      <c r="B1359" t="s">
        <v>2274</v>
      </c>
      <c r="C1359">
        <v>166159</v>
      </c>
      <c r="D1359">
        <v>166159</v>
      </c>
      <c r="S1359">
        <f t="shared" si="317"/>
        <v>0</v>
      </c>
      <c r="T1359">
        <f t="shared" si="318"/>
        <v>0</v>
      </c>
      <c r="U1359">
        <f t="shared" si="316"/>
        <v>0</v>
      </c>
      <c r="V1359">
        <f t="shared" si="319"/>
        <v>0</v>
      </c>
      <c r="W1359">
        <f t="shared" si="320"/>
        <v>0</v>
      </c>
      <c r="X1359">
        <f t="shared" si="329"/>
        <v>0</v>
      </c>
      <c r="Y1359">
        <f t="shared" si="330"/>
        <v>0</v>
      </c>
      <c r="Z1359">
        <f t="shared" si="321"/>
        <v>0</v>
      </c>
      <c r="AA1359">
        <f t="shared" si="322"/>
        <v>0</v>
      </c>
      <c r="AB1359">
        <f t="shared" si="323"/>
        <v>0</v>
      </c>
      <c r="AC1359">
        <f t="shared" si="324"/>
        <v>0</v>
      </c>
      <c r="AD1359" s="1">
        <f t="shared" si="325"/>
        <v>0</v>
      </c>
      <c r="AE1359">
        <f t="shared" si="326"/>
        <v>0</v>
      </c>
      <c r="AF1359">
        <f t="shared" si="327"/>
        <v>0</v>
      </c>
      <c r="AG1359">
        <f t="shared" si="328"/>
        <v>0</v>
      </c>
    </row>
    <row r="1360" spans="1:33" x14ac:dyDescent="0.25">
      <c r="A1360" t="s">
        <v>2275</v>
      </c>
      <c r="B1360" t="s">
        <v>209</v>
      </c>
      <c r="C1360">
        <v>168653</v>
      </c>
      <c r="D1360">
        <v>168653</v>
      </c>
      <c r="H1360">
        <v>10</v>
      </c>
      <c r="I1360">
        <v>40</v>
      </c>
      <c r="J1360">
        <v>10</v>
      </c>
      <c r="K1360">
        <v>10</v>
      </c>
      <c r="L1360">
        <v>10</v>
      </c>
      <c r="M1360">
        <v>80</v>
      </c>
      <c r="S1360">
        <f t="shared" si="317"/>
        <v>0</v>
      </c>
      <c r="T1360">
        <f t="shared" si="318"/>
        <v>6.666666666666667</v>
      </c>
      <c r="U1360">
        <f t="shared" si="316"/>
        <v>1</v>
      </c>
      <c r="V1360">
        <f t="shared" si="319"/>
        <v>0</v>
      </c>
      <c r="W1360">
        <f t="shared" si="320"/>
        <v>1</v>
      </c>
      <c r="X1360">
        <f t="shared" si="329"/>
        <v>0</v>
      </c>
      <c r="Y1360">
        <f t="shared" si="330"/>
        <v>1</v>
      </c>
      <c r="Z1360">
        <f t="shared" si="321"/>
        <v>0</v>
      </c>
      <c r="AA1360">
        <f t="shared" si="322"/>
        <v>0</v>
      </c>
      <c r="AB1360">
        <f t="shared" si="323"/>
        <v>0</v>
      </c>
      <c r="AC1360">
        <f t="shared" si="324"/>
        <v>5</v>
      </c>
      <c r="AD1360" s="1">
        <f t="shared" si="325"/>
        <v>6.666666666666667</v>
      </c>
      <c r="AE1360">
        <f t="shared" si="326"/>
        <v>5</v>
      </c>
      <c r="AF1360">
        <f t="shared" si="327"/>
        <v>10</v>
      </c>
      <c r="AG1360">
        <f t="shared" si="328"/>
        <v>10</v>
      </c>
    </row>
    <row r="1361" spans="1:33" x14ac:dyDescent="0.25">
      <c r="A1361" t="s">
        <v>2276</v>
      </c>
      <c r="B1361" t="s">
        <v>36</v>
      </c>
      <c r="C1361">
        <v>166169</v>
      </c>
      <c r="D1361">
        <v>166169</v>
      </c>
      <c r="E1361">
        <v>0</v>
      </c>
      <c r="F1361">
        <v>20</v>
      </c>
      <c r="G1361">
        <v>30</v>
      </c>
      <c r="O1361">
        <v>50</v>
      </c>
      <c r="S1361">
        <f t="shared" si="317"/>
        <v>3.125</v>
      </c>
      <c r="T1361">
        <f t="shared" si="318"/>
        <v>0</v>
      </c>
      <c r="U1361">
        <f t="shared" si="316"/>
        <v>1</v>
      </c>
      <c r="V1361">
        <f t="shared" si="319"/>
        <v>1</v>
      </c>
      <c r="W1361">
        <f t="shared" si="320"/>
        <v>0</v>
      </c>
      <c r="X1361">
        <f t="shared" si="329"/>
        <v>0</v>
      </c>
      <c r="Y1361">
        <f t="shared" si="330"/>
        <v>0</v>
      </c>
      <c r="Z1361">
        <f t="shared" si="321"/>
        <v>0</v>
      </c>
      <c r="AA1361">
        <f t="shared" si="322"/>
        <v>5</v>
      </c>
      <c r="AB1361">
        <f t="shared" si="323"/>
        <v>4.2857142857142856</v>
      </c>
      <c r="AC1361">
        <f t="shared" si="324"/>
        <v>0</v>
      </c>
      <c r="AD1361" s="1">
        <f t="shared" si="325"/>
        <v>0</v>
      </c>
      <c r="AE1361">
        <f t="shared" si="326"/>
        <v>0</v>
      </c>
      <c r="AF1361">
        <f t="shared" si="327"/>
        <v>0</v>
      </c>
      <c r="AG1361">
        <f t="shared" si="328"/>
        <v>0</v>
      </c>
    </row>
    <row r="1362" spans="1:33" x14ac:dyDescent="0.25">
      <c r="A1362" t="s">
        <v>2277</v>
      </c>
      <c r="B1362" t="s">
        <v>2278</v>
      </c>
      <c r="C1362">
        <v>166434</v>
      </c>
      <c r="D1362">
        <v>166434</v>
      </c>
      <c r="R1362" t="s">
        <v>20</v>
      </c>
      <c r="S1362">
        <f t="shared" si="317"/>
        <v>0</v>
      </c>
      <c r="T1362">
        <f t="shared" si="318"/>
        <v>0</v>
      </c>
      <c r="U1362">
        <f t="shared" si="316"/>
        <v>0</v>
      </c>
      <c r="V1362">
        <f t="shared" si="319"/>
        <v>0</v>
      </c>
      <c r="W1362">
        <f t="shared" si="320"/>
        <v>0</v>
      </c>
      <c r="X1362">
        <f t="shared" si="329"/>
        <v>0</v>
      </c>
      <c r="Y1362">
        <f t="shared" si="330"/>
        <v>0</v>
      </c>
      <c r="Z1362">
        <f t="shared" si="321"/>
        <v>0</v>
      </c>
      <c r="AA1362">
        <f t="shared" si="322"/>
        <v>0</v>
      </c>
      <c r="AB1362">
        <f t="shared" si="323"/>
        <v>0</v>
      </c>
      <c r="AC1362">
        <f t="shared" si="324"/>
        <v>0</v>
      </c>
      <c r="AD1362" s="1">
        <f t="shared" si="325"/>
        <v>0</v>
      </c>
      <c r="AE1362">
        <f t="shared" si="326"/>
        <v>0</v>
      </c>
      <c r="AF1362">
        <f t="shared" si="327"/>
        <v>0</v>
      </c>
      <c r="AG1362">
        <f t="shared" si="328"/>
        <v>0</v>
      </c>
    </row>
    <row r="1363" spans="1:33" x14ac:dyDescent="0.25">
      <c r="A1363" t="s">
        <v>2279</v>
      </c>
      <c r="B1363" t="s">
        <v>393</v>
      </c>
      <c r="C1363">
        <v>167591</v>
      </c>
      <c r="D1363">
        <v>167591</v>
      </c>
      <c r="E1363">
        <v>50</v>
      </c>
      <c r="F1363">
        <v>20</v>
      </c>
      <c r="G1363">
        <v>10</v>
      </c>
      <c r="O1363">
        <v>80</v>
      </c>
      <c r="S1363">
        <f t="shared" si="317"/>
        <v>5</v>
      </c>
      <c r="T1363">
        <f t="shared" si="318"/>
        <v>0</v>
      </c>
      <c r="U1363">
        <f t="shared" si="316"/>
        <v>1</v>
      </c>
      <c r="V1363">
        <f t="shared" si="319"/>
        <v>1</v>
      </c>
      <c r="W1363">
        <f t="shared" si="320"/>
        <v>0</v>
      </c>
      <c r="X1363">
        <f t="shared" si="329"/>
        <v>0</v>
      </c>
      <c r="Y1363">
        <f t="shared" si="330"/>
        <v>0</v>
      </c>
      <c r="Z1363">
        <f t="shared" si="321"/>
        <v>10</v>
      </c>
      <c r="AA1363">
        <f t="shared" si="322"/>
        <v>5</v>
      </c>
      <c r="AB1363">
        <f t="shared" si="323"/>
        <v>1.4285714285714286</v>
      </c>
      <c r="AC1363">
        <f t="shared" si="324"/>
        <v>0</v>
      </c>
      <c r="AD1363" s="1">
        <f t="shared" si="325"/>
        <v>0</v>
      </c>
      <c r="AE1363">
        <f t="shared" si="326"/>
        <v>0</v>
      </c>
      <c r="AF1363">
        <f t="shared" si="327"/>
        <v>0</v>
      </c>
      <c r="AG1363">
        <f t="shared" si="328"/>
        <v>0</v>
      </c>
    </row>
    <row r="1364" spans="1:33" x14ac:dyDescent="0.25">
      <c r="A1364" t="s">
        <v>2280</v>
      </c>
      <c r="B1364" t="s">
        <v>2281</v>
      </c>
      <c r="C1364">
        <v>168578</v>
      </c>
      <c r="D1364">
        <v>168578</v>
      </c>
      <c r="H1364">
        <v>10</v>
      </c>
      <c r="I1364">
        <v>30</v>
      </c>
      <c r="J1364">
        <v>10</v>
      </c>
      <c r="K1364">
        <v>10</v>
      </c>
      <c r="L1364">
        <v>10</v>
      </c>
      <c r="M1364">
        <v>70</v>
      </c>
      <c r="S1364">
        <f t="shared" si="317"/>
        <v>0</v>
      </c>
      <c r="T1364">
        <f t="shared" si="318"/>
        <v>5.833333333333333</v>
      </c>
      <c r="U1364">
        <f t="shared" si="316"/>
        <v>1</v>
      </c>
      <c r="V1364">
        <f t="shared" si="319"/>
        <v>0</v>
      </c>
      <c r="W1364">
        <f t="shared" si="320"/>
        <v>1</v>
      </c>
      <c r="X1364">
        <f t="shared" si="329"/>
        <v>0</v>
      </c>
      <c r="Y1364">
        <f t="shared" si="330"/>
        <v>0</v>
      </c>
      <c r="Z1364">
        <f t="shared" si="321"/>
        <v>0</v>
      </c>
      <c r="AA1364">
        <f t="shared" si="322"/>
        <v>0</v>
      </c>
      <c r="AB1364">
        <f t="shared" si="323"/>
        <v>0</v>
      </c>
      <c r="AC1364">
        <f t="shared" si="324"/>
        <v>5</v>
      </c>
      <c r="AD1364" s="1">
        <f t="shared" si="325"/>
        <v>5</v>
      </c>
      <c r="AE1364">
        <f t="shared" si="326"/>
        <v>5</v>
      </c>
      <c r="AF1364">
        <f t="shared" si="327"/>
        <v>10</v>
      </c>
      <c r="AG1364">
        <f t="shared" si="328"/>
        <v>10</v>
      </c>
    </row>
    <row r="1365" spans="1:33" x14ac:dyDescent="0.25">
      <c r="A1365" t="s">
        <v>2282</v>
      </c>
      <c r="B1365" t="s">
        <v>697</v>
      </c>
      <c r="C1365">
        <v>168299</v>
      </c>
      <c r="D1365">
        <v>168299</v>
      </c>
      <c r="E1365">
        <v>10</v>
      </c>
      <c r="F1365">
        <v>30</v>
      </c>
      <c r="G1365">
        <v>30</v>
      </c>
      <c r="O1365">
        <v>70</v>
      </c>
      <c r="S1365">
        <f t="shared" si="317"/>
        <v>4.375</v>
      </c>
      <c r="T1365">
        <f t="shared" si="318"/>
        <v>0</v>
      </c>
      <c r="U1365">
        <f t="shared" si="316"/>
        <v>1</v>
      </c>
      <c r="V1365">
        <f t="shared" si="319"/>
        <v>1</v>
      </c>
      <c r="W1365">
        <f t="shared" si="320"/>
        <v>0</v>
      </c>
      <c r="X1365">
        <f t="shared" si="329"/>
        <v>0</v>
      </c>
      <c r="Y1365">
        <f t="shared" si="330"/>
        <v>0</v>
      </c>
      <c r="Z1365">
        <f t="shared" si="321"/>
        <v>2</v>
      </c>
      <c r="AA1365">
        <f t="shared" si="322"/>
        <v>7.5</v>
      </c>
      <c r="AB1365">
        <f t="shared" si="323"/>
        <v>4.2857142857142856</v>
      </c>
      <c r="AC1365">
        <f t="shared" si="324"/>
        <v>0</v>
      </c>
      <c r="AD1365" s="1">
        <f t="shared" si="325"/>
        <v>0</v>
      </c>
      <c r="AE1365">
        <f t="shared" si="326"/>
        <v>0</v>
      </c>
      <c r="AF1365">
        <f t="shared" si="327"/>
        <v>0</v>
      </c>
      <c r="AG1365">
        <f t="shared" si="328"/>
        <v>0</v>
      </c>
    </row>
    <row r="1366" spans="1:33" x14ac:dyDescent="0.25">
      <c r="A1366" t="s">
        <v>2283</v>
      </c>
      <c r="B1366" t="s">
        <v>2284</v>
      </c>
      <c r="C1366">
        <v>166892</v>
      </c>
      <c r="D1366">
        <v>166892</v>
      </c>
      <c r="E1366">
        <v>10</v>
      </c>
      <c r="F1366">
        <v>10</v>
      </c>
      <c r="G1366">
        <v>10</v>
      </c>
      <c r="O1366">
        <v>30</v>
      </c>
      <c r="S1366">
        <f t="shared" si="317"/>
        <v>1.875</v>
      </c>
      <c r="T1366">
        <f t="shared" si="318"/>
        <v>0</v>
      </c>
      <c r="U1366">
        <f t="shared" si="316"/>
        <v>1</v>
      </c>
      <c r="V1366">
        <f t="shared" si="319"/>
        <v>1</v>
      </c>
      <c r="W1366">
        <f t="shared" si="320"/>
        <v>0</v>
      </c>
      <c r="X1366">
        <f t="shared" si="329"/>
        <v>0</v>
      </c>
      <c r="Y1366">
        <f t="shared" si="330"/>
        <v>0</v>
      </c>
      <c r="Z1366">
        <f t="shared" si="321"/>
        <v>2</v>
      </c>
      <c r="AA1366">
        <f t="shared" si="322"/>
        <v>2.5</v>
      </c>
      <c r="AB1366">
        <f t="shared" si="323"/>
        <v>1.4285714285714286</v>
      </c>
      <c r="AC1366">
        <f t="shared" si="324"/>
        <v>0</v>
      </c>
      <c r="AD1366" s="1">
        <f t="shared" si="325"/>
        <v>0</v>
      </c>
      <c r="AE1366">
        <f t="shared" si="326"/>
        <v>0</v>
      </c>
      <c r="AF1366">
        <f t="shared" si="327"/>
        <v>0</v>
      </c>
      <c r="AG1366">
        <f t="shared" si="328"/>
        <v>0</v>
      </c>
    </row>
    <row r="1367" spans="1:33" x14ac:dyDescent="0.25">
      <c r="A1367" t="s">
        <v>2285</v>
      </c>
      <c r="B1367" t="s">
        <v>2286</v>
      </c>
      <c r="C1367">
        <v>167442</v>
      </c>
      <c r="D1367">
        <v>167442</v>
      </c>
      <c r="S1367">
        <f t="shared" si="317"/>
        <v>0</v>
      </c>
      <c r="T1367">
        <f t="shared" si="318"/>
        <v>0</v>
      </c>
      <c r="U1367">
        <f t="shared" si="316"/>
        <v>0</v>
      </c>
      <c r="V1367">
        <f t="shared" si="319"/>
        <v>0</v>
      </c>
      <c r="W1367">
        <f t="shared" si="320"/>
        <v>0</v>
      </c>
      <c r="X1367">
        <f t="shared" si="329"/>
        <v>0</v>
      </c>
      <c r="Y1367">
        <f t="shared" si="330"/>
        <v>0</v>
      </c>
      <c r="Z1367">
        <f t="shared" si="321"/>
        <v>0</v>
      </c>
      <c r="AA1367">
        <f t="shared" si="322"/>
        <v>0</v>
      </c>
      <c r="AB1367">
        <f t="shared" si="323"/>
        <v>0</v>
      </c>
      <c r="AC1367">
        <f t="shared" si="324"/>
        <v>0</v>
      </c>
      <c r="AD1367" s="1">
        <f t="shared" si="325"/>
        <v>0</v>
      </c>
      <c r="AE1367">
        <f t="shared" si="326"/>
        <v>0</v>
      </c>
      <c r="AF1367">
        <f t="shared" si="327"/>
        <v>0</v>
      </c>
      <c r="AG1367">
        <f t="shared" si="328"/>
        <v>0</v>
      </c>
    </row>
    <row r="1368" spans="1:33" x14ac:dyDescent="0.25">
      <c r="A1368" t="s">
        <v>2287</v>
      </c>
      <c r="B1368" t="s">
        <v>2288</v>
      </c>
      <c r="C1368">
        <v>162987</v>
      </c>
      <c r="D1368">
        <v>162987</v>
      </c>
      <c r="E1368">
        <v>30</v>
      </c>
      <c r="F1368">
        <v>20</v>
      </c>
      <c r="G1368">
        <v>20</v>
      </c>
      <c r="O1368">
        <v>70</v>
      </c>
      <c r="S1368">
        <f t="shared" si="317"/>
        <v>4.375</v>
      </c>
      <c r="T1368">
        <f t="shared" si="318"/>
        <v>0</v>
      </c>
      <c r="U1368">
        <f t="shared" si="316"/>
        <v>1</v>
      </c>
      <c r="V1368">
        <f t="shared" si="319"/>
        <v>1</v>
      </c>
      <c r="W1368">
        <f t="shared" si="320"/>
        <v>0</v>
      </c>
      <c r="X1368">
        <f t="shared" si="329"/>
        <v>0</v>
      </c>
      <c r="Y1368">
        <f t="shared" si="330"/>
        <v>0</v>
      </c>
      <c r="Z1368">
        <f t="shared" si="321"/>
        <v>6</v>
      </c>
      <c r="AA1368">
        <f t="shared" si="322"/>
        <v>5</v>
      </c>
      <c r="AB1368">
        <f t="shared" si="323"/>
        <v>2.8571428571428572</v>
      </c>
      <c r="AC1368">
        <f t="shared" si="324"/>
        <v>0</v>
      </c>
      <c r="AD1368" s="1">
        <f t="shared" si="325"/>
        <v>0</v>
      </c>
      <c r="AE1368">
        <f t="shared" si="326"/>
        <v>0</v>
      </c>
      <c r="AF1368">
        <f t="shared" si="327"/>
        <v>0</v>
      </c>
      <c r="AG1368">
        <f t="shared" si="328"/>
        <v>0</v>
      </c>
    </row>
    <row r="1369" spans="1:33" x14ac:dyDescent="0.25">
      <c r="A1369" t="s">
        <v>2289</v>
      </c>
      <c r="B1369" t="s">
        <v>79</v>
      </c>
      <c r="C1369">
        <v>164911</v>
      </c>
      <c r="D1369">
        <v>164911</v>
      </c>
      <c r="S1369">
        <f t="shared" si="317"/>
        <v>0</v>
      </c>
      <c r="T1369">
        <f t="shared" si="318"/>
        <v>0</v>
      </c>
      <c r="U1369">
        <f t="shared" si="316"/>
        <v>0</v>
      </c>
      <c r="V1369">
        <f t="shared" si="319"/>
        <v>0</v>
      </c>
      <c r="W1369">
        <f t="shared" si="320"/>
        <v>0</v>
      </c>
      <c r="X1369">
        <f t="shared" si="329"/>
        <v>0</v>
      </c>
      <c r="Y1369">
        <f t="shared" si="330"/>
        <v>0</v>
      </c>
      <c r="Z1369">
        <f t="shared" si="321"/>
        <v>0</v>
      </c>
      <c r="AA1369">
        <f t="shared" si="322"/>
        <v>0</v>
      </c>
      <c r="AB1369">
        <f t="shared" si="323"/>
        <v>0</v>
      </c>
      <c r="AC1369">
        <f t="shared" si="324"/>
        <v>0</v>
      </c>
      <c r="AD1369" s="1">
        <f t="shared" si="325"/>
        <v>0</v>
      </c>
      <c r="AE1369">
        <f t="shared" si="326"/>
        <v>0</v>
      </c>
      <c r="AF1369">
        <f t="shared" si="327"/>
        <v>0</v>
      </c>
      <c r="AG1369">
        <f t="shared" si="328"/>
        <v>0</v>
      </c>
    </row>
    <row r="1370" spans="1:33" x14ac:dyDescent="0.25">
      <c r="A1370" t="s">
        <v>2290</v>
      </c>
      <c r="B1370" t="s">
        <v>839</v>
      </c>
      <c r="C1370">
        <v>168214</v>
      </c>
      <c r="D1370">
        <v>168214</v>
      </c>
      <c r="E1370">
        <v>40</v>
      </c>
      <c r="F1370">
        <v>0</v>
      </c>
      <c r="G1370">
        <v>50</v>
      </c>
      <c r="O1370">
        <v>90</v>
      </c>
      <c r="S1370">
        <f t="shared" si="317"/>
        <v>5.625</v>
      </c>
      <c r="T1370">
        <f t="shared" si="318"/>
        <v>0</v>
      </c>
      <c r="U1370">
        <f t="shared" si="316"/>
        <v>1</v>
      </c>
      <c r="V1370">
        <f t="shared" si="319"/>
        <v>1</v>
      </c>
      <c r="W1370">
        <f t="shared" si="320"/>
        <v>0</v>
      </c>
      <c r="X1370">
        <f t="shared" si="329"/>
        <v>0</v>
      </c>
      <c r="Y1370">
        <f t="shared" si="330"/>
        <v>0</v>
      </c>
      <c r="Z1370">
        <f t="shared" si="321"/>
        <v>8</v>
      </c>
      <c r="AA1370">
        <f t="shared" si="322"/>
        <v>0</v>
      </c>
      <c r="AB1370">
        <f t="shared" si="323"/>
        <v>7.1428571428571432</v>
      </c>
      <c r="AC1370">
        <f t="shared" si="324"/>
        <v>0</v>
      </c>
      <c r="AD1370" s="1">
        <f t="shared" si="325"/>
        <v>0</v>
      </c>
      <c r="AE1370">
        <f t="shared" si="326"/>
        <v>0</v>
      </c>
      <c r="AF1370">
        <f t="shared" si="327"/>
        <v>0</v>
      </c>
      <c r="AG1370">
        <f t="shared" si="328"/>
        <v>0</v>
      </c>
    </row>
    <row r="1371" spans="1:33" x14ac:dyDescent="0.25">
      <c r="A1371" t="s">
        <v>2291</v>
      </c>
      <c r="B1371" t="s">
        <v>636</v>
      </c>
      <c r="C1371">
        <v>168449</v>
      </c>
      <c r="D1371">
        <v>168449</v>
      </c>
      <c r="H1371">
        <v>0</v>
      </c>
      <c r="I1371">
        <v>50</v>
      </c>
      <c r="J1371">
        <v>20</v>
      </c>
      <c r="K1371">
        <v>10</v>
      </c>
      <c r="L1371">
        <v>0</v>
      </c>
      <c r="M1371">
        <v>80</v>
      </c>
      <c r="S1371">
        <f t="shared" si="317"/>
        <v>0</v>
      </c>
      <c r="T1371">
        <f t="shared" si="318"/>
        <v>6.666666666666667</v>
      </c>
      <c r="U1371">
        <f t="shared" si="316"/>
        <v>1</v>
      </c>
      <c r="V1371">
        <f t="shared" si="319"/>
        <v>0</v>
      </c>
      <c r="W1371">
        <f t="shared" si="320"/>
        <v>1</v>
      </c>
      <c r="X1371">
        <f t="shared" si="329"/>
        <v>0</v>
      </c>
      <c r="Y1371">
        <f t="shared" si="330"/>
        <v>1</v>
      </c>
      <c r="Z1371">
        <f t="shared" si="321"/>
        <v>0</v>
      </c>
      <c r="AA1371">
        <f t="shared" si="322"/>
        <v>0</v>
      </c>
      <c r="AB1371">
        <f t="shared" si="323"/>
        <v>0</v>
      </c>
      <c r="AC1371">
        <f t="shared" si="324"/>
        <v>0</v>
      </c>
      <c r="AD1371" s="1">
        <f t="shared" si="325"/>
        <v>8.3333333333333339</v>
      </c>
      <c r="AE1371">
        <f t="shared" si="326"/>
        <v>10</v>
      </c>
      <c r="AF1371">
        <f t="shared" si="327"/>
        <v>10</v>
      </c>
      <c r="AG1371">
        <f t="shared" si="328"/>
        <v>0</v>
      </c>
    </row>
    <row r="1372" spans="1:33" x14ac:dyDescent="0.25">
      <c r="A1372" t="s">
        <v>2292</v>
      </c>
      <c r="B1372" t="s">
        <v>824</v>
      </c>
      <c r="C1372">
        <v>165530</v>
      </c>
      <c r="D1372">
        <v>165530</v>
      </c>
      <c r="H1372">
        <v>20</v>
      </c>
      <c r="I1372">
        <v>60</v>
      </c>
      <c r="J1372">
        <v>10</v>
      </c>
      <c r="K1372">
        <v>10</v>
      </c>
      <c r="L1372">
        <v>0</v>
      </c>
      <c r="M1372">
        <v>100</v>
      </c>
      <c r="S1372">
        <f t="shared" si="317"/>
        <v>0</v>
      </c>
      <c r="T1372">
        <f t="shared" si="318"/>
        <v>8.3333333333333339</v>
      </c>
      <c r="U1372">
        <f t="shared" si="316"/>
        <v>1</v>
      </c>
      <c r="V1372">
        <f t="shared" si="319"/>
        <v>0</v>
      </c>
      <c r="W1372">
        <f t="shared" si="320"/>
        <v>1</v>
      </c>
      <c r="X1372">
        <f t="shared" si="329"/>
        <v>0</v>
      </c>
      <c r="Y1372">
        <f t="shared" si="330"/>
        <v>1</v>
      </c>
      <c r="Z1372">
        <f t="shared" si="321"/>
        <v>0</v>
      </c>
      <c r="AA1372">
        <f t="shared" si="322"/>
        <v>0</v>
      </c>
      <c r="AB1372">
        <f t="shared" si="323"/>
        <v>0</v>
      </c>
      <c r="AC1372">
        <f t="shared" si="324"/>
        <v>10</v>
      </c>
      <c r="AD1372" s="1">
        <f t="shared" si="325"/>
        <v>10</v>
      </c>
      <c r="AE1372">
        <f t="shared" si="326"/>
        <v>5</v>
      </c>
      <c r="AF1372">
        <f t="shared" si="327"/>
        <v>10</v>
      </c>
      <c r="AG1372">
        <f t="shared" si="328"/>
        <v>0</v>
      </c>
    </row>
    <row r="1373" spans="1:33" x14ac:dyDescent="0.25">
      <c r="A1373" t="s">
        <v>2293</v>
      </c>
      <c r="B1373" t="s">
        <v>2294</v>
      </c>
      <c r="C1373">
        <v>166338</v>
      </c>
      <c r="D1373">
        <v>166338</v>
      </c>
      <c r="H1373">
        <v>10</v>
      </c>
      <c r="I1373">
        <v>50</v>
      </c>
      <c r="J1373">
        <v>10</v>
      </c>
      <c r="K1373">
        <v>10</v>
      </c>
      <c r="L1373">
        <v>0</v>
      </c>
      <c r="M1373">
        <v>80</v>
      </c>
      <c r="S1373">
        <f t="shared" si="317"/>
        <v>0</v>
      </c>
      <c r="T1373">
        <f t="shared" si="318"/>
        <v>6.666666666666667</v>
      </c>
      <c r="U1373">
        <f t="shared" si="316"/>
        <v>1</v>
      </c>
      <c r="V1373">
        <f t="shared" si="319"/>
        <v>0</v>
      </c>
      <c r="W1373">
        <f t="shared" si="320"/>
        <v>1</v>
      </c>
      <c r="X1373">
        <f t="shared" si="329"/>
        <v>0</v>
      </c>
      <c r="Y1373">
        <f t="shared" si="330"/>
        <v>1</v>
      </c>
      <c r="Z1373">
        <f t="shared" si="321"/>
        <v>0</v>
      </c>
      <c r="AA1373">
        <f t="shared" si="322"/>
        <v>0</v>
      </c>
      <c r="AB1373">
        <f t="shared" si="323"/>
        <v>0</v>
      </c>
      <c r="AC1373">
        <f t="shared" si="324"/>
        <v>5</v>
      </c>
      <c r="AD1373" s="1">
        <f t="shared" si="325"/>
        <v>8.3333333333333339</v>
      </c>
      <c r="AE1373">
        <f t="shared" si="326"/>
        <v>5</v>
      </c>
      <c r="AF1373">
        <f t="shared" si="327"/>
        <v>10</v>
      </c>
      <c r="AG1373">
        <f t="shared" si="328"/>
        <v>0</v>
      </c>
    </row>
    <row r="1374" spans="1:33" x14ac:dyDescent="0.25">
      <c r="A1374" t="s">
        <v>2295</v>
      </c>
      <c r="B1374" t="s">
        <v>2296</v>
      </c>
      <c r="C1374">
        <v>168200</v>
      </c>
      <c r="D1374">
        <v>168200</v>
      </c>
      <c r="E1374">
        <v>40</v>
      </c>
      <c r="F1374">
        <v>40</v>
      </c>
      <c r="G1374">
        <v>30</v>
      </c>
      <c r="O1374">
        <v>110</v>
      </c>
      <c r="S1374">
        <f t="shared" si="317"/>
        <v>6.875</v>
      </c>
      <c r="T1374">
        <f t="shared" si="318"/>
        <v>0</v>
      </c>
      <c r="U1374">
        <f t="shared" si="316"/>
        <v>1</v>
      </c>
      <c r="V1374">
        <f t="shared" si="319"/>
        <v>1</v>
      </c>
      <c r="W1374">
        <f t="shared" si="320"/>
        <v>0</v>
      </c>
      <c r="X1374">
        <f t="shared" si="329"/>
        <v>1</v>
      </c>
      <c r="Y1374">
        <f t="shared" si="330"/>
        <v>0</v>
      </c>
      <c r="Z1374">
        <f t="shared" si="321"/>
        <v>8</v>
      </c>
      <c r="AA1374">
        <f t="shared" si="322"/>
        <v>10</v>
      </c>
      <c r="AB1374">
        <f t="shared" si="323"/>
        <v>4.2857142857142856</v>
      </c>
      <c r="AC1374">
        <f t="shared" si="324"/>
        <v>0</v>
      </c>
      <c r="AD1374" s="1">
        <f t="shared" si="325"/>
        <v>0</v>
      </c>
      <c r="AE1374">
        <f t="shared" si="326"/>
        <v>0</v>
      </c>
      <c r="AF1374">
        <f t="shared" si="327"/>
        <v>0</v>
      </c>
      <c r="AG1374">
        <f t="shared" si="328"/>
        <v>0</v>
      </c>
    </row>
    <row r="1375" spans="1:33" x14ac:dyDescent="0.25">
      <c r="A1375" t="s">
        <v>2297</v>
      </c>
      <c r="B1375" t="s">
        <v>2298</v>
      </c>
      <c r="C1375">
        <v>165499</v>
      </c>
      <c r="D1375">
        <v>165499</v>
      </c>
      <c r="S1375">
        <f t="shared" si="317"/>
        <v>0</v>
      </c>
      <c r="T1375">
        <f t="shared" si="318"/>
        <v>0</v>
      </c>
      <c r="U1375">
        <f t="shared" si="316"/>
        <v>0</v>
      </c>
      <c r="V1375">
        <f t="shared" si="319"/>
        <v>0</v>
      </c>
      <c r="W1375">
        <f t="shared" si="320"/>
        <v>0</v>
      </c>
      <c r="X1375">
        <f t="shared" si="329"/>
        <v>0</v>
      </c>
      <c r="Y1375">
        <f t="shared" si="330"/>
        <v>0</v>
      </c>
      <c r="Z1375">
        <f t="shared" si="321"/>
        <v>0</v>
      </c>
      <c r="AA1375">
        <f t="shared" si="322"/>
        <v>0</v>
      </c>
      <c r="AB1375">
        <f t="shared" si="323"/>
        <v>0</v>
      </c>
      <c r="AC1375">
        <f t="shared" si="324"/>
        <v>0</v>
      </c>
      <c r="AD1375" s="1">
        <f t="shared" si="325"/>
        <v>0</v>
      </c>
      <c r="AE1375">
        <f t="shared" si="326"/>
        <v>0</v>
      </c>
      <c r="AF1375">
        <f t="shared" si="327"/>
        <v>0</v>
      </c>
      <c r="AG1375">
        <f t="shared" si="328"/>
        <v>0</v>
      </c>
    </row>
    <row r="1376" spans="1:33" x14ac:dyDescent="0.25">
      <c r="A1376" t="s">
        <v>2299</v>
      </c>
      <c r="B1376" t="s">
        <v>350</v>
      </c>
      <c r="C1376">
        <v>168344</v>
      </c>
      <c r="D1376">
        <v>168344</v>
      </c>
      <c r="E1376">
        <v>20</v>
      </c>
      <c r="F1376">
        <v>10</v>
      </c>
      <c r="G1376">
        <v>30</v>
      </c>
      <c r="O1376">
        <v>60</v>
      </c>
      <c r="S1376">
        <f t="shared" si="317"/>
        <v>3.75</v>
      </c>
      <c r="T1376">
        <f t="shared" si="318"/>
        <v>0</v>
      </c>
      <c r="U1376">
        <f t="shared" si="316"/>
        <v>1</v>
      </c>
      <c r="V1376">
        <f t="shared" si="319"/>
        <v>1</v>
      </c>
      <c r="W1376">
        <f t="shared" si="320"/>
        <v>0</v>
      </c>
      <c r="X1376">
        <f t="shared" si="329"/>
        <v>0</v>
      </c>
      <c r="Y1376">
        <f t="shared" si="330"/>
        <v>0</v>
      </c>
      <c r="Z1376">
        <f t="shared" si="321"/>
        <v>4</v>
      </c>
      <c r="AA1376">
        <f t="shared" si="322"/>
        <v>2.5</v>
      </c>
      <c r="AB1376">
        <f t="shared" si="323"/>
        <v>4.2857142857142856</v>
      </c>
      <c r="AC1376">
        <f t="shared" si="324"/>
        <v>0</v>
      </c>
      <c r="AD1376" s="1">
        <f t="shared" si="325"/>
        <v>0</v>
      </c>
      <c r="AE1376">
        <f t="shared" si="326"/>
        <v>0</v>
      </c>
      <c r="AF1376">
        <f t="shared" si="327"/>
        <v>0</v>
      </c>
      <c r="AG1376">
        <f t="shared" si="328"/>
        <v>0</v>
      </c>
    </row>
    <row r="1377" spans="1:33" x14ac:dyDescent="0.25">
      <c r="A1377" t="s">
        <v>2300</v>
      </c>
      <c r="B1377" t="s">
        <v>1160</v>
      </c>
      <c r="C1377">
        <v>167617</v>
      </c>
      <c r="D1377">
        <v>167617</v>
      </c>
      <c r="S1377">
        <f t="shared" si="317"/>
        <v>0</v>
      </c>
      <c r="T1377">
        <f t="shared" si="318"/>
        <v>0</v>
      </c>
      <c r="U1377">
        <f t="shared" si="316"/>
        <v>0</v>
      </c>
      <c r="V1377">
        <f t="shared" si="319"/>
        <v>0</v>
      </c>
      <c r="W1377">
        <f t="shared" si="320"/>
        <v>0</v>
      </c>
      <c r="X1377">
        <f t="shared" si="329"/>
        <v>0</v>
      </c>
      <c r="Y1377">
        <f t="shared" si="330"/>
        <v>0</v>
      </c>
      <c r="Z1377">
        <f t="shared" si="321"/>
        <v>0</v>
      </c>
      <c r="AA1377">
        <f t="shared" si="322"/>
        <v>0</v>
      </c>
      <c r="AB1377">
        <f t="shared" si="323"/>
        <v>0</v>
      </c>
      <c r="AC1377">
        <f t="shared" si="324"/>
        <v>0</v>
      </c>
      <c r="AD1377" s="1">
        <f t="shared" si="325"/>
        <v>0</v>
      </c>
      <c r="AE1377">
        <f t="shared" si="326"/>
        <v>0</v>
      </c>
      <c r="AF1377">
        <f t="shared" si="327"/>
        <v>0</v>
      </c>
      <c r="AG1377">
        <f t="shared" si="328"/>
        <v>0</v>
      </c>
    </row>
    <row r="1378" spans="1:33" x14ac:dyDescent="0.25">
      <c r="A1378" t="s">
        <v>2301</v>
      </c>
      <c r="B1378" t="s">
        <v>2302</v>
      </c>
      <c r="C1378">
        <v>166416</v>
      </c>
      <c r="D1378">
        <v>166416</v>
      </c>
      <c r="H1378">
        <v>20</v>
      </c>
      <c r="I1378">
        <v>20</v>
      </c>
      <c r="J1378">
        <v>10</v>
      </c>
      <c r="K1378">
        <v>0</v>
      </c>
      <c r="L1378">
        <v>0</v>
      </c>
      <c r="M1378">
        <v>50</v>
      </c>
      <c r="S1378">
        <f t="shared" si="317"/>
        <v>0</v>
      </c>
      <c r="T1378">
        <f t="shared" si="318"/>
        <v>4.166666666666667</v>
      </c>
      <c r="U1378">
        <f t="shared" si="316"/>
        <v>1</v>
      </c>
      <c r="V1378">
        <f t="shared" si="319"/>
        <v>0</v>
      </c>
      <c r="W1378">
        <f t="shared" si="320"/>
        <v>1</v>
      </c>
      <c r="X1378">
        <f t="shared" si="329"/>
        <v>0</v>
      </c>
      <c r="Y1378">
        <f t="shared" si="330"/>
        <v>0</v>
      </c>
      <c r="Z1378">
        <f t="shared" si="321"/>
        <v>0</v>
      </c>
      <c r="AA1378">
        <f t="shared" si="322"/>
        <v>0</v>
      </c>
      <c r="AB1378">
        <f t="shared" si="323"/>
        <v>0</v>
      </c>
      <c r="AC1378">
        <f t="shared" si="324"/>
        <v>10</v>
      </c>
      <c r="AD1378" s="1">
        <f t="shared" si="325"/>
        <v>3.3333333333333335</v>
      </c>
      <c r="AE1378">
        <f t="shared" si="326"/>
        <v>5</v>
      </c>
      <c r="AF1378">
        <f t="shared" si="327"/>
        <v>0</v>
      </c>
      <c r="AG1378">
        <f t="shared" si="328"/>
        <v>0</v>
      </c>
    </row>
    <row r="1379" spans="1:33" x14ac:dyDescent="0.25">
      <c r="A1379" t="s">
        <v>2303</v>
      </c>
      <c r="B1379" t="s">
        <v>286</v>
      </c>
      <c r="C1379">
        <v>166298</v>
      </c>
      <c r="D1379">
        <v>166298</v>
      </c>
      <c r="H1379">
        <v>0</v>
      </c>
      <c r="M1379">
        <v>0</v>
      </c>
      <c r="S1379">
        <f t="shared" si="317"/>
        <v>0</v>
      </c>
      <c r="T1379">
        <f t="shared" si="318"/>
        <v>0</v>
      </c>
      <c r="U1379">
        <f t="shared" si="316"/>
        <v>1</v>
      </c>
      <c r="V1379">
        <f t="shared" si="319"/>
        <v>0</v>
      </c>
      <c r="W1379">
        <f t="shared" si="320"/>
        <v>1</v>
      </c>
      <c r="X1379">
        <f t="shared" si="329"/>
        <v>0</v>
      </c>
      <c r="Y1379">
        <f t="shared" si="330"/>
        <v>0</v>
      </c>
      <c r="Z1379">
        <f t="shared" si="321"/>
        <v>0</v>
      </c>
      <c r="AA1379">
        <f t="shared" si="322"/>
        <v>0</v>
      </c>
      <c r="AB1379">
        <f t="shared" si="323"/>
        <v>0</v>
      </c>
      <c r="AC1379">
        <f t="shared" si="324"/>
        <v>0</v>
      </c>
      <c r="AD1379" s="1">
        <f t="shared" si="325"/>
        <v>0</v>
      </c>
      <c r="AE1379">
        <f t="shared" si="326"/>
        <v>0</v>
      </c>
      <c r="AF1379">
        <f t="shared" si="327"/>
        <v>0</v>
      </c>
      <c r="AG1379">
        <f t="shared" si="328"/>
        <v>0</v>
      </c>
    </row>
    <row r="1380" spans="1:33" x14ac:dyDescent="0.25">
      <c r="A1380" t="s">
        <v>2304</v>
      </c>
      <c r="B1380" t="s">
        <v>1497</v>
      </c>
      <c r="C1380">
        <v>165685</v>
      </c>
      <c r="D1380">
        <v>165685</v>
      </c>
      <c r="E1380">
        <v>0</v>
      </c>
      <c r="F1380">
        <v>20</v>
      </c>
      <c r="G1380">
        <v>20</v>
      </c>
      <c r="O1380">
        <v>40</v>
      </c>
      <c r="S1380">
        <f t="shared" si="317"/>
        <v>2.5</v>
      </c>
      <c r="T1380">
        <f t="shared" si="318"/>
        <v>0</v>
      </c>
      <c r="U1380">
        <f t="shared" si="316"/>
        <v>1</v>
      </c>
      <c r="V1380">
        <f t="shared" si="319"/>
        <v>1</v>
      </c>
      <c r="W1380">
        <f t="shared" si="320"/>
        <v>0</v>
      </c>
      <c r="X1380">
        <f t="shared" si="329"/>
        <v>0</v>
      </c>
      <c r="Y1380">
        <f t="shared" si="330"/>
        <v>0</v>
      </c>
      <c r="Z1380">
        <f t="shared" si="321"/>
        <v>0</v>
      </c>
      <c r="AA1380">
        <f t="shared" si="322"/>
        <v>5</v>
      </c>
      <c r="AB1380">
        <f t="shared" si="323"/>
        <v>2.8571428571428572</v>
      </c>
      <c r="AC1380">
        <f t="shared" si="324"/>
        <v>0</v>
      </c>
      <c r="AD1380" s="1">
        <f t="shared" si="325"/>
        <v>0</v>
      </c>
      <c r="AE1380">
        <f t="shared" si="326"/>
        <v>0</v>
      </c>
      <c r="AF1380">
        <f t="shared" si="327"/>
        <v>0</v>
      </c>
      <c r="AG1380">
        <f t="shared" si="328"/>
        <v>0</v>
      </c>
    </row>
    <row r="1381" spans="1:33" x14ac:dyDescent="0.25">
      <c r="A1381" t="s">
        <v>2305</v>
      </c>
      <c r="B1381" t="s">
        <v>2306</v>
      </c>
      <c r="C1381">
        <v>168506</v>
      </c>
      <c r="D1381">
        <v>168506</v>
      </c>
      <c r="E1381">
        <v>10</v>
      </c>
      <c r="F1381">
        <v>10</v>
      </c>
      <c r="G1381">
        <v>40</v>
      </c>
      <c r="N1381" t="s">
        <v>549</v>
      </c>
      <c r="O1381">
        <v>60</v>
      </c>
      <c r="S1381">
        <f t="shared" si="317"/>
        <v>3.75</v>
      </c>
      <c r="T1381">
        <f t="shared" si="318"/>
        <v>0</v>
      </c>
      <c r="U1381">
        <f t="shared" si="316"/>
        <v>1</v>
      </c>
      <c r="V1381">
        <f t="shared" si="319"/>
        <v>1</v>
      </c>
      <c r="W1381">
        <f t="shared" si="320"/>
        <v>0</v>
      </c>
      <c r="X1381">
        <f t="shared" si="329"/>
        <v>0</v>
      </c>
      <c r="Y1381">
        <f t="shared" si="330"/>
        <v>0</v>
      </c>
      <c r="Z1381">
        <f t="shared" si="321"/>
        <v>2</v>
      </c>
      <c r="AA1381">
        <f t="shared" si="322"/>
        <v>2.5</v>
      </c>
      <c r="AB1381">
        <f t="shared" si="323"/>
        <v>5.7142857142857144</v>
      </c>
      <c r="AC1381">
        <f t="shared" si="324"/>
        <v>0</v>
      </c>
      <c r="AD1381" s="1">
        <f t="shared" si="325"/>
        <v>0</v>
      </c>
      <c r="AE1381">
        <f t="shared" si="326"/>
        <v>0</v>
      </c>
      <c r="AF1381">
        <f t="shared" si="327"/>
        <v>0</v>
      </c>
      <c r="AG1381">
        <f t="shared" si="328"/>
        <v>0</v>
      </c>
    </row>
    <row r="1382" spans="1:33" x14ac:dyDescent="0.25">
      <c r="A1382" t="s">
        <v>2307</v>
      </c>
      <c r="B1382" t="s">
        <v>654</v>
      </c>
      <c r="C1382">
        <v>163859</v>
      </c>
      <c r="D1382">
        <v>163859</v>
      </c>
      <c r="S1382">
        <f t="shared" si="317"/>
        <v>0</v>
      </c>
      <c r="T1382">
        <f t="shared" si="318"/>
        <v>0</v>
      </c>
      <c r="U1382">
        <f t="shared" si="316"/>
        <v>0</v>
      </c>
      <c r="V1382">
        <f t="shared" si="319"/>
        <v>0</v>
      </c>
      <c r="W1382">
        <f t="shared" si="320"/>
        <v>0</v>
      </c>
      <c r="X1382">
        <f t="shared" si="329"/>
        <v>0</v>
      </c>
      <c r="Y1382">
        <f t="shared" si="330"/>
        <v>0</v>
      </c>
      <c r="Z1382">
        <f t="shared" si="321"/>
        <v>0</v>
      </c>
      <c r="AA1382">
        <f t="shared" si="322"/>
        <v>0</v>
      </c>
      <c r="AB1382">
        <f t="shared" si="323"/>
        <v>0</v>
      </c>
      <c r="AC1382">
        <f t="shared" si="324"/>
        <v>0</v>
      </c>
      <c r="AD1382" s="1">
        <f t="shared" si="325"/>
        <v>0</v>
      </c>
      <c r="AE1382">
        <f t="shared" si="326"/>
        <v>0</v>
      </c>
      <c r="AF1382">
        <f t="shared" si="327"/>
        <v>0</v>
      </c>
      <c r="AG1382">
        <f t="shared" si="328"/>
        <v>0</v>
      </c>
    </row>
    <row r="1383" spans="1:33" x14ac:dyDescent="0.25">
      <c r="A1383" t="s">
        <v>2308</v>
      </c>
      <c r="B1383" t="s">
        <v>995</v>
      </c>
      <c r="C1383">
        <v>165684</v>
      </c>
      <c r="D1383">
        <v>165684</v>
      </c>
      <c r="H1383">
        <v>20</v>
      </c>
      <c r="I1383">
        <v>40</v>
      </c>
      <c r="J1383">
        <v>10</v>
      </c>
      <c r="K1383">
        <v>10</v>
      </c>
      <c r="L1383">
        <v>10</v>
      </c>
      <c r="M1383">
        <v>90</v>
      </c>
      <c r="S1383">
        <f t="shared" si="317"/>
        <v>0</v>
      </c>
      <c r="T1383">
        <f t="shared" si="318"/>
        <v>7.5</v>
      </c>
      <c r="U1383">
        <f t="shared" si="316"/>
        <v>1</v>
      </c>
      <c r="V1383">
        <f t="shared" si="319"/>
        <v>0</v>
      </c>
      <c r="W1383">
        <f t="shared" si="320"/>
        <v>1</v>
      </c>
      <c r="X1383">
        <f t="shared" si="329"/>
        <v>0</v>
      </c>
      <c r="Y1383">
        <f t="shared" si="330"/>
        <v>1</v>
      </c>
      <c r="Z1383">
        <f t="shared" si="321"/>
        <v>0</v>
      </c>
      <c r="AA1383">
        <f t="shared" si="322"/>
        <v>0</v>
      </c>
      <c r="AB1383">
        <f t="shared" si="323"/>
        <v>0</v>
      </c>
      <c r="AC1383">
        <f t="shared" si="324"/>
        <v>10</v>
      </c>
      <c r="AD1383" s="1">
        <f t="shared" si="325"/>
        <v>6.666666666666667</v>
      </c>
      <c r="AE1383">
        <f t="shared" si="326"/>
        <v>5</v>
      </c>
      <c r="AF1383">
        <f t="shared" si="327"/>
        <v>10</v>
      </c>
      <c r="AG1383">
        <f t="shared" si="328"/>
        <v>10</v>
      </c>
    </row>
    <row r="1384" spans="1:33" x14ac:dyDescent="0.25">
      <c r="A1384" t="s">
        <v>2309</v>
      </c>
      <c r="B1384" t="s">
        <v>2310</v>
      </c>
      <c r="C1384">
        <v>168169</v>
      </c>
      <c r="D1384">
        <v>168169</v>
      </c>
      <c r="E1384">
        <v>40</v>
      </c>
      <c r="F1384">
        <v>30</v>
      </c>
      <c r="G1384">
        <v>40</v>
      </c>
      <c r="O1384">
        <v>110</v>
      </c>
      <c r="S1384">
        <f t="shared" si="317"/>
        <v>6.875</v>
      </c>
      <c r="T1384">
        <f t="shared" si="318"/>
        <v>0</v>
      </c>
      <c r="U1384">
        <f t="shared" si="316"/>
        <v>1</v>
      </c>
      <c r="V1384">
        <f t="shared" si="319"/>
        <v>1</v>
      </c>
      <c r="W1384">
        <f t="shared" si="320"/>
        <v>0</v>
      </c>
      <c r="X1384">
        <f t="shared" si="329"/>
        <v>1</v>
      </c>
      <c r="Y1384">
        <f t="shared" si="330"/>
        <v>0</v>
      </c>
      <c r="Z1384">
        <f t="shared" si="321"/>
        <v>8</v>
      </c>
      <c r="AA1384">
        <f t="shared" si="322"/>
        <v>7.5</v>
      </c>
      <c r="AB1384">
        <f t="shared" si="323"/>
        <v>5.7142857142857144</v>
      </c>
      <c r="AC1384">
        <f t="shared" si="324"/>
        <v>0</v>
      </c>
      <c r="AD1384" s="1">
        <f t="shared" si="325"/>
        <v>0</v>
      </c>
      <c r="AE1384">
        <f t="shared" si="326"/>
        <v>0</v>
      </c>
      <c r="AF1384">
        <f t="shared" si="327"/>
        <v>0</v>
      </c>
      <c r="AG1384">
        <f t="shared" si="328"/>
        <v>0</v>
      </c>
    </row>
    <row r="1385" spans="1:33" x14ac:dyDescent="0.25">
      <c r="A1385" t="s">
        <v>2311</v>
      </c>
      <c r="B1385" t="s">
        <v>2312</v>
      </c>
      <c r="C1385">
        <v>168478</v>
      </c>
      <c r="D1385">
        <v>168478</v>
      </c>
      <c r="H1385">
        <v>20</v>
      </c>
      <c r="I1385">
        <v>40</v>
      </c>
      <c r="J1385">
        <v>10</v>
      </c>
      <c r="K1385">
        <v>10</v>
      </c>
      <c r="L1385">
        <v>0</v>
      </c>
      <c r="M1385">
        <v>80</v>
      </c>
      <c r="S1385">
        <f t="shared" si="317"/>
        <v>0</v>
      </c>
      <c r="T1385">
        <f t="shared" si="318"/>
        <v>6.666666666666667</v>
      </c>
      <c r="U1385">
        <f t="shared" si="316"/>
        <v>1</v>
      </c>
      <c r="V1385">
        <f t="shared" si="319"/>
        <v>0</v>
      </c>
      <c r="W1385">
        <f t="shared" si="320"/>
        <v>1</v>
      </c>
      <c r="X1385">
        <f t="shared" si="329"/>
        <v>0</v>
      </c>
      <c r="Y1385">
        <f t="shared" si="330"/>
        <v>1</v>
      </c>
      <c r="Z1385">
        <f t="shared" si="321"/>
        <v>0</v>
      </c>
      <c r="AA1385">
        <f t="shared" si="322"/>
        <v>0</v>
      </c>
      <c r="AB1385">
        <f t="shared" si="323"/>
        <v>0</v>
      </c>
      <c r="AC1385">
        <f t="shared" si="324"/>
        <v>10</v>
      </c>
      <c r="AD1385" s="1">
        <f t="shared" si="325"/>
        <v>6.666666666666667</v>
      </c>
      <c r="AE1385">
        <f t="shared" si="326"/>
        <v>5</v>
      </c>
      <c r="AF1385">
        <f t="shared" si="327"/>
        <v>10</v>
      </c>
      <c r="AG1385">
        <f t="shared" si="328"/>
        <v>0</v>
      </c>
    </row>
    <row r="1386" spans="1:33" x14ac:dyDescent="0.25">
      <c r="A1386" t="s">
        <v>2313</v>
      </c>
      <c r="B1386" t="s">
        <v>176</v>
      </c>
      <c r="C1386">
        <v>166272</v>
      </c>
      <c r="D1386">
        <v>166272</v>
      </c>
      <c r="H1386">
        <v>20</v>
      </c>
      <c r="I1386">
        <v>50</v>
      </c>
      <c r="J1386">
        <v>20</v>
      </c>
      <c r="K1386">
        <v>10</v>
      </c>
      <c r="L1386">
        <v>10</v>
      </c>
      <c r="M1386">
        <v>110</v>
      </c>
      <c r="S1386">
        <f t="shared" si="317"/>
        <v>0</v>
      </c>
      <c r="T1386">
        <f t="shared" si="318"/>
        <v>9.1666666666666661</v>
      </c>
      <c r="U1386">
        <f t="shared" si="316"/>
        <v>1</v>
      </c>
      <c r="V1386">
        <f t="shared" si="319"/>
        <v>0</v>
      </c>
      <c r="W1386">
        <f t="shared" si="320"/>
        <v>1</v>
      </c>
      <c r="X1386">
        <f t="shared" si="329"/>
        <v>0</v>
      </c>
      <c r="Y1386">
        <f t="shared" si="330"/>
        <v>1</v>
      </c>
      <c r="Z1386">
        <f t="shared" si="321"/>
        <v>0</v>
      </c>
      <c r="AA1386">
        <f t="shared" si="322"/>
        <v>0</v>
      </c>
      <c r="AB1386">
        <f t="shared" si="323"/>
        <v>0</v>
      </c>
      <c r="AC1386">
        <f t="shared" si="324"/>
        <v>10</v>
      </c>
      <c r="AD1386" s="1">
        <f t="shared" si="325"/>
        <v>8.3333333333333339</v>
      </c>
      <c r="AE1386">
        <f t="shared" si="326"/>
        <v>10</v>
      </c>
      <c r="AF1386">
        <f t="shared" si="327"/>
        <v>10</v>
      </c>
      <c r="AG1386">
        <f t="shared" si="328"/>
        <v>10</v>
      </c>
    </row>
    <row r="1387" spans="1:33" x14ac:dyDescent="0.25">
      <c r="A1387" t="s">
        <v>2314</v>
      </c>
      <c r="B1387" t="s">
        <v>2315</v>
      </c>
      <c r="C1387">
        <v>167769</v>
      </c>
      <c r="D1387">
        <v>167769</v>
      </c>
      <c r="E1387">
        <v>20</v>
      </c>
      <c r="F1387">
        <v>20</v>
      </c>
      <c r="G1387">
        <v>30</v>
      </c>
      <c r="O1387">
        <v>70</v>
      </c>
      <c r="S1387">
        <f t="shared" si="317"/>
        <v>4.375</v>
      </c>
      <c r="T1387">
        <f t="shared" si="318"/>
        <v>0</v>
      </c>
      <c r="U1387">
        <f t="shared" si="316"/>
        <v>1</v>
      </c>
      <c r="V1387">
        <f t="shared" si="319"/>
        <v>1</v>
      </c>
      <c r="W1387">
        <f t="shared" si="320"/>
        <v>0</v>
      </c>
      <c r="X1387">
        <f t="shared" si="329"/>
        <v>0</v>
      </c>
      <c r="Y1387">
        <f t="shared" si="330"/>
        <v>0</v>
      </c>
      <c r="Z1387">
        <f t="shared" si="321"/>
        <v>4</v>
      </c>
      <c r="AA1387">
        <f t="shared" si="322"/>
        <v>5</v>
      </c>
      <c r="AB1387">
        <f t="shared" si="323"/>
        <v>4.2857142857142856</v>
      </c>
      <c r="AC1387">
        <f t="shared" si="324"/>
        <v>0</v>
      </c>
      <c r="AD1387" s="1">
        <f t="shared" si="325"/>
        <v>0</v>
      </c>
      <c r="AE1387">
        <f t="shared" si="326"/>
        <v>0</v>
      </c>
      <c r="AF1387">
        <f t="shared" si="327"/>
        <v>0</v>
      </c>
      <c r="AG1387">
        <f t="shared" si="328"/>
        <v>0</v>
      </c>
    </row>
    <row r="1388" spans="1:33" x14ac:dyDescent="0.25">
      <c r="A1388" t="s">
        <v>2316</v>
      </c>
      <c r="B1388" t="s">
        <v>340</v>
      </c>
      <c r="C1388">
        <v>167282</v>
      </c>
      <c r="D1388">
        <v>167282</v>
      </c>
      <c r="H1388">
        <v>10</v>
      </c>
      <c r="I1388">
        <v>40</v>
      </c>
      <c r="J1388">
        <v>10</v>
      </c>
      <c r="K1388">
        <v>10</v>
      </c>
      <c r="L1388">
        <v>0</v>
      </c>
      <c r="M1388">
        <v>70</v>
      </c>
      <c r="S1388">
        <f t="shared" si="317"/>
        <v>0</v>
      </c>
      <c r="T1388">
        <f t="shared" si="318"/>
        <v>5.833333333333333</v>
      </c>
      <c r="U1388">
        <f t="shared" si="316"/>
        <v>1</v>
      </c>
      <c r="V1388">
        <f t="shared" si="319"/>
        <v>0</v>
      </c>
      <c r="W1388">
        <f t="shared" si="320"/>
        <v>1</v>
      </c>
      <c r="X1388">
        <f t="shared" si="329"/>
        <v>0</v>
      </c>
      <c r="Y1388">
        <f t="shared" si="330"/>
        <v>0</v>
      </c>
      <c r="Z1388">
        <f t="shared" si="321"/>
        <v>0</v>
      </c>
      <c r="AA1388">
        <f t="shared" si="322"/>
        <v>0</v>
      </c>
      <c r="AB1388">
        <f t="shared" si="323"/>
        <v>0</v>
      </c>
      <c r="AC1388">
        <f t="shared" si="324"/>
        <v>5</v>
      </c>
      <c r="AD1388" s="1">
        <f t="shared" si="325"/>
        <v>6.666666666666667</v>
      </c>
      <c r="AE1388">
        <f t="shared" si="326"/>
        <v>5</v>
      </c>
      <c r="AF1388">
        <f t="shared" si="327"/>
        <v>10</v>
      </c>
      <c r="AG1388">
        <f t="shared" si="328"/>
        <v>0</v>
      </c>
    </row>
    <row r="1389" spans="1:33" x14ac:dyDescent="0.25">
      <c r="A1389" t="s">
        <v>2317</v>
      </c>
      <c r="B1389" t="s">
        <v>1471</v>
      </c>
      <c r="C1389">
        <v>165523</v>
      </c>
      <c r="D1389">
        <v>165523</v>
      </c>
      <c r="E1389">
        <v>20</v>
      </c>
      <c r="F1389">
        <v>40</v>
      </c>
      <c r="G1389">
        <v>30</v>
      </c>
      <c r="N1389" t="s">
        <v>549</v>
      </c>
      <c r="O1389">
        <v>90</v>
      </c>
      <c r="S1389">
        <f t="shared" si="317"/>
        <v>5.625</v>
      </c>
      <c r="T1389">
        <f t="shared" si="318"/>
        <v>0</v>
      </c>
      <c r="U1389">
        <f t="shared" si="316"/>
        <v>1</v>
      </c>
      <c r="V1389">
        <f t="shared" si="319"/>
        <v>1</v>
      </c>
      <c r="W1389">
        <f t="shared" si="320"/>
        <v>0</v>
      </c>
      <c r="X1389">
        <f t="shared" si="329"/>
        <v>0</v>
      </c>
      <c r="Y1389">
        <f t="shared" si="330"/>
        <v>0</v>
      </c>
      <c r="Z1389">
        <f t="shared" si="321"/>
        <v>4</v>
      </c>
      <c r="AA1389">
        <f t="shared" si="322"/>
        <v>10</v>
      </c>
      <c r="AB1389">
        <f t="shared" si="323"/>
        <v>4.2857142857142856</v>
      </c>
      <c r="AC1389">
        <f t="shared" si="324"/>
        <v>0</v>
      </c>
      <c r="AD1389" s="1">
        <f t="shared" si="325"/>
        <v>0</v>
      </c>
      <c r="AE1389">
        <f t="shared" si="326"/>
        <v>0</v>
      </c>
      <c r="AF1389">
        <f t="shared" si="327"/>
        <v>0</v>
      </c>
      <c r="AG1389">
        <f t="shared" si="328"/>
        <v>0</v>
      </c>
    </row>
    <row r="1390" spans="1:33" x14ac:dyDescent="0.25">
      <c r="A1390" t="s">
        <v>2318</v>
      </c>
      <c r="B1390" t="s">
        <v>214</v>
      </c>
      <c r="C1390">
        <v>168628</v>
      </c>
      <c r="D1390">
        <v>168628</v>
      </c>
      <c r="H1390">
        <v>0</v>
      </c>
      <c r="I1390">
        <v>50</v>
      </c>
      <c r="J1390">
        <v>20</v>
      </c>
      <c r="K1390">
        <v>0</v>
      </c>
      <c r="L1390">
        <v>0</v>
      </c>
      <c r="M1390">
        <v>70</v>
      </c>
      <c r="S1390">
        <f t="shared" si="317"/>
        <v>0</v>
      </c>
      <c r="T1390">
        <f t="shared" si="318"/>
        <v>5.833333333333333</v>
      </c>
      <c r="U1390">
        <f t="shared" si="316"/>
        <v>1</v>
      </c>
      <c r="V1390">
        <f t="shared" si="319"/>
        <v>0</v>
      </c>
      <c r="W1390">
        <f t="shared" si="320"/>
        <v>1</v>
      </c>
      <c r="X1390">
        <f t="shared" si="329"/>
        <v>0</v>
      </c>
      <c r="Y1390">
        <f t="shared" si="330"/>
        <v>0</v>
      </c>
      <c r="Z1390">
        <f t="shared" si="321"/>
        <v>0</v>
      </c>
      <c r="AA1390">
        <f t="shared" si="322"/>
        <v>0</v>
      </c>
      <c r="AB1390">
        <f t="shared" si="323"/>
        <v>0</v>
      </c>
      <c r="AC1390">
        <f t="shared" si="324"/>
        <v>0</v>
      </c>
      <c r="AD1390" s="1">
        <f t="shared" si="325"/>
        <v>8.3333333333333339</v>
      </c>
      <c r="AE1390">
        <f t="shared" si="326"/>
        <v>10</v>
      </c>
      <c r="AF1390">
        <f t="shared" si="327"/>
        <v>0</v>
      </c>
      <c r="AG1390">
        <f t="shared" si="328"/>
        <v>0</v>
      </c>
    </row>
    <row r="1391" spans="1:33" x14ac:dyDescent="0.25">
      <c r="A1391" t="s">
        <v>2319</v>
      </c>
      <c r="B1391" t="s">
        <v>354</v>
      </c>
      <c r="C1391">
        <v>168072</v>
      </c>
      <c r="D1391">
        <v>168072</v>
      </c>
      <c r="H1391">
        <v>0</v>
      </c>
      <c r="I1391">
        <v>0</v>
      </c>
      <c r="J1391">
        <v>20</v>
      </c>
      <c r="K1391">
        <v>10</v>
      </c>
      <c r="L1391">
        <v>0</v>
      </c>
      <c r="M1391">
        <v>30</v>
      </c>
      <c r="S1391">
        <f t="shared" si="317"/>
        <v>0</v>
      </c>
      <c r="T1391">
        <f t="shared" si="318"/>
        <v>2.5</v>
      </c>
      <c r="U1391">
        <f t="shared" si="316"/>
        <v>1</v>
      </c>
      <c r="V1391">
        <f t="shared" si="319"/>
        <v>0</v>
      </c>
      <c r="W1391">
        <f t="shared" si="320"/>
        <v>1</v>
      </c>
      <c r="X1391">
        <f t="shared" si="329"/>
        <v>0</v>
      </c>
      <c r="Y1391">
        <f t="shared" si="330"/>
        <v>0</v>
      </c>
      <c r="Z1391">
        <f t="shared" si="321"/>
        <v>0</v>
      </c>
      <c r="AA1391">
        <f t="shared" si="322"/>
        <v>0</v>
      </c>
      <c r="AB1391">
        <f t="shared" si="323"/>
        <v>0</v>
      </c>
      <c r="AC1391">
        <f t="shared" si="324"/>
        <v>0</v>
      </c>
      <c r="AD1391" s="1">
        <f t="shared" si="325"/>
        <v>0</v>
      </c>
      <c r="AE1391">
        <f t="shared" si="326"/>
        <v>10</v>
      </c>
      <c r="AF1391">
        <f t="shared" si="327"/>
        <v>10</v>
      </c>
      <c r="AG1391">
        <f t="shared" si="328"/>
        <v>0</v>
      </c>
    </row>
    <row r="1392" spans="1:33" x14ac:dyDescent="0.25">
      <c r="A1392" t="s">
        <v>2320</v>
      </c>
      <c r="B1392" t="s">
        <v>2321</v>
      </c>
      <c r="C1392">
        <v>166194</v>
      </c>
      <c r="D1392">
        <v>166194</v>
      </c>
      <c r="H1392">
        <v>20</v>
      </c>
      <c r="I1392">
        <v>50</v>
      </c>
      <c r="J1392">
        <v>20</v>
      </c>
      <c r="K1392">
        <v>0</v>
      </c>
      <c r="L1392">
        <v>0</v>
      </c>
      <c r="M1392">
        <v>90</v>
      </c>
      <c r="S1392">
        <f t="shared" si="317"/>
        <v>0</v>
      </c>
      <c r="T1392">
        <f t="shared" si="318"/>
        <v>7.5</v>
      </c>
      <c r="U1392">
        <f t="shared" si="316"/>
        <v>1</v>
      </c>
      <c r="V1392">
        <f t="shared" si="319"/>
        <v>0</v>
      </c>
      <c r="W1392">
        <f t="shared" si="320"/>
        <v>1</v>
      </c>
      <c r="X1392">
        <f t="shared" si="329"/>
        <v>0</v>
      </c>
      <c r="Y1392">
        <f t="shared" si="330"/>
        <v>1</v>
      </c>
      <c r="Z1392">
        <f t="shared" si="321"/>
        <v>0</v>
      </c>
      <c r="AA1392">
        <f t="shared" si="322"/>
        <v>0</v>
      </c>
      <c r="AB1392">
        <f t="shared" si="323"/>
        <v>0</v>
      </c>
      <c r="AC1392">
        <f t="shared" si="324"/>
        <v>10</v>
      </c>
      <c r="AD1392" s="1">
        <f t="shared" si="325"/>
        <v>8.3333333333333339</v>
      </c>
      <c r="AE1392">
        <f t="shared" si="326"/>
        <v>10</v>
      </c>
      <c r="AF1392">
        <f t="shared" si="327"/>
        <v>0</v>
      </c>
      <c r="AG1392">
        <f t="shared" si="328"/>
        <v>0</v>
      </c>
    </row>
    <row r="1393" spans="1:33" x14ac:dyDescent="0.25">
      <c r="A1393" t="s">
        <v>2322</v>
      </c>
      <c r="B1393" t="s">
        <v>93</v>
      </c>
      <c r="C1393">
        <v>167671</v>
      </c>
      <c r="D1393">
        <v>167671</v>
      </c>
      <c r="S1393">
        <f t="shared" si="317"/>
        <v>0</v>
      </c>
      <c r="T1393">
        <f t="shared" si="318"/>
        <v>0</v>
      </c>
      <c r="U1393">
        <f t="shared" si="316"/>
        <v>0</v>
      </c>
      <c r="V1393">
        <f t="shared" si="319"/>
        <v>0</v>
      </c>
      <c r="W1393">
        <f t="shared" si="320"/>
        <v>0</v>
      </c>
      <c r="X1393">
        <f t="shared" si="329"/>
        <v>0</v>
      </c>
      <c r="Y1393">
        <f t="shared" si="330"/>
        <v>0</v>
      </c>
      <c r="Z1393">
        <f t="shared" si="321"/>
        <v>0</v>
      </c>
      <c r="AA1393">
        <f t="shared" si="322"/>
        <v>0</v>
      </c>
      <c r="AB1393">
        <f t="shared" si="323"/>
        <v>0</v>
      </c>
      <c r="AC1393">
        <f t="shared" si="324"/>
        <v>0</v>
      </c>
      <c r="AD1393" s="1">
        <f t="shared" si="325"/>
        <v>0</v>
      </c>
      <c r="AE1393">
        <f t="shared" si="326"/>
        <v>0</v>
      </c>
      <c r="AF1393">
        <f t="shared" si="327"/>
        <v>0</v>
      </c>
      <c r="AG1393">
        <f t="shared" si="328"/>
        <v>0</v>
      </c>
    </row>
    <row r="1394" spans="1:33" x14ac:dyDescent="0.25">
      <c r="A1394" t="s">
        <v>2323</v>
      </c>
      <c r="B1394" t="s">
        <v>2324</v>
      </c>
      <c r="C1394">
        <v>167118</v>
      </c>
      <c r="D1394">
        <v>167118</v>
      </c>
      <c r="E1394">
        <v>10</v>
      </c>
      <c r="F1394">
        <v>10</v>
      </c>
      <c r="G1394">
        <v>40</v>
      </c>
      <c r="O1394">
        <v>60</v>
      </c>
      <c r="S1394">
        <f t="shared" si="317"/>
        <v>3.75</v>
      </c>
      <c r="T1394">
        <f t="shared" si="318"/>
        <v>0</v>
      </c>
      <c r="U1394">
        <f t="shared" si="316"/>
        <v>1</v>
      </c>
      <c r="V1394">
        <f t="shared" si="319"/>
        <v>1</v>
      </c>
      <c r="W1394">
        <f t="shared" si="320"/>
        <v>0</v>
      </c>
      <c r="X1394">
        <f t="shared" si="329"/>
        <v>0</v>
      </c>
      <c r="Y1394">
        <f t="shared" si="330"/>
        <v>0</v>
      </c>
      <c r="Z1394">
        <f t="shared" si="321"/>
        <v>2</v>
      </c>
      <c r="AA1394">
        <f t="shared" si="322"/>
        <v>2.5</v>
      </c>
      <c r="AB1394">
        <f t="shared" si="323"/>
        <v>5.7142857142857144</v>
      </c>
      <c r="AC1394">
        <f t="shared" si="324"/>
        <v>0</v>
      </c>
      <c r="AD1394" s="1">
        <f t="shared" si="325"/>
        <v>0</v>
      </c>
      <c r="AE1394">
        <f t="shared" si="326"/>
        <v>0</v>
      </c>
      <c r="AF1394">
        <f t="shared" si="327"/>
        <v>0</v>
      </c>
      <c r="AG1394">
        <f t="shared" si="328"/>
        <v>0</v>
      </c>
    </row>
    <row r="1395" spans="1:33" x14ac:dyDescent="0.25">
      <c r="A1395" t="s">
        <v>2325</v>
      </c>
      <c r="B1395" t="s">
        <v>2326</v>
      </c>
      <c r="C1395">
        <v>165243</v>
      </c>
      <c r="D1395">
        <v>165243</v>
      </c>
      <c r="H1395">
        <v>20</v>
      </c>
      <c r="I1395">
        <v>40</v>
      </c>
      <c r="J1395">
        <v>10</v>
      </c>
      <c r="K1395">
        <v>0</v>
      </c>
      <c r="L1395">
        <v>0</v>
      </c>
      <c r="M1395">
        <v>70</v>
      </c>
      <c r="S1395">
        <f t="shared" si="317"/>
        <v>0</v>
      </c>
      <c r="T1395">
        <f t="shared" si="318"/>
        <v>5.833333333333333</v>
      </c>
      <c r="U1395">
        <f t="shared" si="316"/>
        <v>1</v>
      </c>
      <c r="V1395">
        <f t="shared" si="319"/>
        <v>0</v>
      </c>
      <c r="W1395">
        <f t="shared" si="320"/>
        <v>1</v>
      </c>
      <c r="X1395">
        <f t="shared" si="329"/>
        <v>0</v>
      </c>
      <c r="Y1395">
        <f t="shared" si="330"/>
        <v>0</v>
      </c>
      <c r="Z1395">
        <f t="shared" si="321"/>
        <v>0</v>
      </c>
      <c r="AA1395">
        <f t="shared" si="322"/>
        <v>0</v>
      </c>
      <c r="AB1395">
        <f t="shared" si="323"/>
        <v>0</v>
      </c>
      <c r="AC1395">
        <f t="shared" si="324"/>
        <v>10</v>
      </c>
      <c r="AD1395" s="1">
        <f t="shared" si="325"/>
        <v>6.666666666666667</v>
      </c>
      <c r="AE1395">
        <f t="shared" si="326"/>
        <v>5</v>
      </c>
      <c r="AF1395">
        <f t="shared" si="327"/>
        <v>0</v>
      </c>
      <c r="AG1395">
        <f t="shared" si="328"/>
        <v>0</v>
      </c>
    </row>
    <row r="1396" spans="1:33" x14ac:dyDescent="0.25">
      <c r="A1396" t="s">
        <v>2327</v>
      </c>
      <c r="B1396" t="s">
        <v>2328</v>
      </c>
      <c r="C1396">
        <v>167675</v>
      </c>
      <c r="D1396">
        <v>167675</v>
      </c>
      <c r="E1396">
        <v>10</v>
      </c>
      <c r="F1396">
        <v>30</v>
      </c>
      <c r="O1396">
        <v>40</v>
      </c>
      <c r="S1396">
        <f t="shared" si="317"/>
        <v>2.5</v>
      </c>
      <c r="T1396">
        <f t="shared" si="318"/>
        <v>0</v>
      </c>
      <c r="U1396">
        <f t="shared" si="316"/>
        <v>1</v>
      </c>
      <c r="V1396">
        <f t="shared" si="319"/>
        <v>1</v>
      </c>
      <c r="W1396">
        <f t="shared" si="320"/>
        <v>0</v>
      </c>
      <c r="X1396">
        <f t="shared" si="329"/>
        <v>0</v>
      </c>
      <c r="Y1396">
        <f t="shared" si="330"/>
        <v>0</v>
      </c>
      <c r="Z1396">
        <f t="shared" si="321"/>
        <v>2</v>
      </c>
      <c r="AA1396">
        <f t="shared" si="322"/>
        <v>7.5</v>
      </c>
      <c r="AB1396">
        <f t="shared" si="323"/>
        <v>0</v>
      </c>
      <c r="AC1396">
        <f t="shared" si="324"/>
        <v>0</v>
      </c>
      <c r="AD1396" s="1">
        <f t="shared" si="325"/>
        <v>0</v>
      </c>
      <c r="AE1396">
        <f t="shared" si="326"/>
        <v>0</v>
      </c>
      <c r="AF1396">
        <f t="shared" si="327"/>
        <v>0</v>
      </c>
      <c r="AG1396">
        <f t="shared" si="328"/>
        <v>0</v>
      </c>
    </row>
    <row r="1397" spans="1:33" x14ac:dyDescent="0.25">
      <c r="A1397" t="s">
        <v>2329</v>
      </c>
      <c r="B1397" t="s">
        <v>2330</v>
      </c>
      <c r="C1397">
        <v>167081</v>
      </c>
      <c r="D1397">
        <v>167081</v>
      </c>
      <c r="H1397">
        <v>10</v>
      </c>
      <c r="I1397">
        <v>30</v>
      </c>
      <c r="J1397">
        <v>0</v>
      </c>
      <c r="K1397">
        <v>0</v>
      </c>
      <c r="L1397">
        <v>0</v>
      </c>
      <c r="M1397">
        <v>40</v>
      </c>
      <c r="S1397">
        <f t="shared" si="317"/>
        <v>0</v>
      </c>
      <c r="T1397">
        <f t="shared" si="318"/>
        <v>3.3333333333333335</v>
      </c>
      <c r="U1397">
        <f t="shared" si="316"/>
        <v>1</v>
      </c>
      <c r="V1397">
        <f t="shared" si="319"/>
        <v>0</v>
      </c>
      <c r="W1397">
        <f t="shared" si="320"/>
        <v>1</v>
      </c>
      <c r="X1397">
        <f t="shared" si="329"/>
        <v>0</v>
      </c>
      <c r="Y1397">
        <f t="shared" si="330"/>
        <v>0</v>
      </c>
      <c r="Z1397">
        <f t="shared" si="321"/>
        <v>0</v>
      </c>
      <c r="AA1397">
        <f t="shared" si="322"/>
        <v>0</v>
      </c>
      <c r="AB1397">
        <f t="shared" si="323"/>
        <v>0</v>
      </c>
      <c r="AC1397">
        <f t="shared" si="324"/>
        <v>5</v>
      </c>
      <c r="AD1397" s="1">
        <f t="shared" si="325"/>
        <v>5</v>
      </c>
      <c r="AE1397">
        <f t="shared" si="326"/>
        <v>0</v>
      </c>
      <c r="AF1397">
        <f t="shared" si="327"/>
        <v>0</v>
      </c>
      <c r="AG1397">
        <f t="shared" si="328"/>
        <v>0</v>
      </c>
    </row>
    <row r="1398" spans="1:33" x14ac:dyDescent="0.25">
      <c r="A1398" t="s">
        <v>2331</v>
      </c>
      <c r="B1398" t="s">
        <v>2332</v>
      </c>
      <c r="C1398">
        <v>166758</v>
      </c>
      <c r="D1398">
        <v>166758</v>
      </c>
      <c r="H1398">
        <v>20</v>
      </c>
      <c r="I1398">
        <v>50</v>
      </c>
      <c r="J1398">
        <v>10</v>
      </c>
      <c r="K1398">
        <v>10</v>
      </c>
      <c r="L1398">
        <v>0</v>
      </c>
      <c r="M1398">
        <v>90</v>
      </c>
      <c r="S1398">
        <f t="shared" si="317"/>
        <v>0</v>
      </c>
      <c r="T1398">
        <f t="shared" si="318"/>
        <v>7.5</v>
      </c>
      <c r="U1398">
        <f t="shared" si="316"/>
        <v>1</v>
      </c>
      <c r="V1398">
        <f t="shared" si="319"/>
        <v>0</v>
      </c>
      <c r="W1398">
        <f t="shared" si="320"/>
        <v>1</v>
      </c>
      <c r="X1398">
        <f t="shared" si="329"/>
        <v>0</v>
      </c>
      <c r="Y1398">
        <f t="shared" si="330"/>
        <v>1</v>
      </c>
      <c r="Z1398">
        <f t="shared" si="321"/>
        <v>0</v>
      </c>
      <c r="AA1398">
        <f t="shared" si="322"/>
        <v>0</v>
      </c>
      <c r="AB1398">
        <f t="shared" si="323"/>
        <v>0</v>
      </c>
      <c r="AC1398">
        <f t="shared" si="324"/>
        <v>10</v>
      </c>
      <c r="AD1398" s="1">
        <f t="shared" si="325"/>
        <v>8.3333333333333339</v>
      </c>
      <c r="AE1398">
        <f t="shared" si="326"/>
        <v>5</v>
      </c>
      <c r="AF1398">
        <f t="shared" si="327"/>
        <v>10</v>
      </c>
      <c r="AG1398">
        <f t="shared" si="328"/>
        <v>0</v>
      </c>
    </row>
    <row r="1399" spans="1:33" x14ac:dyDescent="0.25">
      <c r="A1399" t="s">
        <v>2333</v>
      </c>
      <c r="B1399" t="s">
        <v>2334</v>
      </c>
      <c r="C1399">
        <v>167809</v>
      </c>
      <c r="D1399">
        <v>167809</v>
      </c>
      <c r="H1399">
        <v>20</v>
      </c>
      <c r="I1399">
        <v>60</v>
      </c>
      <c r="J1399">
        <v>10</v>
      </c>
      <c r="K1399">
        <v>10</v>
      </c>
      <c r="L1399">
        <v>0</v>
      </c>
      <c r="M1399">
        <v>100</v>
      </c>
      <c r="S1399">
        <f t="shared" si="317"/>
        <v>0</v>
      </c>
      <c r="T1399">
        <f t="shared" si="318"/>
        <v>8.3333333333333339</v>
      </c>
      <c r="U1399">
        <f t="shared" si="316"/>
        <v>1</v>
      </c>
      <c r="V1399">
        <f t="shared" si="319"/>
        <v>0</v>
      </c>
      <c r="W1399">
        <f t="shared" si="320"/>
        <v>1</v>
      </c>
      <c r="X1399">
        <f t="shared" si="329"/>
        <v>0</v>
      </c>
      <c r="Y1399">
        <f t="shared" si="330"/>
        <v>1</v>
      </c>
      <c r="Z1399">
        <f t="shared" si="321"/>
        <v>0</v>
      </c>
      <c r="AA1399">
        <f t="shared" si="322"/>
        <v>0</v>
      </c>
      <c r="AB1399">
        <f t="shared" si="323"/>
        <v>0</v>
      </c>
      <c r="AC1399">
        <f t="shared" si="324"/>
        <v>10</v>
      </c>
      <c r="AD1399" s="1">
        <f t="shared" si="325"/>
        <v>10</v>
      </c>
      <c r="AE1399">
        <f t="shared" si="326"/>
        <v>5</v>
      </c>
      <c r="AF1399">
        <f t="shared" si="327"/>
        <v>10</v>
      </c>
      <c r="AG1399">
        <f t="shared" si="328"/>
        <v>0</v>
      </c>
    </row>
    <row r="1400" spans="1:33" x14ac:dyDescent="0.25">
      <c r="A1400" t="s">
        <v>2335</v>
      </c>
      <c r="B1400" t="s">
        <v>2336</v>
      </c>
      <c r="C1400">
        <v>168009</v>
      </c>
      <c r="D1400">
        <v>168009</v>
      </c>
      <c r="E1400">
        <v>40</v>
      </c>
      <c r="F1400">
        <v>30</v>
      </c>
      <c r="G1400">
        <v>30</v>
      </c>
      <c r="O1400">
        <v>100</v>
      </c>
      <c r="S1400">
        <f t="shared" si="317"/>
        <v>6.25</v>
      </c>
      <c r="T1400">
        <f t="shared" si="318"/>
        <v>0</v>
      </c>
      <c r="U1400">
        <f t="shared" si="316"/>
        <v>1</v>
      </c>
      <c r="V1400">
        <f t="shared" si="319"/>
        <v>1</v>
      </c>
      <c r="W1400">
        <f t="shared" si="320"/>
        <v>0</v>
      </c>
      <c r="X1400">
        <f t="shared" si="329"/>
        <v>1</v>
      </c>
      <c r="Y1400">
        <f t="shared" si="330"/>
        <v>0</v>
      </c>
      <c r="Z1400">
        <f t="shared" si="321"/>
        <v>8</v>
      </c>
      <c r="AA1400">
        <f t="shared" si="322"/>
        <v>7.5</v>
      </c>
      <c r="AB1400">
        <f t="shared" si="323"/>
        <v>4.2857142857142856</v>
      </c>
      <c r="AC1400">
        <f t="shared" si="324"/>
        <v>0</v>
      </c>
      <c r="AD1400" s="1">
        <f t="shared" si="325"/>
        <v>0</v>
      </c>
      <c r="AE1400">
        <f t="shared" si="326"/>
        <v>0</v>
      </c>
      <c r="AF1400">
        <f t="shared" si="327"/>
        <v>0</v>
      </c>
      <c r="AG1400">
        <f t="shared" si="328"/>
        <v>0</v>
      </c>
    </row>
    <row r="1401" spans="1:33" x14ac:dyDescent="0.25">
      <c r="A1401" t="s">
        <v>2337</v>
      </c>
      <c r="B1401" t="s">
        <v>2338</v>
      </c>
      <c r="C1401">
        <v>165925</v>
      </c>
      <c r="D1401">
        <v>165925</v>
      </c>
      <c r="E1401">
        <v>10</v>
      </c>
      <c r="F1401">
        <v>20</v>
      </c>
      <c r="G1401">
        <v>30</v>
      </c>
      <c r="O1401">
        <v>60</v>
      </c>
      <c r="S1401">
        <f t="shared" si="317"/>
        <v>3.75</v>
      </c>
      <c r="T1401">
        <f t="shared" si="318"/>
        <v>0</v>
      </c>
      <c r="U1401">
        <f t="shared" si="316"/>
        <v>1</v>
      </c>
      <c r="V1401">
        <f t="shared" si="319"/>
        <v>1</v>
      </c>
      <c r="W1401">
        <f t="shared" si="320"/>
        <v>0</v>
      </c>
      <c r="X1401">
        <f t="shared" si="329"/>
        <v>0</v>
      </c>
      <c r="Y1401">
        <f t="shared" si="330"/>
        <v>0</v>
      </c>
      <c r="Z1401">
        <f t="shared" si="321"/>
        <v>2</v>
      </c>
      <c r="AA1401">
        <f t="shared" si="322"/>
        <v>5</v>
      </c>
      <c r="AB1401">
        <f t="shared" si="323"/>
        <v>4.2857142857142856</v>
      </c>
      <c r="AC1401">
        <f t="shared" si="324"/>
        <v>0</v>
      </c>
      <c r="AD1401" s="1">
        <f t="shared" si="325"/>
        <v>0</v>
      </c>
      <c r="AE1401">
        <f t="shared" si="326"/>
        <v>0</v>
      </c>
      <c r="AF1401">
        <f t="shared" si="327"/>
        <v>0</v>
      </c>
      <c r="AG1401">
        <f t="shared" si="328"/>
        <v>0</v>
      </c>
    </row>
    <row r="1402" spans="1:33" x14ac:dyDescent="0.25">
      <c r="A1402" t="s">
        <v>2339</v>
      </c>
      <c r="B1402" t="s">
        <v>577</v>
      </c>
      <c r="C1402">
        <v>167892</v>
      </c>
      <c r="D1402">
        <v>167892</v>
      </c>
      <c r="E1402">
        <v>30</v>
      </c>
      <c r="F1402">
        <v>20</v>
      </c>
      <c r="G1402">
        <v>30</v>
      </c>
      <c r="O1402">
        <v>80</v>
      </c>
      <c r="S1402">
        <f t="shared" si="317"/>
        <v>5</v>
      </c>
      <c r="T1402">
        <f t="shared" si="318"/>
        <v>0</v>
      </c>
      <c r="U1402">
        <f t="shared" si="316"/>
        <v>1</v>
      </c>
      <c r="V1402">
        <f t="shared" si="319"/>
        <v>1</v>
      </c>
      <c r="W1402">
        <f t="shared" si="320"/>
        <v>0</v>
      </c>
      <c r="X1402">
        <f t="shared" si="329"/>
        <v>0</v>
      </c>
      <c r="Y1402">
        <f t="shared" si="330"/>
        <v>0</v>
      </c>
      <c r="Z1402">
        <f t="shared" si="321"/>
        <v>6</v>
      </c>
      <c r="AA1402">
        <f t="shared" si="322"/>
        <v>5</v>
      </c>
      <c r="AB1402">
        <f t="shared" si="323"/>
        <v>4.2857142857142856</v>
      </c>
      <c r="AC1402">
        <f t="shared" si="324"/>
        <v>0</v>
      </c>
      <c r="AD1402" s="1">
        <f t="shared" si="325"/>
        <v>0</v>
      </c>
      <c r="AE1402">
        <f t="shared" si="326"/>
        <v>0</v>
      </c>
      <c r="AF1402">
        <f t="shared" si="327"/>
        <v>0</v>
      </c>
      <c r="AG1402">
        <f t="shared" si="328"/>
        <v>0</v>
      </c>
    </row>
    <row r="1403" spans="1:33" x14ac:dyDescent="0.25">
      <c r="A1403" t="s">
        <v>2340</v>
      </c>
      <c r="B1403" t="s">
        <v>1592</v>
      </c>
      <c r="C1403">
        <v>166431</v>
      </c>
      <c r="D1403">
        <v>166431</v>
      </c>
      <c r="S1403">
        <f t="shared" si="317"/>
        <v>0</v>
      </c>
      <c r="T1403">
        <f t="shared" si="318"/>
        <v>0</v>
      </c>
      <c r="U1403">
        <f t="shared" si="316"/>
        <v>0</v>
      </c>
      <c r="V1403">
        <f t="shared" si="319"/>
        <v>0</v>
      </c>
      <c r="W1403">
        <f t="shared" si="320"/>
        <v>0</v>
      </c>
      <c r="X1403">
        <f t="shared" si="329"/>
        <v>0</v>
      </c>
      <c r="Y1403">
        <f t="shared" si="330"/>
        <v>0</v>
      </c>
      <c r="Z1403">
        <f t="shared" si="321"/>
        <v>0</v>
      </c>
      <c r="AA1403">
        <f t="shared" si="322"/>
        <v>0</v>
      </c>
      <c r="AB1403">
        <f t="shared" si="323"/>
        <v>0</v>
      </c>
      <c r="AC1403">
        <f t="shared" si="324"/>
        <v>0</v>
      </c>
      <c r="AD1403" s="1">
        <f t="shared" si="325"/>
        <v>0</v>
      </c>
      <c r="AE1403">
        <f t="shared" si="326"/>
        <v>0</v>
      </c>
      <c r="AF1403">
        <f t="shared" si="327"/>
        <v>0</v>
      </c>
      <c r="AG1403">
        <f t="shared" si="328"/>
        <v>0</v>
      </c>
    </row>
    <row r="1404" spans="1:33" x14ac:dyDescent="0.25">
      <c r="A1404" t="s">
        <v>2341</v>
      </c>
      <c r="B1404" t="s">
        <v>2342</v>
      </c>
      <c r="C1404">
        <v>166820</v>
      </c>
      <c r="D1404">
        <v>166820</v>
      </c>
      <c r="E1404">
        <v>0</v>
      </c>
      <c r="F1404">
        <v>20</v>
      </c>
      <c r="G1404">
        <v>50</v>
      </c>
      <c r="O1404">
        <v>70</v>
      </c>
      <c r="S1404">
        <f t="shared" si="317"/>
        <v>4.375</v>
      </c>
      <c r="T1404">
        <f t="shared" si="318"/>
        <v>0</v>
      </c>
      <c r="U1404">
        <f t="shared" si="316"/>
        <v>1</v>
      </c>
      <c r="V1404">
        <f t="shared" si="319"/>
        <v>1</v>
      </c>
      <c r="W1404">
        <f t="shared" si="320"/>
        <v>0</v>
      </c>
      <c r="X1404">
        <f t="shared" si="329"/>
        <v>0</v>
      </c>
      <c r="Y1404">
        <f t="shared" si="330"/>
        <v>0</v>
      </c>
      <c r="Z1404">
        <f t="shared" si="321"/>
        <v>0</v>
      </c>
      <c r="AA1404">
        <f t="shared" si="322"/>
        <v>5</v>
      </c>
      <c r="AB1404">
        <f t="shared" si="323"/>
        <v>7.1428571428571432</v>
      </c>
      <c r="AC1404">
        <f t="shared" si="324"/>
        <v>0</v>
      </c>
      <c r="AD1404" s="1">
        <f t="shared" si="325"/>
        <v>0</v>
      </c>
      <c r="AE1404">
        <f t="shared" si="326"/>
        <v>0</v>
      </c>
      <c r="AF1404">
        <f t="shared" si="327"/>
        <v>0</v>
      </c>
      <c r="AG1404">
        <f t="shared" si="328"/>
        <v>0</v>
      </c>
    </row>
    <row r="1405" spans="1:33" x14ac:dyDescent="0.25">
      <c r="A1405" t="s">
        <v>2343</v>
      </c>
      <c r="B1405" t="s">
        <v>197</v>
      </c>
      <c r="C1405">
        <v>166409</v>
      </c>
      <c r="D1405">
        <v>166409</v>
      </c>
      <c r="E1405">
        <v>40</v>
      </c>
      <c r="F1405">
        <v>30</v>
      </c>
      <c r="G1405">
        <v>20</v>
      </c>
      <c r="O1405">
        <v>90</v>
      </c>
      <c r="S1405">
        <f t="shared" si="317"/>
        <v>5.625</v>
      </c>
      <c r="T1405">
        <f t="shared" si="318"/>
        <v>0</v>
      </c>
      <c r="U1405">
        <f t="shared" si="316"/>
        <v>1</v>
      </c>
      <c r="V1405">
        <f t="shared" si="319"/>
        <v>1</v>
      </c>
      <c r="W1405">
        <f t="shared" si="320"/>
        <v>0</v>
      </c>
      <c r="X1405">
        <f t="shared" si="329"/>
        <v>0</v>
      </c>
      <c r="Y1405">
        <f t="shared" si="330"/>
        <v>0</v>
      </c>
      <c r="Z1405">
        <f t="shared" si="321"/>
        <v>8</v>
      </c>
      <c r="AA1405">
        <f t="shared" si="322"/>
        <v>7.5</v>
      </c>
      <c r="AB1405">
        <f t="shared" si="323"/>
        <v>2.8571428571428572</v>
      </c>
      <c r="AC1405">
        <f t="shared" si="324"/>
        <v>0</v>
      </c>
      <c r="AD1405" s="1">
        <f t="shared" si="325"/>
        <v>0</v>
      </c>
      <c r="AE1405">
        <f t="shared" si="326"/>
        <v>0</v>
      </c>
      <c r="AF1405">
        <f t="shared" si="327"/>
        <v>0</v>
      </c>
      <c r="AG1405">
        <f t="shared" si="328"/>
        <v>0</v>
      </c>
    </row>
    <row r="1406" spans="1:33" x14ac:dyDescent="0.25">
      <c r="A1406" t="s">
        <v>2344</v>
      </c>
      <c r="B1406" t="s">
        <v>1160</v>
      </c>
      <c r="C1406">
        <v>168067</v>
      </c>
      <c r="D1406">
        <v>168067</v>
      </c>
      <c r="H1406">
        <v>10</v>
      </c>
      <c r="I1406">
        <v>30</v>
      </c>
      <c r="J1406">
        <v>10</v>
      </c>
      <c r="K1406">
        <v>0</v>
      </c>
      <c r="L1406">
        <v>10</v>
      </c>
      <c r="M1406">
        <v>60</v>
      </c>
      <c r="S1406">
        <f t="shared" si="317"/>
        <v>0</v>
      </c>
      <c r="T1406">
        <f t="shared" si="318"/>
        <v>5</v>
      </c>
      <c r="U1406">
        <f t="shared" si="316"/>
        <v>1</v>
      </c>
      <c r="V1406">
        <f t="shared" si="319"/>
        <v>0</v>
      </c>
      <c r="W1406">
        <f t="shared" si="320"/>
        <v>1</v>
      </c>
      <c r="X1406">
        <f t="shared" si="329"/>
        <v>0</v>
      </c>
      <c r="Y1406">
        <f t="shared" si="330"/>
        <v>0</v>
      </c>
      <c r="Z1406">
        <f t="shared" si="321"/>
        <v>0</v>
      </c>
      <c r="AA1406">
        <f t="shared" si="322"/>
        <v>0</v>
      </c>
      <c r="AB1406">
        <f t="shared" si="323"/>
        <v>0</v>
      </c>
      <c r="AC1406">
        <f t="shared" si="324"/>
        <v>5</v>
      </c>
      <c r="AD1406" s="1">
        <f t="shared" si="325"/>
        <v>5</v>
      </c>
      <c r="AE1406">
        <f t="shared" si="326"/>
        <v>5</v>
      </c>
      <c r="AF1406">
        <f t="shared" si="327"/>
        <v>0</v>
      </c>
      <c r="AG1406">
        <f t="shared" si="328"/>
        <v>10</v>
      </c>
    </row>
    <row r="1407" spans="1:33" x14ac:dyDescent="0.25">
      <c r="A1407" t="s">
        <v>2345</v>
      </c>
      <c r="B1407" t="s">
        <v>396</v>
      </c>
      <c r="C1407">
        <v>168108</v>
      </c>
      <c r="D1407">
        <v>168108</v>
      </c>
      <c r="H1407">
        <v>10</v>
      </c>
      <c r="I1407">
        <v>30</v>
      </c>
      <c r="J1407">
        <v>10</v>
      </c>
      <c r="K1407">
        <v>0</v>
      </c>
      <c r="L1407">
        <v>0</v>
      </c>
      <c r="M1407">
        <v>50</v>
      </c>
      <c r="S1407">
        <f t="shared" si="317"/>
        <v>0</v>
      </c>
      <c r="T1407">
        <f t="shared" si="318"/>
        <v>4.166666666666667</v>
      </c>
      <c r="U1407">
        <f t="shared" si="316"/>
        <v>1</v>
      </c>
      <c r="V1407">
        <f t="shared" si="319"/>
        <v>0</v>
      </c>
      <c r="W1407">
        <f t="shared" si="320"/>
        <v>1</v>
      </c>
      <c r="X1407">
        <f t="shared" si="329"/>
        <v>0</v>
      </c>
      <c r="Y1407">
        <f t="shared" si="330"/>
        <v>0</v>
      </c>
      <c r="Z1407">
        <f t="shared" si="321"/>
        <v>0</v>
      </c>
      <c r="AA1407">
        <f t="shared" si="322"/>
        <v>0</v>
      </c>
      <c r="AB1407">
        <f t="shared" si="323"/>
        <v>0</v>
      </c>
      <c r="AC1407">
        <f t="shared" si="324"/>
        <v>5</v>
      </c>
      <c r="AD1407" s="1">
        <f t="shared" si="325"/>
        <v>5</v>
      </c>
      <c r="AE1407">
        <f t="shared" si="326"/>
        <v>5</v>
      </c>
      <c r="AF1407">
        <f t="shared" si="327"/>
        <v>0</v>
      </c>
      <c r="AG1407">
        <f t="shared" si="328"/>
        <v>0</v>
      </c>
    </row>
    <row r="1408" spans="1:33" x14ac:dyDescent="0.25">
      <c r="A1408" t="s">
        <v>2346</v>
      </c>
      <c r="B1408" t="s">
        <v>2347</v>
      </c>
      <c r="C1408">
        <v>164905</v>
      </c>
      <c r="D1408">
        <v>164905</v>
      </c>
      <c r="S1408">
        <f t="shared" si="317"/>
        <v>0</v>
      </c>
      <c r="T1408">
        <f t="shared" si="318"/>
        <v>0</v>
      </c>
      <c r="U1408">
        <f t="shared" si="316"/>
        <v>0</v>
      </c>
      <c r="V1408">
        <f t="shared" si="319"/>
        <v>0</v>
      </c>
      <c r="W1408">
        <f t="shared" si="320"/>
        <v>0</v>
      </c>
      <c r="X1408">
        <f t="shared" si="329"/>
        <v>0</v>
      </c>
      <c r="Y1408">
        <f t="shared" si="330"/>
        <v>0</v>
      </c>
      <c r="Z1408">
        <f t="shared" si="321"/>
        <v>0</v>
      </c>
      <c r="AA1408">
        <f t="shared" si="322"/>
        <v>0</v>
      </c>
      <c r="AB1408">
        <f t="shared" si="323"/>
        <v>0</v>
      </c>
      <c r="AC1408">
        <f t="shared" si="324"/>
        <v>0</v>
      </c>
      <c r="AD1408" s="1">
        <f t="shared" si="325"/>
        <v>0</v>
      </c>
      <c r="AE1408">
        <f t="shared" si="326"/>
        <v>0</v>
      </c>
      <c r="AF1408">
        <f t="shared" si="327"/>
        <v>0</v>
      </c>
      <c r="AG1408">
        <f t="shared" si="328"/>
        <v>0</v>
      </c>
    </row>
    <row r="1409" spans="1:33" x14ac:dyDescent="0.25">
      <c r="A1409" t="s">
        <v>2346</v>
      </c>
      <c r="B1409" t="s">
        <v>2348</v>
      </c>
      <c r="C1409">
        <v>167762</v>
      </c>
      <c r="D1409">
        <v>167762</v>
      </c>
      <c r="E1409">
        <v>20</v>
      </c>
      <c r="F1409">
        <v>40</v>
      </c>
      <c r="G1409">
        <v>50</v>
      </c>
      <c r="O1409">
        <v>110</v>
      </c>
      <c r="S1409">
        <f t="shared" si="317"/>
        <v>6.875</v>
      </c>
      <c r="T1409">
        <f t="shared" si="318"/>
        <v>0</v>
      </c>
      <c r="U1409">
        <f t="shared" si="316"/>
        <v>1</v>
      </c>
      <c r="V1409">
        <f t="shared" si="319"/>
        <v>1</v>
      </c>
      <c r="W1409">
        <f t="shared" si="320"/>
        <v>0</v>
      </c>
      <c r="X1409">
        <f t="shared" si="329"/>
        <v>1</v>
      </c>
      <c r="Y1409">
        <f t="shared" si="330"/>
        <v>0</v>
      </c>
      <c r="Z1409">
        <f t="shared" si="321"/>
        <v>4</v>
      </c>
      <c r="AA1409">
        <f t="shared" si="322"/>
        <v>10</v>
      </c>
      <c r="AB1409">
        <f t="shared" si="323"/>
        <v>7.1428571428571432</v>
      </c>
      <c r="AC1409">
        <f t="shared" si="324"/>
        <v>0</v>
      </c>
      <c r="AD1409" s="1">
        <f t="shared" si="325"/>
        <v>0</v>
      </c>
      <c r="AE1409">
        <f t="shared" si="326"/>
        <v>0</v>
      </c>
      <c r="AF1409">
        <f t="shared" si="327"/>
        <v>0</v>
      </c>
      <c r="AG1409">
        <f t="shared" si="328"/>
        <v>0</v>
      </c>
    </row>
    <row r="1410" spans="1:33" x14ac:dyDescent="0.25">
      <c r="A1410" t="s">
        <v>2349</v>
      </c>
      <c r="B1410" t="s">
        <v>2350</v>
      </c>
      <c r="C1410">
        <v>166275</v>
      </c>
      <c r="D1410">
        <v>166275</v>
      </c>
      <c r="S1410">
        <f t="shared" si="317"/>
        <v>0</v>
      </c>
      <c r="T1410">
        <f t="shared" si="318"/>
        <v>0</v>
      </c>
      <c r="U1410">
        <f t="shared" ref="U1410:U1473" si="331">IF(AND(E1410="",F1410="",G1410="",H1410="",I1410="",J1410="",K1410="",L1410="",M1410=""),0,1)</f>
        <v>0</v>
      </c>
      <c r="V1410">
        <f t="shared" si="319"/>
        <v>0</v>
      </c>
      <c r="W1410">
        <f t="shared" si="320"/>
        <v>0</v>
      </c>
      <c r="X1410">
        <f t="shared" si="329"/>
        <v>0</v>
      </c>
      <c r="Y1410">
        <f t="shared" si="330"/>
        <v>0</v>
      </c>
      <c r="Z1410">
        <f t="shared" si="321"/>
        <v>0</v>
      </c>
      <c r="AA1410">
        <f t="shared" si="322"/>
        <v>0</v>
      </c>
      <c r="AB1410">
        <f t="shared" si="323"/>
        <v>0</v>
      </c>
      <c r="AC1410">
        <f t="shared" si="324"/>
        <v>0</v>
      </c>
      <c r="AD1410" s="1">
        <f t="shared" si="325"/>
        <v>0</v>
      </c>
      <c r="AE1410">
        <f t="shared" si="326"/>
        <v>0</v>
      </c>
      <c r="AF1410">
        <f t="shared" si="327"/>
        <v>0</v>
      </c>
      <c r="AG1410">
        <f t="shared" si="328"/>
        <v>0</v>
      </c>
    </row>
    <row r="1411" spans="1:33" x14ac:dyDescent="0.25">
      <c r="A1411" t="s">
        <v>2351</v>
      </c>
      <c r="B1411" t="s">
        <v>750</v>
      </c>
      <c r="C1411">
        <v>168123</v>
      </c>
      <c r="D1411">
        <v>168123</v>
      </c>
      <c r="E1411">
        <v>0</v>
      </c>
      <c r="F1411">
        <v>10</v>
      </c>
      <c r="G1411">
        <v>20</v>
      </c>
      <c r="O1411">
        <v>30</v>
      </c>
      <c r="S1411">
        <f t="shared" ref="S1411:S1474" si="332">O1411/16</f>
        <v>1.875</v>
      </c>
      <c r="T1411">
        <f t="shared" ref="T1411:T1474" si="333">M1411/12</f>
        <v>0</v>
      </c>
      <c r="U1411">
        <f t="shared" si="331"/>
        <v>1</v>
      </c>
      <c r="V1411">
        <f t="shared" ref="V1411:V1474" si="334">IF(O1411="",0,1)</f>
        <v>1</v>
      </c>
      <c r="W1411">
        <f t="shared" ref="W1411:W1474" si="335">IF(M1411="",0,1)</f>
        <v>0</v>
      </c>
      <c r="X1411">
        <f t="shared" si="329"/>
        <v>0</v>
      </c>
      <c r="Y1411">
        <f t="shared" si="330"/>
        <v>0</v>
      </c>
      <c r="Z1411">
        <f t="shared" ref="Z1411:Z1474" si="336">E1411/5</f>
        <v>0</v>
      </c>
      <c r="AA1411">
        <f t="shared" ref="AA1411:AA1474" si="337">F1411/4</f>
        <v>2.5</v>
      </c>
      <c r="AB1411">
        <f t="shared" ref="AB1411:AB1474" si="338">G1411/7</f>
        <v>2.8571428571428572</v>
      </c>
      <c r="AC1411">
        <f t="shared" ref="AC1411:AC1474" si="339">H1411/2</f>
        <v>0</v>
      </c>
      <c r="AD1411" s="1">
        <f t="shared" ref="AD1411:AD1474" si="340">I1411/6</f>
        <v>0</v>
      </c>
      <c r="AE1411">
        <f t="shared" ref="AE1411:AE1474" si="341">J1411/2</f>
        <v>0</v>
      </c>
      <c r="AF1411">
        <f t="shared" ref="AF1411:AF1474" si="342">K1411</f>
        <v>0</v>
      </c>
      <c r="AG1411">
        <f t="shared" ref="AG1411:AG1474" si="343">L1411</f>
        <v>0</v>
      </c>
    </row>
    <row r="1412" spans="1:33" x14ac:dyDescent="0.25">
      <c r="A1412" t="s">
        <v>2352</v>
      </c>
      <c r="B1412" t="s">
        <v>344</v>
      </c>
      <c r="C1412">
        <v>168679</v>
      </c>
      <c r="D1412">
        <v>168679</v>
      </c>
      <c r="H1412">
        <v>10</v>
      </c>
      <c r="I1412">
        <v>40</v>
      </c>
      <c r="J1412">
        <v>10</v>
      </c>
      <c r="K1412">
        <v>0</v>
      </c>
      <c r="L1412">
        <v>0</v>
      </c>
      <c r="M1412">
        <v>60</v>
      </c>
      <c r="S1412">
        <f t="shared" si="332"/>
        <v>0</v>
      </c>
      <c r="T1412">
        <f t="shared" si="333"/>
        <v>5</v>
      </c>
      <c r="U1412">
        <f t="shared" si="331"/>
        <v>1</v>
      </c>
      <c r="V1412">
        <f t="shared" si="334"/>
        <v>0</v>
      </c>
      <c r="W1412">
        <f t="shared" si="335"/>
        <v>1</v>
      </c>
      <c r="X1412">
        <f t="shared" si="329"/>
        <v>0</v>
      </c>
      <c r="Y1412">
        <f t="shared" si="330"/>
        <v>0</v>
      </c>
      <c r="Z1412">
        <f t="shared" si="336"/>
        <v>0</v>
      </c>
      <c r="AA1412">
        <f t="shared" si="337"/>
        <v>0</v>
      </c>
      <c r="AB1412">
        <f t="shared" si="338"/>
        <v>0</v>
      </c>
      <c r="AC1412">
        <f t="shared" si="339"/>
        <v>5</v>
      </c>
      <c r="AD1412" s="1">
        <f t="shared" si="340"/>
        <v>6.666666666666667</v>
      </c>
      <c r="AE1412">
        <f t="shared" si="341"/>
        <v>5</v>
      </c>
      <c r="AF1412">
        <f t="shared" si="342"/>
        <v>0</v>
      </c>
      <c r="AG1412">
        <f t="shared" si="343"/>
        <v>0</v>
      </c>
    </row>
    <row r="1413" spans="1:33" x14ac:dyDescent="0.25">
      <c r="A1413" t="s">
        <v>2353</v>
      </c>
      <c r="B1413" t="s">
        <v>2354</v>
      </c>
      <c r="C1413">
        <v>165350</v>
      </c>
      <c r="D1413">
        <v>165350</v>
      </c>
      <c r="H1413">
        <v>10</v>
      </c>
      <c r="I1413">
        <v>40</v>
      </c>
      <c r="J1413">
        <v>20</v>
      </c>
      <c r="K1413">
        <v>10</v>
      </c>
      <c r="L1413">
        <v>10</v>
      </c>
      <c r="M1413">
        <v>90</v>
      </c>
      <c r="S1413">
        <f t="shared" si="332"/>
        <v>0</v>
      </c>
      <c r="T1413">
        <f t="shared" si="333"/>
        <v>7.5</v>
      </c>
      <c r="U1413">
        <f t="shared" si="331"/>
        <v>1</v>
      </c>
      <c r="V1413">
        <f t="shared" si="334"/>
        <v>0</v>
      </c>
      <c r="W1413">
        <f t="shared" si="335"/>
        <v>1</v>
      </c>
      <c r="X1413">
        <f t="shared" ref="X1413:X1476" si="344">IF(AND(V1413=1,S1413&gt;6),1,0)</f>
        <v>0</v>
      </c>
      <c r="Y1413">
        <f t="shared" ref="Y1413:Y1476" si="345">IF(AND(W1413=1,T1413&gt;6),1,0)</f>
        <v>1</v>
      </c>
      <c r="Z1413">
        <f t="shared" si="336"/>
        <v>0</v>
      </c>
      <c r="AA1413">
        <f t="shared" si="337"/>
        <v>0</v>
      </c>
      <c r="AB1413">
        <f t="shared" si="338"/>
        <v>0</v>
      </c>
      <c r="AC1413">
        <f t="shared" si="339"/>
        <v>5</v>
      </c>
      <c r="AD1413" s="1">
        <f t="shared" si="340"/>
        <v>6.666666666666667</v>
      </c>
      <c r="AE1413">
        <f t="shared" si="341"/>
        <v>10</v>
      </c>
      <c r="AF1413">
        <f t="shared" si="342"/>
        <v>10</v>
      </c>
      <c r="AG1413">
        <f t="shared" si="343"/>
        <v>10</v>
      </c>
    </row>
    <row r="1414" spans="1:33" x14ac:dyDescent="0.25">
      <c r="A1414" t="s">
        <v>2355</v>
      </c>
      <c r="B1414" t="s">
        <v>158</v>
      </c>
      <c r="C1414">
        <v>165061</v>
      </c>
      <c r="D1414">
        <v>165061</v>
      </c>
      <c r="H1414">
        <v>10</v>
      </c>
      <c r="I1414">
        <v>50</v>
      </c>
      <c r="J1414">
        <v>20</v>
      </c>
      <c r="K1414">
        <v>10</v>
      </c>
      <c r="L1414">
        <v>10</v>
      </c>
      <c r="M1414">
        <v>100</v>
      </c>
      <c r="S1414">
        <f t="shared" si="332"/>
        <v>0</v>
      </c>
      <c r="T1414">
        <f t="shared" si="333"/>
        <v>8.3333333333333339</v>
      </c>
      <c r="U1414">
        <f t="shared" si="331"/>
        <v>1</v>
      </c>
      <c r="V1414">
        <f t="shared" si="334"/>
        <v>0</v>
      </c>
      <c r="W1414">
        <f t="shared" si="335"/>
        <v>1</v>
      </c>
      <c r="X1414">
        <f t="shared" si="344"/>
        <v>0</v>
      </c>
      <c r="Y1414">
        <f t="shared" si="345"/>
        <v>1</v>
      </c>
      <c r="Z1414">
        <f t="shared" si="336"/>
        <v>0</v>
      </c>
      <c r="AA1414">
        <f t="shared" si="337"/>
        <v>0</v>
      </c>
      <c r="AB1414">
        <f t="shared" si="338"/>
        <v>0</v>
      </c>
      <c r="AC1414">
        <f t="shared" si="339"/>
        <v>5</v>
      </c>
      <c r="AD1414" s="1">
        <f t="shared" si="340"/>
        <v>8.3333333333333339</v>
      </c>
      <c r="AE1414">
        <f t="shared" si="341"/>
        <v>10</v>
      </c>
      <c r="AF1414">
        <f t="shared" si="342"/>
        <v>10</v>
      </c>
      <c r="AG1414">
        <f t="shared" si="343"/>
        <v>10</v>
      </c>
    </row>
    <row r="1415" spans="1:33" x14ac:dyDescent="0.25">
      <c r="A1415" t="s">
        <v>2356</v>
      </c>
      <c r="B1415" t="s">
        <v>2357</v>
      </c>
      <c r="C1415">
        <v>165724</v>
      </c>
      <c r="D1415">
        <v>165724</v>
      </c>
      <c r="H1415">
        <v>10</v>
      </c>
      <c r="I1415">
        <v>50</v>
      </c>
      <c r="J1415">
        <v>20</v>
      </c>
      <c r="K1415">
        <v>10</v>
      </c>
      <c r="L1415">
        <v>0</v>
      </c>
      <c r="M1415">
        <v>90</v>
      </c>
      <c r="S1415">
        <f t="shared" si="332"/>
        <v>0</v>
      </c>
      <c r="T1415">
        <f t="shared" si="333"/>
        <v>7.5</v>
      </c>
      <c r="U1415">
        <f t="shared" si="331"/>
        <v>1</v>
      </c>
      <c r="V1415">
        <f t="shared" si="334"/>
        <v>0</v>
      </c>
      <c r="W1415">
        <f t="shared" si="335"/>
        <v>1</v>
      </c>
      <c r="X1415">
        <f t="shared" si="344"/>
        <v>0</v>
      </c>
      <c r="Y1415">
        <f t="shared" si="345"/>
        <v>1</v>
      </c>
      <c r="Z1415">
        <f t="shared" si="336"/>
        <v>0</v>
      </c>
      <c r="AA1415">
        <f t="shared" si="337"/>
        <v>0</v>
      </c>
      <c r="AB1415">
        <f t="shared" si="338"/>
        <v>0</v>
      </c>
      <c r="AC1415">
        <f t="shared" si="339"/>
        <v>5</v>
      </c>
      <c r="AD1415" s="1">
        <f t="shared" si="340"/>
        <v>8.3333333333333339</v>
      </c>
      <c r="AE1415">
        <f t="shared" si="341"/>
        <v>10</v>
      </c>
      <c r="AF1415">
        <f t="shared" si="342"/>
        <v>10</v>
      </c>
      <c r="AG1415">
        <f t="shared" si="343"/>
        <v>0</v>
      </c>
    </row>
    <row r="1416" spans="1:33" x14ac:dyDescent="0.25">
      <c r="A1416" t="s">
        <v>2358</v>
      </c>
      <c r="B1416" t="s">
        <v>2359</v>
      </c>
      <c r="C1416">
        <v>167654</v>
      </c>
      <c r="D1416">
        <v>167654</v>
      </c>
      <c r="H1416">
        <v>0</v>
      </c>
      <c r="I1416">
        <v>50</v>
      </c>
      <c r="J1416">
        <v>10</v>
      </c>
      <c r="K1416">
        <v>10</v>
      </c>
      <c r="L1416">
        <v>10</v>
      </c>
      <c r="M1416">
        <v>80</v>
      </c>
      <c r="S1416">
        <f t="shared" si="332"/>
        <v>0</v>
      </c>
      <c r="T1416">
        <f t="shared" si="333"/>
        <v>6.666666666666667</v>
      </c>
      <c r="U1416">
        <f t="shared" si="331"/>
        <v>1</v>
      </c>
      <c r="V1416">
        <f t="shared" si="334"/>
        <v>0</v>
      </c>
      <c r="W1416">
        <f t="shared" si="335"/>
        <v>1</v>
      </c>
      <c r="X1416">
        <f t="shared" si="344"/>
        <v>0</v>
      </c>
      <c r="Y1416">
        <f t="shared" si="345"/>
        <v>1</v>
      </c>
      <c r="Z1416">
        <f t="shared" si="336"/>
        <v>0</v>
      </c>
      <c r="AA1416">
        <f t="shared" si="337"/>
        <v>0</v>
      </c>
      <c r="AB1416">
        <f t="shared" si="338"/>
        <v>0</v>
      </c>
      <c r="AC1416">
        <f t="shared" si="339"/>
        <v>0</v>
      </c>
      <c r="AD1416" s="1">
        <f t="shared" si="340"/>
        <v>8.3333333333333339</v>
      </c>
      <c r="AE1416">
        <f t="shared" si="341"/>
        <v>5</v>
      </c>
      <c r="AF1416">
        <f t="shared" si="342"/>
        <v>10</v>
      </c>
      <c r="AG1416">
        <f t="shared" si="343"/>
        <v>10</v>
      </c>
    </row>
    <row r="1417" spans="1:33" x14ac:dyDescent="0.25">
      <c r="A1417" t="s">
        <v>2360</v>
      </c>
      <c r="B1417" t="s">
        <v>546</v>
      </c>
      <c r="C1417">
        <v>166336</v>
      </c>
      <c r="D1417">
        <v>166336</v>
      </c>
      <c r="E1417">
        <v>50</v>
      </c>
      <c r="F1417">
        <v>30</v>
      </c>
      <c r="G1417">
        <v>40</v>
      </c>
      <c r="O1417">
        <v>120</v>
      </c>
      <c r="S1417">
        <f t="shared" si="332"/>
        <v>7.5</v>
      </c>
      <c r="T1417">
        <f t="shared" si="333"/>
        <v>0</v>
      </c>
      <c r="U1417">
        <f t="shared" si="331"/>
        <v>1</v>
      </c>
      <c r="V1417">
        <f t="shared" si="334"/>
        <v>1</v>
      </c>
      <c r="W1417">
        <f t="shared" si="335"/>
        <v>0</v>
      </c>
      <c r="X1417">
        <f t="shared" si="344"/>
        <v>1</v>
      </c>
      <c r="Y1417">
        <f t="shared" si="345"/>
        <v>0</v>
      </c>
      <c r="Z1417">
        <f t="shared" si="336"/>
        <v>10</v>
      </c>
      <c r="AA1417">
        <f t="shared" si="337"/>
        <v>7.5</v>
      </c>
      <c r="AB1417">
        <f t="shared" si="338"/>
        <v>5.7142857142857144</v>
      </c>
      <c r="AC1417">
        <f t="shared" si="339"/>
        <v>0</v>
      </c>
      <c r="AD1417" s="1">
        <f t="shared" si="340"/>
        <v>0</v>
      </c>
      <c r="AE1417">
        <f t="shared" si="341"/>
        <v>0</v>
      </c>
      <c r="AF1417">
        <f t="shared" si="342"/>
        <v>0</v>
      </c>
      <c r="AG1417">
        <f t="shared" si="343"/>
        <v>0</v>
      </c>
    </row>
    <row r="1418" spans="1:33" x14ac:dyDescent="0.25">
      <c r="A1418" t="s">
        <v>2361</v>
      </c>
      <c r="B1418" t="s">
        <v>2362</v>
      </c>
      <c r="C1418">
        <v>165474</v>
      </c>
      <c r="D1418">
        <v>165474</v>
      </c>
      <c r="E1418">
        <v>20</v>
      </c>
      <c r="F1418">
        <v>0</v>
      </c>
      <c r="G1418">
        <v>20</v>
      </c>
      <c r="O1418">
        <v>40</v>
      </c>
      <c r="S1418">
        <f t="shared" si="332"/>
        <v>2.5</v>
      </c>
      <c r="T1418">
        <f t="shared" si="333"/>
        <v>0</v>
      </c>
      <c r="U1418">
        <f t="shared" si="331"/>
        <v>1</v>
      </c>
      <c r="V1418">
        <f t="shared" si="334"/>
        <v>1</v>
      </c>
      <c r="W1418">
        <f t="shared" si="335"/>
        <v>0</v>
      </c>
      <c r="X1418">
        <f t="shared" si="344"/>
        <v>0</v>
      </c>
      <c r="Y1418">
        <f t="shared" si="345"/>
        <v>0</v>
      </c>
      <c r="Z1418">
        <f t="shared" si="336"/>
        <v>4</v>
      </c>
      <c r="AA1418">
        <f t="shared" si="337"/>
        <v>0</v>
      </c>
      <c r="AB1418">
        <f t="shared" si="338"/>
        <v>2.8571428571428572</v>
      </c>
      <c r="AC1418">
        <f t="shared" si="339"/>
        <v>0</v>
      </c>
      <c r="AD1418" s="1">
        <f t="shared" si="340"/>
        <v>0</v>
      </c>
      <c r="AE1418">
        <f t="shared" si="341"/>
        <v>0</v>
      </c>
      <c r="AF1418">
        <f t="shared" si="342"/>
        <v>0</v>
      </c>
      <c r="AG1418">
        <f t="shared" si="343"/>
        <v>0</v>
      </c>
    </row>
    <row r="1419" spans="1:33" x14ac:dyDescent="0.25">
      <c r="A1419" t="s">
        <v>2363</v>
      </c>
      <c r="B1419" t="s">
        <v>2364</v>
      </c>
      <c r="C1419">
        <v>167789</v>
      </c>
      <c r="D1419">
        <v>167789</v>
      </c>
      <c r="H1419">
        <v>10</v>
      </c>
      <c r="I1419">
        <v>30</v>
      </c>
      <c r="J1419">
        <v>20</v>
      </c>
      <c r="K1419">
        <v>10</v>
      </c>
      <c r="M1419">
        <v>70</v>
      </c>
      <c r="R1419">
        <v>10</v>
      </c>
      <c r="S1419">
        <f t="shared" si="332"/>
        <v>0</v>
      </c>
      <c r="T1419">
        <f t="shared" si="333"/>
        <v>5.833333333333333</v>
      </c>
      <c r="U1419">
        <f t="shared" si="331"/>
        <v>1</v>
      </c>
      <c r="V1419">
        <f t="shared" si="334"/>
        <v>0</v>
      </c>
      <c r="W1419">
        <f t="shared" si="335"/>
        <v>1</v>
      </c>
      <c r="X1419">
        <f t="shared" si="344"/>
        <v>0</v>
      </c>
      <c r="Y1419">
        <f t="shared" si="345"/>
        <v>0</v>
      </c>
      <c r="Z1419">
        <f t="shared" si="336"/>
        <v>0</v>
      </c>
      <c r="AA1419">
        <f t="shared" si="337"/>
        <v>0</v>
      </c>
      <c r="AB1419">
        <f t="shared" si="338"/>
        <v>0</v>
      </c>
      <c r="AC1419">
        <f t="shared" si="339"/>
        <v>5</v>
      </c>
      <c r="AD1419" s="1">
        <f t="shared" si="340"/>
        <v>5</v>
      </c>
      <c r="AE1419">
        <f t="shared" si="341"/>
        <v>10</v>
      </c>
      <c r="AF1419">
        <f t="shared" si="342"/>
        <v>10</v>
      </c>
      <c r="AG1419">
        <f t="shared" si="343"/>
        <v>0</v>
      </c>
    </row>
    <row r="1420" spans="1:33" x14ac:dyDescent="0.25">
      <c r="A1420" t="s">
        <v>2365</v>
      </c>
      <c r="B1420" t="s">
        <v>2366</v>
      </c>
      <c r="C1420">
        <v>165097</v>
      </c>
      <c r="D1420">
        <v>165097</v>
      </c>
      <c r="H1420">
        <v>20</v>
      </c>
      <c r="I1420">
        <v>50</v>
      </c>
      <c r="J1420">
        <v>10</v>
      </c>
      <c r="K1420">
        <v>10</v>
      </c>
      <c r="L1420">
        <v>10</v>
      </c>
      <c r="M1420">
        <v>100</v>
      </c>
      <c r="S1420">
        <f t="shared" si="332"/>
        <v>0</v>
      </c>
      <c r="T1420">
        <f t="shared" si="333"/>
        <v>8.3333333333333339</v>
      </c>
      <c r="U1420">
        <f t="shared" si="331"/>
        <v>1</v>
      </c>
      <c r="V1420">
        <f t="shared" si="334"/>
        <v>0</v>
      </c>
      <c r="W1420">
        <f t="shared" si="335"/>
        <v>1</v>
      </c>
      <c r="X1420">
        <f t="shared" si="344"/>
        <v>0</v>
      </c>
      <c r="Y1420">
        <f t="shared" si="345"/>
        <v>1</v>
      </c>
      <c r="Z1420">
        <f t="shared" si="336"/>
        <v>0</v>
      </c>
      <c r="AA1420">
        <f t="shared" si="337"/>
        <v>0</v>
      </c>
      <c r="AB1420">
        <f t="shared" si="338"/>
        <v>0</v>
      </c>
      <c r="AC1420">
        <f t="shared" si="339"/>
        <v>10</v>
      </c>
      <c r="AD1420" s="1">
        <f t="shared" si="340"/>
        <v>8.3333333333333339</v>
      </c>
      <c r="AE1420">
        <f t="shared" si="341"/>
        <v>5</v>
      </c>
      <c r="AF1420">
        <f t="shared" si="342"/>
        <v>10</v>
      </c>
      <c r="AG1420">
        <f t="shared" si="343"/>
        <v>10</v>
      </c>
    </row>
    <row r="1421" spans="1:33" x14ac:dyDescent="0.25">
      <c r="A1421" t="s">
        <v>2367</v>
      </c>
      <c r="B1421" t="s">
        <v>2368</v>
      </c>
      <c r="C1421">
        <v>165378</v>
      </c>
      <c r="D1421">
        <v>165378</v>
      </c>
      <c r="H1421">
        <v>0</v>
      </c>
      <c r="I1421">
        <v>40</v>
      </c>
      <c r="J1421">
        <v>10</v>
      </c>
      <c r="K1421">
        <v>10</v>
      </c>
      <c r="L1421">
        <v>10</v>
      </c>
      <c r="M1421">
        <v>70</v>
      </c>
      <c r="S1421">
        <f t="shared" si="332"/>
        <v>0</v>
      </c>
      <c r="T1421">
        <f t="shared" si="333"/>
        <v>5.833333333333333</v>
      </c>
      <c r="U1421">
        <f t="shared" si="331"/>
        <v>1</v>
      </c>
      <c r="V1421">
        <f t="shared" si="334"/>
        <v>0</v>
      </c>
      <c r="W1421">
        <f t="shared" si="335"/>
        <v>1</v>
      </c>
      <c r="X1421">
        <f t="shared" si="344"/>
        <v>0</v>
      </c>
      <c r="Y1421">
        <f t="shared" si="345"/>
        <v>0</v>
      </c>
      <c r="Z1421">
        <f t="shared" si="336"/>
        <v>0</v>
      </c>
      <c r="AA1421">
        <f t="shared" si="337"/>
        <v>0</v>
      </c>
      <c r="AB1421">
        <f t="shared" si="338"/>
        <v>0</v>
      </c>
      <c r="AC1421">
        <f t="shared" si="339"/>
        <v>0</v>
      </c>
      <c r="AD1421" s="1">
        <f t="shared" si="340"/>
        <v>6.666666666666667</v>
      </c>
      <c r="AE1421">
        <f t="shared" si="341"/>
        <v>5</v>
      </c>
      <c r="AF1421">
        <f t="shared" si="342"/>
        <v>10</v>
      </c>
      <c r="AG1421">
        <f t="shared" si="343"/>
        <v>10</v>
      </c>
    </row>
    <row r="1422" spans="1:33" x14ac:dyDescent="0.25">
      <c r="A1422" t="s">
        <v>2369</v>
      </c>
      <c r="B1422" t="s">
        <v>1000</v>
      </c>
      <c r="C1422">
        <v>166545</v>
      </c>
      <c r="D1422">
        <v>166545</v>
      </c>
      <c r="H1422">
        <v>10</v>
      </c>
      <c r="I1422">
        <v>30</v>
      </c>
      <c r="J1422">
        <v>20</v>
      </c>
      <c r="K1422">
        <v>0</v>
      </c>
      <c r="L1422">
        <v>0</v>
      </c>
      <c r="M1422">
        <v>60</v>
      </c>
      <c r="N1422" t="s">
        <v>20</v>
      </c>
      <c r="S1422">
        <f t="shared" si="332"/>
        <v>0</v>
      </c>
      <c r="T1422">
        <f t="shared" si="333"/>
        <v>5</v>
      </c>
      <c r="U1422">
        <f t="shared" si="331"/>
        <v>1</v>
      </c>
      <c r="V1422">
        <f t="shared" si="334"/>
        <v>0</v>
      </c>
      <c r="W1422">
        <f t="shared" si="335"/>
        <v>1</v>
      </c>
      <c r="X1422">
        <f t="shared" si="344"/>
        <v>0</v>
      </c>
      <c r="Y1422">
        <f t="shared" si="345"/>
        <v>0</v>
      </c>
      <c r="Z1422">
        <f t="shared" si="336"/>
        <v>0</v>
      </c>
      <c r="AA1422">
        <f t="shared" si="337"/>
        <v>0</v>
      </c>
      <c r="AB1422">
        <f t="shared" si="338"/>
        <v>0</v>
      </c>
      <c r="AC1422">
        <f t="shared" si="339"/>
        <v>5</v>
      </c>
      <c r="AD1422" s="1">
        <f t="shared" si="340"/>
        <v>5</v>
      </c>
      <c r="AE1422">
        <f t="shared" si="341"/>
        <v>10</v>
      </c>
      <c r="AF1422">
        <f t="shared" si="342"/>
        <v>0</v>
      </c>
      <c r="AG1422">
        <f t="shared" si="343"/>
        <v>0</v>
      </c>
    </row>
    <row r="1423" spans="1:33" x14ac:dyDescent="0.25">
      <c r="A1423" t="s">
        <v>2370</v>
      </c>
      <c r="B1423" t="s">
        <v>663</v>
      </c>
      <c r="C1423">
        <v>167243</v>
      </c>
      <c r="D1423">
        <v>167243</v>
      </c>
      <c r="H1423">
        <v>20</v>
      </c>
      <c r="I1423">
        <v>20</v>
      </c>
      <c r="J1423">
        <v>0</v>
      </c>
      <c r="K1423">
        <v>0</v>
      </c>
      <c r="L1423">
        <v>10</v>
      </c>
      <c r="M1423">
        <v>50</v>
      </c>
      <c r="S1423">
        <f t="shared" si="332"/>
        <v>0</v>
      </c>
      <c r="T1423">
        <f t="shared" si="333"/>
        <v>4.166666666666667</v>
      </c>
      <c r="U1423">
        <f t="shared" si="331"/>
        <v>1</v>
      </c>
      <c r="V1423">
        <f t="shared" si="334"/>
        <v>0</v>
      </c>
      <c r="W1423">
        <f t="shared" si="335"/>
        <v>1</v>
      </c>
      <c r="X1423">
        <f t="shared" si="344"/>
        <v>0</v>
      </c>
      <c r="Y1423">
        <f t="shared" si="345"/>
        <v>0</v>
      </c>
      <c r="Z1423">
        <f t="shared" si="336"/>
        <v>0</v>
      </c>
      <c r="AA1423">
        <f t="shared" si="337"/>
        <v>0</v>
      </c>
      <c r="AB1423">
        <f t="shared" si="338"/>
        <v>0</v>
      </c>
      <c r="AC1423">
        <f t="shared" si="339"/>
        <v>10</v>
      </c>
      <c r="AD1423" s="1">
        <f t="shared" si="340"/>
        <v>3.3333333333333335</v>
      </c>
      <c r="AE1423">
        <f t="shared" si="341"/>
        <v>0</v>
      </c>
      <c r="AF1423">
        <f t="shared" si="342"/>
        <v>0</v>
      </c>
      <c r="AG1423">
        <f t="shared" si="343"/>
        <v>10</v>
      </c>
    </row>
    <row r="1424" spans="1:33" x14ac:dyDescent="0.25">
      <c r="A1424" t="s">
        <v>2371</v>
      </c>
      <c r="B1424" t="s">
        <v>958</v>
      </c>
      <c r="C1424">
        <v>168159</v>
      </c>
      <c r="D1424">
        <v>168159</v>
      </c>
      <c r="H1424">
        <v>20</v>
      </c>
      <c r="I1424">
        <v>20</v>
      </c>
      <c r="J1424">
        <v>10</v>
      </c>
      <c r="K1424">
        <v>10</v>
      </c>
      <c r="L1424">
        <v>0</v>
      </c>
      <c r="M1424">
        <v>60</v>
      </c>
      <c r="S1424">
        <f t="shared" si="332"/>
        <v>0</v>
      </c>
      <c r="T1424">
        <f t="shared" si="333"/>
        <v>5</v>
      </c>
      <c r="U1424">
        <f t="shared" si="331"/>
        <v>1</v>
      </c>
      <c r="V1424">
        <f t="shared" si="334"/>
        <v>0</v>
      </c>
      <c r="W1424">
        <f t="shared" si="335"/>
        <v>1</v>
      </c>
      <c r="X1424">
        <f t="shared" si="344"/>
        <v>0</v>
      </c>
      <c r="Y1424">
        <f t="shared" si="345"/>
        <v>0</v>
      </c>
      <c r="Z1424">
        <f t="shared" si="336"/>
        <v>0</v>
      </c>
      <c r="AA1424">
        <f t="shared" si="337"/>
        <v>0</v>
      </c>
      <c r="AB1424">
        <f t="shared" si="338"/>
        <v>0</v>
      </c>
      <c r="AC1424">
        <f t="shared" si="339"/>
        <v>10</v>
      </c>
      <c r="AD1424" s="1">
        <f t="shared" si="340"/>
        <v>3.3333333333333335</v>
      </c>
      <c r="AE1424">
        <f t="shared" si="341"/>
        <v>5</v>
      </c>
      <c r="AF1424">
        <f t="shared" si="342"/>
        <v>10</v>
      </c>
      <c r="AG1424">
        <f t="shared" si="343"/>
        <v>0</v>
      </c>
    </row>
    <row r="1425" spans="1:33" x14ac:dyDescent="0.25">
      <c r="A1425" t="s">
        <v>2372</v>
      </c>
      <c r="B1425" t="s">
        <v>93</v>
      </c>
      <c r="C1425">
        <v>164085</v>
      </c>
      <c r="D1425">
        <v>164085</v>
      </c>
      <c r="S1425">
        <f t="shared" si="332"/>
        <v>0</v>
      </c>
      <c r="T1425">
        <f t="shared" si="333"/>
        <v>0</v>
      </c>
      <c r="U1425">
        <f t="shared" si="331"/>
        <v>0</v>
      </c>
      <c r="V1425">
        <f t="shared" si="334"/>
        <v>0</v>
      </c>
      <c r="W1425">
        <f t="shared" si="335"/>
        <v>0</v>
      </c>
      <c r="X1425">
        <f t="shared" si="344"/>
        <v>0</v>
      </c>
      <c r="Y1425">
        <f t="shared" si="345"/>
        <v>0</v>
      </c>
      <c r="Z1425">
        <f t="shared" si="336"/>
        <v>0</v>
      </c>
      <c r="AA1425">
        <f t="shared" si="337"/>
        <v>0</v>
      </c>
      <c r="AB1425">
        <f t="shared" si="338"/>
        <v>0</v>
      </c>
      <c r="AC1425">
        <f t="shared" si="339"/>
        <v>0</v>
      </c>
      <c r="AD1425" s="1">
        <f t="shared" si="340"/>
        <v>0</v>
      </c>
      <c r="AE1425">
        <f t="shared" si="341"/>
        <v>0</v>
      </c>
      <c r="AF1425">
        <f t="shared" si="342"/>
        <v>0</v>
      </c>
      <c r="AG1425">
        <f t="shared" si="343"/>
        <v>0</v>
      </c>
    </row>
    <row r="1426" spans="1:33" x14ac:dyDescent="0.25">
      <c r="A1426" t="s">
        <v>2373</v>
      </c>
      <c r="B1426" t="s">
        <v>2374</v>
      </c>
      <c r="C1426">
        <v>168121</v>
      </c>
      <c r="D1426">
        <v>168121</v>
      </c>
      <c r="E1426">
        <v>30</v>
      </c>
      <c r="F1426">
        <v>30</v>
      </c>
      <c r="G1426">
        <v>30</v>
      </c>
      <c r="O1426">
        <v>90</v>
      </c>
      <c r="S1426">
        <f t="shared" si="332"/>
        <v>5.625</v>
      </c>
      <c r="T1426">
        <f t="shared" si="333"/>
        <v>0</v>
      </c>
      <c r="U1426">
        <f t="shared" si="331"/>
        <v>1</v>
      </c>
      <c r="V1426">
        <f t="shared" si="334"/>
        <v>1</v>
      </c>
      <c r="W1426">
        <f t="shared" si="335"/>
        <v>0</v>
      </c>
      <c r="X1426">
        <f t="shared" si="344"/>
        <v>0</v>
      </c>
      <c r="Y1426">
        <f t="shared" si="345"/>
        <v>0</v>
      </c>
      <c r="Z1426">
        <f t="shared" si="336"/>
        <v>6</v>
      </c>
      <c r="AA1426">
        <f t="shared" si="337"/>
        <v>7.5</v>
      </c>
      <c r="AB1426">
        <f t="shared" si="338"/>
        <v>4.2857142857142856</v>
      </c>
      <c r="AC1426">
        <f t="shared" si="339"/>
        <v>0</v>
      </c>
      <c r="AD1426" s="1">
        <f t="shared" si="340"/>
        <v>0</v>
      </c>
      <c r="AE1426">
        <f t="shared" si="341"/>
        <v>0</v>
      </c>
      <c r="AF1426">
        <f t="shared" si="342"/>
        <v>0</v>
      </c>
      <c r="AG1426">
        <f t="shared" si="343"/>
        <v>0</v>
      </c>
    </row>
    <row r="1427" spans="1:33" x14ac:dyDescent="0.25">
      <c r="A1427" t="s">
        <v>2375</v>
      </c>
      <c r="B1427" t="s">
        <v>2376</v>
      </c>
      <c r="C1427">
        <v>167100</v>
      </c>
      <c r="D1427">
        <v>167100</v>
      </c>
      <c r="H1427">
        <v>10</v>
      </c>
      <c r="I1427">
        <v>40</v>
      </c>
      <c r="J1427">
        <v>20</v>
      </c>
      <c r="K1427">
        <v>10</v>
      </c>
      <c r="L1427">
        <v>10</v>
      </c>
      <c r="M1427">
        <v>90</v>
      </c>
      <c r="S1427">
        <f t="shared" si="332"/>
        <v>0</v>
      </c>
      <c r="T1427">
        <f t="shared" si="333"/>
        <v>7.5</v>
      </c>
      <c r="U1427">
        <f t="shared" si="331"/>
        <v>1</v>
      </c>
      <c r="V1427">
        <f t="shared" si="334"/>
        <v>0</v>
      </c>
      <c r="W1427">
        <f t="shared" si="335"/>
        <v>1</v>
      </c>
      <c r="X1427">
        <f t="shared" si="344"/>
        <v>0</v>
      </c>
      <c r="Y1427">
        <f t="shared" si="345"/>
        <v>1</v>
      </c>
      <c r="Z1427">
        <f t="shared" si="336"/>
        <v>0</v>
      </c>
      <c r="AA1427">
        <f t="shared" si="337"/>
        <v>0</v>
      </c>
      <c r="AB1427">
        <f t="shared" si="338"/>
        <v>0</v>
      </c>
      <c r="AC1427">
        <f t="shared" si="339"/>
        <v>5</v>
      </c>
      <c r="AD1427" s="1">
        <f t="shared" si="340"/>
        <v>6.666666666666667</v>
      </c>
      <c r="AE1427">
        <f t="shared" si="341"/>
        <v>10</v>
      </c>
      <c r="AF1427">
        <f t="shared" si="342"/>
        <v>10</v>
      </c>
      <c r="AG1427">
        <f t="shared" si="343"/>
        <v>10</v>
      </c>
    </row>
    <row r="1428" spans="1:33" x14ac:dyDescent="0.25">
      <c r="A1428" t="s">
        <v>2377</v>
      </c>
      <c r="B1428" t="s">
        <v>49</v>
      </c>
      <c r="C1428">
        <v>168434</v>
      </c>
      <c r="D1428">
        <v>168434</v>
      </c>
      <c r="E1428">
        <v>50</v>
      </c>
      <c r="F1428">
        <v>30</v>
      </c>
      <c r="G1428">
        <v>30</v>
      </c>
      <c r="O1428">
        <v>110</v>
      </c>
      <c r="S1428">
        <f t="shared" si="332"/>
        <v>6.875</v>
      </c>
      <c r="T1428">
        <f t="shared" si="333"/>
        <v>0</v>
      </c>
      <c r="U1428">
        <f t="shared" si="331"/>
        <v>1</v>
      </c>
      <c r="V1428">
        <f t="shared" si="334"/>
        <v>1</v>
      </c>
      <c r="W1428">
        <f t="shared" si="335"/>
        <v>0</v>
      </c>
      <c r="X1428">
        <f t="shared" si="344"/>
        <v>1</v>
      </c>
      <c r="Y1428">
        <f t="shared" si="345"/>
        <v>0</v>
      </c>
      <c r="Z1428">
        <f t="shared" si="336"/>
        <v>10</v>
      </c>
      <c r="AA1428">
        <f t="shared" si="337"/>
        <v>7.5</v>
      </c>
      <c r="AB1428">
        <f t="shared" si="338"/>
        <v>4.2857142857142856</v>
      </c>
      <c r="AC1428">
        <f t="shared" si="339"/>
        <v>0</v>
      </c>
      <c r="AD1428" s="1">
        <f t="shared" si="340"/>
        <v>0</v>
      </c>
      <c r="AE1428">
        <f t="shared" si="341"/>
        <v>0</v>
      </c>
      <c r="AF1428">
        <f t="shared" si="342"/>
        <v>0</v>
      </c>
      <c r="AG1428">
        <f t="shared" si="343"/>
        <v>0</v>
      </c>
    </row>
    <row r="1429" spans="1:33" x14ac:dyDescent="0.25">
      <c r="A1429" t="s">
        <v>2378</v>
      </c>
      <c r="B1429" t="s">
        <v>2379</v>
      </c>
      <c r="C1429">
        <v>166982</v>
      </c>
      <c r="D1429">
        <v>166982</v>
      </c>
      <c r="S1429">
        <f t="shared" si="332"/>
        <v>0</v>
      </c>
      <c r="T1429">
        <f t="shared" si="333"/>
        <v>0</v>
      </c>
      <c r="U1429">
        <f t="shared" si="331"/>
        <v>0</v>
      </c>
      <c r="V1429">
        <f t="shared" si="334"/>
        <v>0</v>
      </c>
      <c r="W1429">
        <f t="shared" si="335"/>
        <v>0</v>
      </c>
      <c r="X1429">
        <f t="shared" si="344"/>
        <v>0</v>
      </c>
      <c r="Y1429">
        <f t="shared" si="345"/>
        <v>0</v>
      </c>
      <c r="Z1429">
        <f t="shared" si="336"/>
        <v>0</v>
      </c>
      <c r="AA1429">
        <f t="shared" si="337"/>
        <v>0</v>
      </c>
      <c r="AB1429">
        <f t="shared" si="338"/>
        <v>0</v>
      </c>
      <c r="AC1429">
        <f t="shared" si="339"/>
        <v>0</v>
      </c>
      <c r="AD1429" s="1">
        <f t="shared" si="340"/>
        <v>0</v>
      </c>
      <c r="AE1429">
        <f t="shared" si="341"/>
        <v>0</v>
      </c>
      <c r="AF1429">
        <f t="shared" si="342"/>
        <v>0</v>
      </c>
      <c r="AG1429">
        <f t="shared" si="343"/>
        <v>0</v>
      </c>
    </row>
    <row r="1430" spans="1:33" x14ac:dyDescent="0.25">
      <c r="A1430" t="s">
        <v>2380</v>
      </c>
      <c r="B1430" t="s">
        <v>2381</v>
      </c>
      <c r="C1430">
        <v>166954</v>
      </c>
      <c r="D1430">
        <v>166954</v>
      </c>
      <c r="H1430">
        <v>10</v>
      </c>
      <c r="I1430">
        <v>10</v>
      </c>
      <c r="J1430">
        <v>10</v>
      </c>
      <c r="K1430">
        <v>0</v>
      </c>
      <c r="L1430">
        <v>10</v>
      </c>
      <c r="M1430">
        <v>40</v>
      </c>
      <c r="S1430">
        <f t="shared" si="332"/>
        <v>0</v>
      </c>
      <c r="T1430">
        <f t="shared" si="333"/>
        <v>3.3333333333333335</v>
      </c>
      <c r="U1430">
        <f t="shared" si="331"/>
        <v>1</v>
      </c>
      <c r="V1430">
        <f t="shared" si="334"/>
        <v>0</v>
      </c>
      <c r="W1430">
        <f t="shared" si="335"/>
        <v>1</v>
      </c>
      <c r="X1430">
        <f t="shared" si="344"/>
        <v>0</v>
      </c>
      <c r="Y1430">
        <f t="shared" si="345"/>
        <v>0</v>
      </c>
      <c r="Z1430">
        <f t="shared" si="336"/>
        <v>0</v>
      </c>
      <c r="AA1430">
        <f t="shared" si="337"/>
        <v>0</v>
      </c>
      <c r="AB1430">
        <f t="shared" si="338"/>
        <v>0</v>
      </c>
      <c r="AC1430">
        <f t="shared" si="339"/>
        <v>5</v>
      </c>
      <c r="AD1430" s="1">
        <f t="shared" si="340"/>
        <v>1.6666666666666667</v>
      </c>
      <c r="AE1430">
        <f t="shared" si="341"/>
        <v>5</v>
      </c>
      <c r="AF1430">
        <f t="shared" si="342"/>
        <v>0</v>
      </c>
      <c r="AG1430">
        <f t="shared" si="343"/>
        <v>10</v>
      </c>
    </row>
    <row r="1431" spans="1:33" x14ac:dyDescent="0.25">
      <c r="A1431" t="s">
        <v>2382</v>
      </c>
      <c r="B1431" t="s">
        <v>797</v>
      </c>
      <c r="C1431">
        <v>164286</v>
      </c>
      <c r="D1431">
        <v>164286</v>
      </c>
      <c r="E1431">
        <v>30</v>
      </c>
      <c r="F1431">
        <v>20</v>
      </c>
      <c r="G1431">
        <v>20</v>
      </c>
      <c r="O1431">
        <v>70</v>
      </c>
      <c r="S1431">
        <f t="shared" si="332"/>
        <v>4.375</v>
      </c>
      <c r="T1431">
        <f t="shared" si="333"/>
        <v>0</v>
      </c>
      <c r="U1431">
        <f t="shared" si="331"/>
        <v>1</v>
      </c>
      <c r="V1431">
        <f t="shared" si="334"/>
        <v>1</v>
      </c>
      <c r="W1431">
        <f t="shared" si="335"/>
        <v>0</v>
      </c>
      <c r="X1431">
        <f t="shared" si="344"/>
        <v>0</v>
      </c>
      <c r="Y1431">
        <f t="shared" si="345"/>
        <v>0</v>
      </c>
      <c r="Z1431">
        <f t="shared" si="336"/>
        <v>6</v>
      </c>
      <c r="AA1431">
        <f t="shared" si="337"/>
        <v>5</v>
      </c>
      <c r="AB1431">
        <f t="shared" si="338"/>
        <v>2.8571428571428572</v>
      </c>
      <c r="AC1431">
        <f t="shared" si="339"/>
        <v>0</v>
      </c>
      <c r="AD1431" s="1">
        <f t="shared" si="340"/>
        <v>0</v>
      </c>
      <c r="AE1431">
        <f t="shared" si="341"/>
        <v>0</v>
      </c>
      <c r="AF1431">
        <f t="shared" si="342"/>
        <v>0</v>
      </c>
      <c r="AG1431">
        <f t="shared" si="343"/>
        <v>0</v>
      </c>
    </row>
    <row r="1432" spans="1:33" x14ac:dyDescent="0.25">
      <c r="A1432" t="s">
        <v>2383</v>
      </c>
      <c r="B1432" t="s">
        <v>286</v>
      </c>
      <c r="C1432">
        <v>163997</v>
      </c>
      <c r="D1432">
        <v>163997</v>
      </c>
      <c r="S1432">
        <f t="shared" si="332"/>
        <v>0</v>
      </c>
      <c r="T1432">
        <f t="shared" si="333"/>
        <v>0</v>
      </c>
      <c r="U1432">
        <f t="shared" si="331"/>
        <v>0</v>
      </c>
      <c r="V1432">
        <f t="shared" si="334"/>
        <v>0</v>
      </c>
      <c r="W1432">
        <f t="shared" si="335"/>
        <v>0</v>
      </c>
      <c r="X1432">
        <f t="shared" si="344"/>
        <v>0</v>
      </c>
      <c r="Y1432">
        <f t="shared" si="345"/>
        <v>0</v>
      </c>
      <c r="Z1432">
        <f t="shared" si="336"/>
        <v>0</v>
      </c>
      <c r="AA1432">
        <f t="shared" si="337"/>
        <v>0</v>
      </c>
      <c r="AB1432">
        <f t="shared" si="338"/>
        <v>0</v>
      </c>
      <c r="AC1432">
        <f t="shared" si="339"/>
        <v>0</v>
      </c>
      <c r="AD1432" s="1">
        <f t="shared" si="340"/>
        <v>0</v>
      </c>
      <c r="AE1432">
        <f t="shared" si="341"/>
        <v>0</v>
      </c>
      <c r="AF1432">
        <f t="shared" si="342"/>
        <v>0</v>
      </c>
      <c r="AG1432">
        <f t="shared" si="343"/>
        <v>0</v>
      </c>
    </row>
    <row r="1433" spans="1:33" x14ac:dyDescent="0.25">
      <c r="A1433" t="s">
        <v>2384</v>
      </c>
      <c r="B1433" t="s">
        <v>2385</v>
      </c>
      <c r="C1433">
        <v>168350</v>
      </c>
      <c r="D1433">
        <v>168350</v>
      </c>
      <c r="S1433">
        <f t="shared" si="332"/>
        <v>0</v>
      </c>
      <c r="T1433">
        <f t="shared" si="333"/>
        <v>0</v>
      </c>
      <c r="U1433">
        <f t="shared" si="331"/>
        <v>0</v>
      </c>
      <c r="V1433">
        <f t="shared" si="334"/>
        <v>0</v>
      </c>
      <c r="W1433">
        <f t="shared" si="335"/>
        <v>0</v>
      </c>
      <c r="X1433">
        <f t="shared" si="344"/>
        <v>0</v>
      </c>
      <c r="Y1433">
        <f t="shared" si="345"/>
        <v>0</v>
      </c>
      <c r="Z1433">
        <f t="shared" si="336"/>
        <v>0</v>
      </c>
      <c r="AA1433">
        <f t="shared" si="337"/>
        <v>0</v>
      </c>
      <c r="AB1433">
        <f t="shared" si="338"/>
        <v>0</v>
      </c>
      <c r="AC1433">
        <f t="shared" si="339"/>
        <v>0</v>
      </c>
      <c r="AD1433" s="1">
        <f t="shared" si="340"/>
        <v>0</v>
      </c>
      <c r="AE1433">
        <f t="shared" si="341"/>
        <v>0</v>
      </c>
      <c r="AF1433">
        <f t="shared" si="342"/>
        <v>0</v>
      </c>
      <c r="AG1433">
        <f t="shared" si="343"/>
        <v>0</v>
      </c>
    </row>
    <row r="1434" spans="1:33" x14ac:dyDescent="0.25">
      <c r="A1434" t="s">
        <v>2386</v>
      </c>
      <c r="B1434" t="s">
        <v>2387</v>
      </c>
      <c r="C1434">
        <v>167730</v>
      </c>
      <c r="D1434">
        <v>167730</v>
      </c>
      <c r="H1434">
        <v>0</v>
      </c>
      <c r="I1434">
        <v>10</v>
      </c>
      <c r="J1434">
        <v>0</v>
      </c>
      <c r="K1434">
        <v>10</v>
      </c>
      <c r="L1434">
        <v>0</v>
      </c>
      <c r="M1434">
        <v>20</v>
      </c>
      <c r="S1434">
        <f t="shared" si="332"/>
        <v>0</v>
      </c>
      <c r="T1434">
        <f t="shared" si="333"/>
        <v>1.6666666666666667</v>
      </c>
      <c r="U1434">
        <f t="shared" si="331"/>
        <v>1</v>
      </c>
      <c r="V1434">
        <f t="shared" si="334"/>
        <v>0</v>
      </c>
      <c r="W1434">
        <f t="shared" si="335"/>
        <v>1</v>
      </c>
      <c r="X1434">
        <f t="shared" si="344"/>
        <v>0</v>
      </c>
      <c r="Y1434">
        <f t="shared" si="345"/>
        <v>0</v>
      </c>
      <c r="Z1434">
        <f t="shared" si="336"/>
        <v>0</v>
      </c>
      <c r="AA1434">
        <f t="shared" si="337"/>
        <v>0</v>
      </c>
      <c r="AB1434">
        <f t="shared" si="338"/>
        <v>0</v>
      </c>
      <c r="AC1434">
        <f t="shared" si="339"/>
        <v>0</v>
      </c>
      <c r="AD1434" s="1">
        <f t="shared" si="340"/>
        <v>1.6666666666666667</v>
      </c>
      <c r="AE1434">
        <f t="shared" si="341"/>
        <v>0</v>
      </c>
      <c r="AF1434">
        <f t="shared" si="342"/>
        <v>10</v>
      </c>
      <c r="AG1434">
        <f t="shared" si="343"/>
        <v>0</v>
      </c>
    </row>
    <row r="1435" spans="1:33" x14ac:dyDescent="0.25">
      <c r="A1435" t="s">
        <v>2388</v>
      </c>
      <c r="B1435" t="s">
        <v>2389</v>
      </c>
      <c r="C1435">
        <v>167838</v>
      </c>
      <c r="D1435">
        <v>167838</v>
      </c>
      <c r="H1435">
        <v>0</v>
      </c>
      <c r="I1435">
        <v>30</v>
      </c>
      <c r="J1435">
        <v>20</v>
      </c>
      <c r="K1435">
        <v>10</v>
      </c>
      <c r="L1435">
        <v>0</v>
      </c>
      <c r="M1435">
        <v>60</v>
      </c>
      <c r="R1435" t="s">
        <v>20</v>
      </c>
      <c r="S1435">
        <f t="shared" si="332"/>
        <v>0</v>
      </c>
      <c r="T1435">
        <f t="shared" si="333"/>
        <v>5</v>
      </c>
      <c r="U1435">
        <f t="shared" si="331"/>
        <v>1</v>
      </c>
      <c r="V1435">
        <f t="shared" si="334"/>
        <v>0</v>
      </c>
      <c r="W1435">
        <f t="shared" si="335"/>
        <v>1</v>
      </c>
      <c r="X1435">
        <f t="shared" si="344"/>
        <v>0</v>
      </c>
      <c r="Y1435">
        <f t="shared" si="345"/>
        <v>0</v>
      </c>
      <c r="Z1435">
        <f t="shared" si="336"/>
        <v>0</v>
      </c>
      <c r="AA1435">
        <f t="shared" si="337"/>
        <v>0</v>
      </c>
      <c r="AB1435">
        <f t="shared" si="338"/>
        <v>0</v>
      </c>
      <c r="AC1435">
        <f t="shared" si="339"/>
        <v>0</v>
      </c>
      <c r="AD1435" s="1">
        <f t="shared" si="340"/>
        <v>5</v>
      </c>
      <c r="AE1435">
        <f t="shared" si="341"/>
        <v>10</v>
      </c>
      <c r="AF1435">
        <f t="shared" si="342"/>
        <v>10</v>
      </c>
      <c r="AG1435">
        <f t="shared" si="343"/>
        <v>0</v>
      </c>
    </row>
    <row r="1436" spans="1:33" x14ac:dyDescent="0.25">
      <c r="A1436" t="s">
        <v>2390</v>
      </c>
      <c r="B1436" t="s">
        <v>2391</v>
      </c>
      <c r="C1436">
        <v>166349</v>
      </c>
      <c r="D1436">
        <v>166349</v>
      </c>
      <c r="E1436">
        <v>20</v>
      </c>
      <c r="F1436">
        <v>0</v>
      </c>
      <c r="G1436">
        <v>20</v>
      </c>
      <c r="O1436">
        <v>40</v>
      </c>
      <c r="S1436">
        <f t="shared" si="332"/>
        <v>2.5</v>
      </c>
      <c r="T1436">
        <f t="shared" si="333"/>
        <v>0</v>
      </c>
      <c r="U1436">
        <f t="shared" si="331"/>
        <v>1</v>
      </c>
      <c r="V1436">
        <f t="shared" si="334"/>
        <v>1</v>
      </c>
      <c r="W1436">
        <f t="shared" si="335"/>
        <v>0</v>
      </c>
      <c r="X1436">
        <f t="shared" si="344"/>
        <v>0</v>
      </c>
      <c r="Y1436">
        <f t="shared" si="345"/>
        <v>0</v>
      </c>
      <c r="Z1436">
        <f t="shared" si="336"/>
        <v>4</v>
      </c>
      <c r="AA1436">
        <f t="shared" si="337"/>
        <v>0</v>
      </c>
      <c r="AB1436">
        <f t="shared" si="338"/>
        <v>2.8571428571428572</v>
      </c>
      <c r="AC1436">
        <f t="shared" si="339"/>
        <v>0</v>
      </c>
      <c r="AD1436" s="1">
        <f t="shared" si="340"/>
        <v>0</v>
      </c>
      <c r="AE1436">
        <f t="shared" si="341"/>
        <v>0</v>
      </c>
      <c r="AF1436">
        <f t="shared" si="342"/>
        <v>0</v>
      </c>
      <c r="AG1436">
        <f t="shared" si="343"/>
        <v>0</v>
      </c>
    </row>
    <row r="1437" spans="1:33" x14ac:dyDescent="0.25">
      <c r="A1437" t="s">
        <v>2392</v>
      </c>
      <c r="B1437" t="s">
        <v>2393</v>
      </c>
      <c r="C1437">
        <v>166930</v>
      </c>
      <c r="D1437">
        <v>166930</v>
      </c>
      <c r="H1437">
        <v>20</v>
      </c>
      <c r="I1437">
        <v>50</v>
      </c>
      <c r="J1437">
        <v>20</v>
      </c>
      <c r="K1437">
        <v>10</v>
      </c>
      <c r="L1437">
        <v>0</v>
      </c>
      <c r="M1437">
        <v>100</v>
      </c>
      <c r="S1437">
        <f t="shared" si="332"/>
        <v>0</v>
      </c>
      <c r="T1437">
        <f t="shared" si="333"/>
        <v>8.3333333333333339</v>
      </c>
      <c r="U1437">
        <f t="shared" si="331"/>
        <v>1</v>
      </c>
      <c r="V1437">
        <f t="shared" si="334"/>
        <v>0</v>
      </c>
      <c r="W1437">
        <f t="shared" si="335"/>
        <v>1</v>
      </c>
      <c r="X1437">
        <f t="shared" si="344"/>
        <v>0</v>
      </c>
      <c r="Y1437">
        <f t="shared" si="345"/>
        <v>1</v>
      </c>
      <c r="Z1437">
        <f t="shared" si="336"/>
        <v>0</v>
      </c>
      <c r="AA1437">
        <f t="shared" si="337"/>
        <v>0</v>
      </c>
      <c r="AB1437">
        <f t="shared" si="338"/>
        <v>0</v>
      </c>
      <c r="AC1437">
        <f t="shared" si="339"/>
        <v>10</v>
      </c>
      <c r="AD1437" s="1">
        <f t="shared" si="340"/>
        <v>8.3333333333333339</v>
      </c>
      <c r="AE1437">
        <f t="shared" si="341"/>
        <v>10</v>
      </c>
      <c r="AF1437">
        <f t="shared" si="342"/>
        <v>10</v>
      </c>
      <c r="AG1437">
        <f t="shared" si="343"/>
        <v>0</v>
      </c>
    </row>
    <row r="1438" spans="1:33" x14ac:dyDescent="0.25">
      <c r="A1438" t="s">
        <v>2394</v>
      </c>
      <c r="B1438" t="s">
        <v>674</v>
      </c>
      <c r="C1438">
        <v>165964</v>
      </c>
      <c r="D1438">
        <v>165964</v>
      </c>
      <c r="E1438">
        <v>50</v>
      </c>
      <c r="F1438">
        <v>40</v>
      </c>
      <c r="G1438">
        <v>50</v>
      </c>
      <c r="O1438">
        <v>140</v>
      </c>
      <c r="S1438">
        <f t="shared" si="332"/>
        <v>8.75</v>
      </c>
      <c r="T1438">
        <f t="shared" si="333"/>
        <v>0</v>
      </c>
      <c r="U1438">
        <f t="shared" si="331"/>
        <v>1</v>
      </c>
      <c r="V1438">
        <f t="shared" si="334"/>
        <v>1</v>
      </c>
      <c r="W1438">
        <f t="shared" si="335"/>
        <v>0</v>
      </c>
      <c r="X1438">
        <f t="shared" si="344"/>
        <v>1</v>
      </c>
      <c r="Y1438">
        <f t="shared" si="345"/>
        <v>0</v>
      </c>
      <c r="Z1438">
        <f t="shared" si="336"/>
        <v>10</v>
      </c>
      <c r="AA1438">
        <f t="shared" si="337"/>
        <v>10</v>
      </c>
      <c r="AB1438">
        <f t="shared" si="338"/>
        <v>7.1428571428571432</v>
      </c>
      <c r="AC1438">
        <f t="shared" si="339"/>
        <v>0</v>
      </c>
      <c r="AD1438" s="1">
        <f t="shared" si="340"/>
        <v>0</v>
      </c>
      <c r="AE1438">
        <f t="shared" si="341"/>
        <v>0</v>
      </c>
      <c r="AF1438">
        <f t="shared" si="342"/>
        <v>0</v>
      </c>
      <c r="AG1438">
        <f t="shared" si="343"/>
        <v>0</v>
      </c>
    </row>
    <row r="1439" spans="1:33" x14ac:dyDescent="0.25">
      <c r="A1439" t="s">
        <v>2395</v>
      </c>
      <c r="B1439" t="s">
        <v>1541</v>
      </c>
      <c r="C1439">
        <v>163182</v>
      </c>
      <c r="D1439">
        <v>163182</v>
      </c>
      <c r="S1439">
        <f t="shared" si="332"/>
        <v>0</v>
      </c>
      <c r="T1439">
        <f t="shared" si="333"/>
        <v>0</v>
      </c>
      <c r="U1439">
        <f t="shared" si="331"/>
        <v>0</v>
      </c>
      <c r="V1439">
        <f t="shared" si="334"/>
        <v>0</v>
      </c>
      <c r="W1439">
        <f t="shared" si="335"/>
        <v>0</v>
      </c>
      <c r="X1439">
        <f t="shared" si="344"/>
        <v>0</v>
      </c>
      <c r="Y1439">
        <f t="shared" si="345"/>
        <v>0</v>
      </c>
      <c r="Z1439">
        <f t="shared" si="336"/>
        <v>0</v>
      </c>
      <c r="AA1439">
        <f t="shared" si="337"/>
        <v>0</v>
      </c>
      <c r="AB1439">
        <f t="shared" si="338"/>
        <v>0</v>
      </c>
      <c r="AC1439">
        <f t="shared" si="339"/>
        <v>0</v>
      </c>
      <c r="AD1439" s="1">
        <f t="shared" si="340"/>
        <v>0</v>
      </c>
      <c r="AE1439">
        <f t="shared" si="341"/>
        <v>0</v>
      </c>
      <c r="AF1439">
        <f t="shared" si="342"/>
        <v>0</v>
      </c>
      <c r="AG1439">
        <f t="shared" si="343"/>
        <v>0</v>
      </c>
    </row>
    <row r="1440" spans="1:33" x14ac:dyDescent="0.25">
      <c r="A1440" t="s">
        <v>2396</v>
      </c>
      <c r="B1440" t="s">
        <v>2397</v>
      </c>
      <c r="C1440">
        <v>167246</v>
      </c>
      <c r="D1440">
        <v>167246</v>
      </c>
      <c r="E1440">
        <v>30</v>
      </c>
      <c r="F1440">
        <v>30</v>
      </c>
      <c r="G1440">
        <v>30</v>
      </c>
      <c r="O1440">
        <v>90</v>
      </c>
      <c r="S1440">
        <f t="shared" si="332"/>
        <v>5.625</v>
      </c>
      <c r="T1440">
        <f t="shared" si="333"/>
        <v>0</v>
      </c>
      <c r="U1440">
        <f t="shared" si="331"/>
        <v>1</v>
      </c>
      <c r="V1440">
        <f t="shared" si="334"/>
        <v>1</v>
      </c>
      <c r="W1440">
        <f t="shared" si="335"/>
        <v>0</v>
      </c>
      <c r="X1440">
        <f t="shared" si="344"/>
        <v>0</v>
      </c>
      <c r="Y1440">
        <f t="shared" si="345"/>
        <v>0</v>
      </c>
      <c r="Z1440">
        <f t="shared" si="336"/>
        <v>6</v>
      </c>
      <c r="AA1440">
        <f t="shared" si="337"/>
        <v>7.5</v>
      </c>
      <c r="AB1440">
        <f t="shared" si="338"/>
        <v>4.2857142857142856</v>
      </c>
      <c r="AC1440">
        <f t="shared" si="339"/>
        <v>0</v>
      </c>
      <c r="AD1440" s="1">
        <f t="shared" si="340"/>
        <v>0</v>
      </c>
      <c r="AE1440">
        <f t="shared" si="341"/>
        <v>0</v>
      </c>
      <c r="AF1440">
        <f t="shared" si="342"/>
        <v>0</v>
      </c>
      <c r="AG1440">
        <f t="shared" si="343"/>
        <v>0</v>
      </c>
    </row>
    <row r="1441" spans="1:33" x14ac:dyDescent="0.25">
      <c r="A1441" t="s">
        <v>2398</v>
      </c>
      <c r="B1441" t="s">
        <v>2399</v>
      </c>
      <c r="C1441">
        <v>168793</v>
      </c>
      <c r="D1441">
        <v>168793</v>
      </c>
      <c r="H1441">
        <v>0</v>
      </c>
      <c r="I1441">
        <v>30</v>
      </c>
      <c r="J1441">
        <v>20</v>
      </c>
      <c r="K1441">
        <v>10</v>
      </c>
      <c r="L1441">
        <v>0</v>
      </c>
      <c r="M1441">
        <v>60</v>
      </c>
      <c r="S1441">
        <f t="shared" si="332"/>
        <v>0</v>
      </c>
      <c r="T1441">
        <f t="shared" si="333"/>
        <v>5</v>
      </c>
      <c r="U1441">
        <f t="shared" si="331"/>
        <v>1</v>
      </c>
      <c r="V1441">
        <f t="shared" si="334"/>
        <v>0</v>
      </c>
      <c r="W1441">
        <f t="shared" si="335"/>
        <v>1</v>
      </c>
      <c r="X1441">
        <f t="shared" si="344"/>
        <v>0</v>
      </c>
      <c r="Y1441">
        <f t="shared" si="345"/>
        <v>0</v>
      </c>
      <c r="Z1441">
        <f t="shared" si="336"/>
        <v>0</v>
      </c>
      <c r="AA1441">
        <f t="shared" si="337"/>
        <v>0</v>
      </c>
      <c r="AB1441">
        <f t="shared" si="338"/>
        <v>0</v>
      </c>
      <c r="AC1441">
        <f t="shared" si="339"/>
        <v>0</v>
      </c>
      <c r="AD1441" s="1">
        <f t="shared" si="340"/>
        <v>5</v>
      </c>
      <c r="AE1441">
        <f t="shared" si="341"/>
        <v>10</v>
      </c>
      <c r="AF1441">
        <f t="shared" si="342"/>
        <v>10</v>
      </c>
      <c r="AG1441">
        <f t="shared" si="343"/>
        <v>0</v>
      </c>
    </row>
    <row r="1442" spans="1:33" x14ac:dyDescent="0.25">
      <c r="A1442" t="s">
        <v>2400</v>
      </c>
      <c r="B1442" t="s">
        <v>367</v>
      </c>
      <c r="C1442">
        <v>167321</v>
      </c>
      <c r="D1442">
        <v>167321</v>
      </c>
      <c r="E1442">
        <v>10</v>
      </c>
      <c r="F1442">
        <v>20</v>
      </c>
      <c r="G1442">
        <v>10</v>
      </c>
      <c r="O1442">
        <v>40</v>
      </c>
      <c r="S1442">
        <f t="shared" si="332"/>
        <v>2.5</v>
      </c>
      <c r="T1442">
        <f t="shared" si="333"/>
        <v>0</v>
      </c>
      <c r="U1442">
        <f t="shared" si="331"/>
        <v>1</v>
      </c>
      <c r="V1442">
        <f t="shared" si="334"/>
        <v>1</v>
      </c>
      <c r="W1442">
        <f t="shared" si="335"/>
        <v>0</v>
      </c>
      <c r="X1442">
        <f t="shared" si="344"/>
        <v>0</v>
      </c>
      <c r="Y1442">
        <f t="shared" si="345"/>
        <v>0</v>
      </c>
      <c r="Z1442">
        <f t="shared" si="336"/>
        <v>2</v>
      </c>
      <c r="AA1442">
        <f t="shared" si="337"/>
        <v>5</v>
      </c>
      <c r="AB1442">
        <f t="shared" si="338"/>
        <v>1.4285714285714286</v>
      </c>
      <c r="AC1442">
        <f t="shared" si="339"/>
        <v>0</v>
      </c>
      <c r="AD1442" s="1">
        <f t="shared" si="340"/>
        <v>0</v>
      </c>
      <c r="AE1442">
        <f t="shared" si="341"/>
        <v>0</v>
      </c>
      <c r="AF1442">
        <f t="shared" si="342"/>
        <v>0</v>
      </c>
      <c r="AG1442">
        <f t="shared" si="343"/>
        <v>0</v>
      </c>
    </row>
    <row r="1443" spans="1:33" x14ac:dyDescent="0.25">
      <c r="A1443" t="s">
        <v>2401</v>
      </c>
      <c r="B1443" t="s">
        <v>130</v>
      </c>
      <c r="C1443">
        <v>162505</v>
      </c>
      <c r="D1443">
        <v>162505</v>
      </c>
      <c r="E1443">
        <v>30</v>
      </c>
      <c r="F1443">
        <v>30</v>
      </c>
      <c r="G1443">
        <v>10</v>
      </c>
      <c r="O1443">
        <v>70</v>
      </c>
      <c r="S1443">
        <f t="shared" si="332"/>
        <v>4.375</v>
      </c>
      <c r="T1443">
        <f t="shared" si="333"/>
        <v>0</v>
      </c>
      <c r="U1443">
        <f t="shared" si="331"/>
        <v>1</v>
      </c>
      <c r="V1443">
        <f t="shared" si="334"/>
        <v>1</v>
      </c>
      <c r="W1443">
        <f t="shared" si="335"/>
        <v>0</v>
      </c>
      <c r="X1443">
        <f t="shared" si="344"/>
        <v>0</v>
      </c>
      <c r="Y1443">
        <f t="shared" si="345"/>
        <v>0</v>
      </c>
      <c r="Z1443">
        <f t="shared" si="336"/>
        <v>6</v>
      </c>
      <c r="AA1443">
        <f t="shared" si="337"/>
        <v>7.5</v>
      </c>
      <c r="AB1443">
        <f t="shared" si="338"/>
        <v>1.4285714285714286</v>
      </c>
      <c r="AC1443">
        <f t="shared" si="339"/>
        <v>0</v>
      </c>
      <c r="AD1443" s="1">
        <f t="shared" si="340"/>
        <v>0</v>
      </c>
      <c r="AE1443">
        <f t="shared" si="341"/>
        <v>0</v>
      </c>
      <c r="AF1443">
        <f t="shared" si="342"/>
        <v>0</v>
      </c>
      <c r="AG1443">
        <f t="shared" si="343"/>
        <v>0</v>
      </c>
    </row>
    <row r="1444" spans="1:33" x14ac:dyDescent="0.25">
      <c r="A1444" t="s">
        <v>2402</v>
      </c>
      <c r="B1444" t="s">
        <v>2403</v>
      </c>
      <c r="C1444">
        <v>161963</v>
      </c>
      <c r="D1444">
        <v>161963</v>
      </c>
      <c r="H1444">
        <v>20</v>
      </c>
      <c r="I1444">
        <v>10</v>
      </c>
      <c r="J1444">
        <v>10</v>
      </c>
      <c r="K1444">
        <v>10</v>
      </c>
      <c r="L1444">
        <v>10</v>
      </c>
      <c r="M1444">
        <v>60</v>
      </c>
      <c r="S1444">
        <f t="shared" si="332"/>
        <v>0</v>
      </c>
      <c r="T1444">
        <f t="shared" si="333"/>
        <v>5</v>
      </c>
      <c r="U1444">
        <f t="shared" si="331"/>
        <v>1</v>
      </c>
      <c r="V1444">
        <f t="shared" si="334"/>
        <v>0</v>
      </c>
      <c r="W1444">
        <f t="shared" si="335"/>
        <v>1</v>
      </c>
      <c r="X1444">
        <f t="shared" si="344"/>
        <v>0</v>
      </c>
      <c r="Y1444">
        <f t="shared" si="345"/>
        <v>0</v>
      </c>
      <c r="Z1444">
        <f t="shared" si="336"/>
        <v>0</v>
      </c>
      <c r="AA1444">
        <f t="shared" si="337"/>
        <v>0</v>
      </c>
      <c r="AB1444">
        <f t="shared" si="338"/>
        <v>0</v>
      </c>
      <c r="AC1444">
        <f t="shared" si="339"/>
        <v>10</v>
      </c>
      <c r="AD1444" s="1">
        <f t="shared" si="340"/>
        <v>1.6666666666666667</v>
      </c>
      <c r="AE1444">
        <f t="shared" si="341"/>
        <v>5</v>
      </c>
      <c r="AF1444">
        <f t="shared" si="342"/>
        <v>10</v>
      </c>
      <c r="AG1444">
        <f t="shared" si="343"/>
        <v>10</v>
      </c>
    </row>
    <row r="1445" spans="1:33" x14ac:dyDescent="0.25">
      <c r="A1445" t="s">
        <v>2404</v>
      </c>
      <c r="B1445" t="s">
        <v>797</v>
      </c>
      <c r="C1445">
        <v>165661</v>
      </c>
      <c r="D1445">
        <v>165661</v>
      </c>
      <c r="E1445">
        <v>30</v>
      </c>
      <c r="F1445">
        <v>40</v>
      </c>
      <c r="G1445">
        <v>30</v>
      </c>
      <c r="O1445">
        <v>100</v>
      </c>
      <c r="S1445">
        <f t="shared" si="332"/>
        <v>6.25</v>
      </c>
      <c r="T1445">
        <f t="shared" si="333"/>
        <v>0</v>
      </c>
      <c r="U1445">
        <f t="shared" si="331"/>
        <v>1</v>
      </c>
      <c r="V1445">
        <f t="shared" si="334"/>
        <v>1</v>
      </c>
      <c r="W1445">
        <f t="shared" si="335"/>
        <v>0</v>
      </c>
      <c r="X1445">
        <f t="shared" si="344"/>
        <v>1</v>
      </c>
      <c r="Y1445">
        <f t="shared" si="345"/>
        <v>0</v>
      </c>
      <c r="Z1445">
        <f t="shared" si="336"/>
        <v>6</v>
      </c>
      <c r="AA1445">
        <f t="shared" si="337"/>
        <v>10</v>
      </c>
      <c r="AB1445">
        <f t="shared" si="338"/>
        <v>4.2857142857142856</v>
      </c>
      <c r="AC1445">
        <f t="shared" si="339"/>
        <v>0</v>
      </c>
      <c r="AD1445" s="1">
        <f t="shared" si="340"/>
        <v>0</v>
      </c>
      <c r="AE1445">
        <f t="shared" si="341"/>
        <v>0</v>
      </c>
      <c r="AF1445">
        <f t="shared" si="342"/>
        <v>0</v>
      </c>
      <c r="AG1445">
        <f t="shared" si="343"/>
        <v>0</v>
      </c>
    </row>
    <row r="1446" spans="1:33" x14ac:dyDescent="0.25">
      <c r="A1446" t="s">
        <v>2405</v>
      </c>
      <c r="B1446" t="s">
        <v>2406</v>
      </c>
      <c r="C1446">
        <v>163269</v>
      </c>
      <c r="D1446">
        <v>163269</v>
      </c>
      <c r="S1446">
        <f t="shared" si="332"/>
        <v>0</v>
      </c>
      <c r="T1446">
        <f t="shared" si="333"/>
        <v>0</v>
      </c>
      <c r="U1446">
        <f t="shared" si="331"/>
        <v>0</v>
      </c>
      <c r="V1446">
        <f t="shared" si="334"/>
        <v>0</v>
      </c>
      <c r="W1446">
        <f t="shared" si="335"/>
        <v>0</v>
      </c>
      <c r="X1446">
        <f t="shared" si="344"/>
        <v>0</v>
      </c>
      <c r="Y1446">
        <f t="shared" si="345"/>
        <v>0</v>
      </c>
      <c r="Z1446">
        <f t="shared" si="336"/>
        <v>0</v>
      </c>
      <c r="AA1446">
        <f t="shared" si="337"/>
        <v>0</v>
      </c>
      <c r="AB1446">
        <f t="shared" si="338"/>
        <v>0</v>
      </c>
      <c r="AC1446">
        <f t="shared" si="339"/>
        <v>0</v>
      </c>
      <c r="AD1446" s="1">
        <f t="shared" si="340"/>
        <v>0</v>
      </c>
      <c r="AE1446">
        <f t="shared" si="341"/>
        <v>0</v>
      </c>
      <c r="AF1446">
        <f t="shared" si="342"/>
        <v>0</v>
      </c>
      <c r="AG1446">
        <f t="shared" si="343"/>
        <v>0</v>
      </c>
    </row>
    <row r="1447" spans="1:33" x14ac:dyDescent="0.25">
      <c r="A1447" t="s">
        <v>2407</v>
      </c>
      <c r="B1447" t="s">
        <v>59</v>
      </c>
      <c r="C1447">
        <v>168232</v>
      </c>
      <c r="D1447">
        <v>168232</v>
      </c>
      <c r="S1447">
        <f t="shared" si="332"/>
        <v>0</v>
      </c>
      <c r="T1447">
        <f t="shared" si="333"/>
        <v>0</v>
      </c>
      <c r="U1447">
        <f t="shared" si="331"/>
        <v>0</v>
      </c>
      <c r="V1447">
        <f t="shared" si="334"/>
        <v>0</v>
      </c>
      <c r="W1447">
        <f t="shared" si="335"/>
        <v>0</v>
      </c>
      <c r="X1447">
        <f t="shared" si="344"/>
        <v>0</v>
      </c>
      <c r="Y1447">
        <f t="shared" si="345"/>
        <v>0</v>
      </c>
      <c r="Z1447">
        <f t="shared" si="336"/>
        <v>0</v>
      </c>
      <c r="AA1447">
        <f t="shared" si="337"/>
        <v>0</v>
      </c>
      <c r="AB1447">
        <f t="shared" si="338"/>
        <v>0</v>
      </c>
      <c r="AC1447">
        <f t="shared" si="339"/>
        <v>0</v>
      </c>
      <c r="AD1447" s="1">
        <f t="shared" si="340"/>
        <v>0</v>
      </c>
      <c r="AE1447">
        <f t="shared" si="341"/>
        <v>0</v>
      </c>
      <c r="AF1447">
        <f t="shared" si="342"/>
        <v>0</v>
      </c>
      <c r="AG1447">
        <f t="shared" si="343"/>
        <v>0</v>
      </c>
    </row>
    <row r="1448" spans="1:33" x14ac:dyDescent="0.25">
      <c r="A1448" t="s">
        <v>2408</v>
      </c>
      <c r="B1448" t="s">
        <v>2409</v>
      </c>
      <c r="C1448">
        <v>165392</v>
      </c>
      <c r="D1448">
        <v>165392</v>
      </c>
      <c r="E1448">
        <v>10</v>
      </c>
      <c r="F1448">
        <v>20</v>
      </c>
      <c r="G1448">
        <v>20</v>
      </c>
      <c r="O1448">
        <v>50</v>
      </c>
      <c r="S1448">
        <f t="shared" si="332"/>
        <v>3.125</v>
      </c>
      <c r="T1448">
        <f t="shared" si="333"/>
        <v>0</v>
      </c>
      <c r="U1448">
        <f t="shared" si="331"/>
        <v>1</v>
      </c>
      <c r="V1448">
        <f t="shared" si="334"/>
        <v>1</v>
      </c>
      <c r="W1448">
        <f t="shared" si="335"/>
        <v>0</v>
      </c>
      <c r="X1448">
        <f t="shared" si="344"/>
        <v>0</v>
      </c>
      <c r="Y1448">
        <f t="shared" si="345"/>
        <v>0</v>
      </c>
      <c r="Z1448">
        <f t="shared" si="336"/>
        <v>2</v>
      </c>
      <c r="AA1448">
        <f t="shared" si="337"/>
        <v>5</v>
      </c>
      <c r="AB1448">
        <f t="shared" si="338"/>
        <v>2.8571428571428572</v>
      </c>
      <c r="AC1448">
        <f t="shared" si="339"/>
        <v>0</v>
      </c>
      <c r="AD1448" s="1">
        <f t="shared" si="340"/>
        <v>0</v>
      </c>
      <c r="AE1448">
        <f t="shared" si="341"/>
        <v>0</v>
      </c>
      <c r="AF1448">
        <f t="shared" si="342"/>
        <v>0</v>
      </c>
      <c r="AG1448">
        <f t="shared" si="343"/>
        <v>0</v>
      </c>
    </row>
    <row r="1449" spans="1:33" x14ac:dyDescent="0.25">
      <c r="A1449" t="s">
        <v>2410</v>
      </c>
      <c r="B1449" t="s">
        <v>529</v>
      </c>
      <c r="C1449">
        <v>166735</v>
      </c>
      <c r="D1449">
        <v>166735</v>
      </c>
      <c r="E1449">
        <v>50</v>
      </c>
      <c r="F1449">
        <v>20</v>
      </c>
      <c r="G1449">
        <v>50</v>
      </c>
      <c r="O1449">
        <v>120</v>
      </c>
      <c r="S1449">
        <f t="shared" si="332"/>
        <v>7.5</v>
      </c>
      <c r="T1449">
        <f t="shared" si="333"/>
        <v>0</v>
      </c>
      <c r="U1449">
        <f t="shared" si="331"/>
        <v>1</v>
      </c>
      <c r="V1449">
        <f t="shared" si="334"/>
        <v>1</v>
      </c>
      <c r="W1449">
        <f t="shared" si="335"/>
        <v>0</v>
      </c>
      <c r="X1449">
        <f t="shared" si="344"/>
        <v>1</v>
      </c>
      <c r="Y1449">
        <f t="shared" si="345"/>
        <v>0</v>
      </c>
      <c r="Z1449">
        <f t="shared" si="336"/>
        <v>10</v>
      </c>
      <c r="AA1449">
        <f t="shared" si="337"/>
        <v>5</v>
      </c>
      <c r="AB1449">
        <f t="shared" si="338"/>
        <v>7.1428571428571432</v>
      </c>
      <c r="AC1449">
        <f t="shared" si="339"/>
        <v>0</v>
      </c>
      <c r="AD1449" s="1">
        <f t="shared" si="340"/>
        <v>0</v>
      </c>
      <c r="AE1449">
        <f t="shared" si="341"/>
        <v>0</v>
      </c>
      <c r="AF1449">
        <f t="shared" si="342"/>
        <v>0</v>
      </c>
      <c r="AG1449">
        <f t="shared" si="343"/>
        <v>0</v>
      </c>
    </row>
    <row r="1450" spans="1:33" x14ac:dyDescent="0.25">
      <c r="A1450" t="s">
        <v>2411</v>
      </c>
      <c r="B1450" t="s">
        <v>2412</v>
      </c>
      <c r="C1450">
        <v>165597</v>
      </c>
      <c r="D1450">
        <v>165597</v>
      </c>
      <c r="H1450">
        <v>20</v>
      </c>
      <c r="I1450">
        <v>50</v>
      </c>
      <c r="J1450">
        <v>10</v>
      </c>
      <c r="K1450">
        <v>10</v>
      </c>
      <c r="L1450">
        <v>10</v>
      </c>
      <c r="M1450">
        <v>100</v>
      </c>
      <c r="S1450">
        <f t="shared" si="332"/>
        <v>0</v>
      </c>
      <c r="T1450">
        <f t="shared" si="333"/>
        <v>8.3333333333333339</v>
      </c>
      <c r="U1450">
        <f t="shared" si="331"/>
        <v>1</v>
      </c>
      <c r="V1450">
        <f t="shared" si="334"/>
        <v>0</v>
      </c>
      <c r="W1450">
        <f t="shared" si="335"/>
        <v>1</v>
      </c>
      <c r="X1450">
        <f t="shared" si="344"/>
        <v>0</v>
      </c>
      <c r="Y1450">
        <f t="shared" si="345"/>
        <v>1</v>
      </c>
      <c r="Z1450">
        <f t="shared" si="336"/>
        <v>0</v>
      </c>
      <c r="AA1450">
        <f t="shared" si="337"/>
        <v>0</v>
      </c>
      <c r="AB1450">
        <f t="shared" si="338"/>
        <v>0</v>
      </c>
      <c r="AC1450">
        <f t="shared" si="339"/>
        <v>10</v>
      </c>
      <c r="AD1450" s="1">
        <f t="shared" si="340"/>
        <v>8.3333333333333339</v>
      </c>
      <c r="AE1450">
        <f t="shared" si="341"/>
        <v>5</v>
      </c>
      <c r="AF1450">
        <f t="shared" si="342"/>
        <v>10</v>
      </c>
      <c r="AG1450">
        <f t="shared" si="343"/>
        <v>10</v>
      </c>
    </row>
    <row r="1451" spans="1:33" x14ac:dyDescent="0.25">
      <c r="A1451" t="s">
        <v>2413</v>
      </c>
      <c r="B1451" t="s">
        <v>1219</v>
      </c>
      <c r="C1451">
        <v>164246</v>
      </c>
      <c r="D1451">
        <v>164246</v>
      </c>
      <c r="S1451">
        <f t="shared" si="332"/>
        <v>0</v>
      </c>
      <c r="T1451">
        <f t="shared" si="333"/>
        <v>0</v>
      </c>
      <c r="U1451">
        <f t="shared" si="331"/>
        <v>0</v>
      </c>
      <c r="V1451">
        <f t="shared" si="334"/>
        <v>0</v>
      </c>
      <c r="W1451">
        <f t="shared" si="335"/>
        <v>0</v>
      </c>
      <c r="X1451">
        <f t="shared" si="344"/>
        <v>0</v>
      </c>
      <c r="Y1451">
        <f t="shared" si="345"/>
        <v>0</v>
      </c>
      <c r="Z1451">
        <f t="shared" si="336"/>
        <v>0</v>
      </c>
      <c r="AA1451">
        <f t="shared" si="337"/>
        <v>0</v>
      </c>
      <c r="AB1451">
        <f t="shared" si="338"/>
        <v>0</v>
      </c>
      <c r="AC1451">
        <f t="shared" si="339"/>
        <v>0</v>
      </c>
      <c r="AD1451" s="1">
        <f t="shared" si="340"/>
        <v>0</v>
      </c>
      <c r="AE1451">
        <f t="shared" si="341"/>
        <v>0</v>
      </c>
      <c r="AF1451">
        <f t="shared" si="342"/>
        <v>0</v>
      </c>
      <c r="AG1451">
        <f t="shared" si="343"/>
        <v>0</v>
      </c>
    </row>
    <row r="1452" spans="1:33" x14ac:dyDescent="0.25">
      <c r="A1452" t="s">
        <v>2414</v>
      </c>
      <c r="B1452" t="s">
        <v>2415</v>
      </c>
      <c r="C1452">
        <v>168263</v>
      </c>
      <c r="D1452">
        <v>168263</v>
      </c>
      <c r="S1452">
        <f t="shared" si="332"/>
        <v>0</v>
      </c>
      <c r="T1452">
        <f t="shared" si="333"/>
        <v>0</v>
      </c>
      <c r="U1452">
        <f t="shared" si="331"/>
        <v>0</v>
      </c>
      <c r="V1452">
        <f t="shared" si="334"/>
        <v>0</v>
      </c>
      <c r="W1452">
        <f t="shared" si="335"/>
        <v>0</v>
      </c>
      <c r="X1452">
        <f t="shared" si="344"/>
        <v>0</v>
      </c>
      <c r="Y1452">
        <f t="shared" si="345"/>
        <v>0</v>
      </c>
      <c r="Z1452">
        <f t="shared" si="336"/>
        <v>0</v>
      </c>
      <c r="AA1452">
        <f t="shared" si="337"/>
        <v>0</v>
      </c>
      <c r="AB1452">
        <f t="shared" si="338"/>
        <v>0</v>
      </c>
      <c r="AC1452">
        <f t="shared" si="339"/>
        <v>0</v>
      </c>
      <c r="AD1452" s="1">
        <f t="shared" si="340"/>
        <v>0</v>
      </c>
      <c r="AE1452">
        <f t="shared" si="341"/>
        <v>0</v>
      </c>
      <c r="AF1452">
        <f t="shared" si="342"/>
        <v>0</v>
      </c>
      <c r="AG1452">
        <f t="shared" si="343"/>
        <v>0</v>
      </c>
    </row>
    <row r="1453" spans="1:33" x14ac:dyDescent="0.25">
      <c r="A1453" t="s">
        <v>2416</v>
      </c>
      <c r="B1453" t="s">
        <v>944</v>
      </c>
      <c r="C1453">
        <v>162566</v>
      </c>
      <c r="D1453">
        <v>162566</v>
      </c>
      <c r="S1453">
        <f t="shared" si="332"/>
        <v>0</v>
      </c>
      <c r="T1453">
        <f t="shared" si="333"/>
        <v>0</v>
      </c>
      <c r="U1453">
        <f t="shared" si="331"/>
        <v>0</v>
      </c>
      <c r="V1453">
        <f t="shared" si="334"/>
        <v>0</v>
      </c>
      <c r="W1453">
        <f t="shared" si="335"/>
        <v>0</v>
      </c>
      <c r="X1453">
        <f t="shared" si="344"/>
        <v>0</v>
      </c>
      <c r="Y1453">
        <f t="shared" si="345"/>
        <v>0</v>
      </c>
      <c r="Z1453">
        <f t="shared" si="336"/>
        <v>0</v>
      </c>
      <c r="AA1453">
        <f t="shared" si="337"/>
        <v>0</v>
      </c>
      <c r="AB1453">
        <f t="shared" si="338"/>
        <v>0</v>
      </c>
      <c r="AC1453">
        <f t="shared" si="339"/>
        <v>0</v>
      </c>
      <c r="AD1453" s="1">
        <f t="shared" si="340"/>
        <v>0</v>
      </c>
      <c r="AE1453">
        <f t="shared" si="341"/>
        <v>0</v>
      </c>
      <c r="AF1453">
        <f t="shared" si="342"/>
        <v>0</v>
      </c>
      <c r="AG1453">
        <f t="shared" si="343"/>
        <v>0</v>
      </c>
    </row>
    <row r="1454" spans="1:33" x14ac:dyDescent="0.25">
      <c r="A1454" t="s">
        <v>2417</v>
      </c>
      <c r="B1454" t="s">
        <v>2418</v>
      </c>
      <c r="C1454">
        <v>165371</v>
      </c>
      <c r="D1454">
        <v>165371</v>
      </c>
      <c r="S1454">
        <f t="shared" si="332"/>
        <v>0</v>
      </c>
      <c r="T1454">
        <f t="shared" si="333"/>
        <v>0</v>
      </c>
      <c r="U1454">
        <f t="shared" si="331"/>
        <v>0</v>
      </c>
      <c r="V1454">
        <f t="shared" si="334"/>
        <v>0</v>
      </c>
      <c r="W1454">
        <f t="shared" si="335"/>
        <v>0</v>
      </c>
      <c r="X1454">
        <f t="shared" si="344"/>
        <v>0</v>
      </c>
      <c r="Y1454">
        <f t="shared" si="345"/>
        <v>0</v>
      </c>
      <c r="Z1454">
        <f t="shared" si="336"/>
        <v>0</v>
      </c>
      <c r="AA1454">
        <f t="shared" si="337"/>
        <v>0</v>
      </c>
      <c r="AB1454">
        <f t="shared" si="338"/>
        <v>0</v>
      </c>
      <c r="AC1454">
        <f t="shared" si="339"/>
        <v>0</v>
      </c>
      <c r="AD1454" s="1">
        <f t="shared" si="340"/>
        <v>0</v>
      </c>
      <c r="AE1454">
        <f t="shared" si="341"/>
        <v>0</v>
      </c>
      <c r="AF1454">
        <f t="shared" si="342"/>
        <v>0</v>
      </c>
      <c r="AG1454">
        <f t="shared" si="343"/>
        <v>0</v>
      </c>
    </row>
    <row r="1455" spans="1:33" x14ac:dyDescent="0.25">
      <c r="A1455" t="s">
        <v>2419</v>
      </c>
      <c r="B1455" t="s">
        <v>2420</v>
      </c>
      <c r="C1455">
        <v>166187</v>
      </c>
      <c r="D1455">
        <v>166187</v>
      </c>
      <c r="E1455">
        <v>40</v>
      </c>
      <c r="F1455">
        <v>20</v>
      </c>
      <c r="G1455">
        <v>40</v>
      </c>
      <c r="O1455">
        <v>100</v>
      </c>
      <c r="S1455">
        <f t="shared" si="332"/>
        <v>6.25</v>
      </c>
      <c r="T1455">
        <f t="shared" si="333"/>
        <v>0</v>
      </c>
      <c r="U1455">
        <f t="shared" si="331"/>
        <v>1</v>
      </c>
      <c r="V1455">
        <f t="shared" si="334"/>
        <v>1</v>
      </c>
      <c r="W1455">
        <f t="shared" si="335"/>
        <v>0</v>
      </c>
      <c r="X1455">
        <f t="shared" si="344"/>
        <v>1</v>
      </c>
      <c r="Y1455">
        <f t="shared" si="345"/>
        <v>0</v>
      </c>
      <c r="Z1455">
        <f t="shared" si="336"/>
        <v>8</v>
      </c>
      <c r="AA1455">
        <f t="shared" si="337"/>
        <v>5</v>
      </c>
      <c r="AB1455">
        <f t="shared" si="338"/>
        <v>5.7142857142857144</v>
      </c>
      <c r="AC1455">
        <f t="shared" si="339"/>
        <v>0</v>
      </c>
      <c r="AD1455" s="1">
        <f t="shared" si="340"/>
        <v>0</v>
      </c>
      <c r="AE1455">
        <f t="shared" si="341"/>
        <v>0</v>
      </c>
      <c r="AF1455">
        <f t="shared" si="342"/>
        <v>0</v>
      </c>
      <c r="AG1455">
        <f t="shared" si="343"/>
        <v>0</v>
      </c>
    </row>
    <row r="1456" spans="1:33" x14ac:dyDescent="0.25">
      <c r="A1456" t="s">
        <v>2421</v>
      </c>
      <c r="B1456" t="s">
        <v>2422</v>
      </c>
      <c r="C1456">
        <v>167896</v>
      </c>
      <c r="D1456">
        <v>167896</v>
      </c>
      <c r="H1456">
        <v>0</v>
      </c>
      <c r="M1456">
        <v>0</v>
      </c>
      <c r="S1456">
        <f t="shared" si="332"/>
        <v>0</v>
      </c>
      <c r="T1456">
        <f t="shared" si="333"/>
        <v>0</v>
      </c>
      <c r="U1456">
        <f t="shared" si="331"/>
        <v>1</v>
      </c>
      <c r="V1456">
        <f t="shared" si="334"/>
        <v>0</v>
      </c>
      <c r="W1456">
        <f t="shared" si="335"/>
        <v>1</v>
      </c>
      <c r="X1456">
        <f t="shared" si="344"/>
        <v>0</v>
      </c>
      <c r="Y1456">
        <f t="shared" si="345"/>
        <v>0</v>
      </c>
      <c r="Z1456">
        <f t="shared" si="336"/>
        <v>0</v>
      </c>
      <c r="AA1456">
        <f t="shared" si="337"/>
        <v>0</v>
      </c>
      <c r="AB1456">
        <f t="shared" si="338"/>
        <v>0</v>
      </c>
      <c r="AC1456">
        <f t="shared" si="339"/>
        <v>0</v>
      </c>
      <c r="AD1456" s="1">
        <f t="shared" si="340"/>
        <v>0</v>
      </c>
      <c r="AE1456">
        <f t="shared" si="341"/>
        <v>0</v>
      </c>
      <c r="AF1456">
        <f t="shared" si="342"/>
        <v>0</v>
      </c>
      <c r="AG1456">
        <f t="shared" si="343"/>
        <v>0</v>
      </c>
    </row>
    <row r="1457" spans="1:33" x14ac:dyDescent="0.25">
      <c r="A1457" t="s">
        <v>2423</v>
      </c>
      <c r="B1457" t="s">
        <v>2424</v>
      </c>
      <c r="C1457">
        <v>167143</v>
      </c>
      <c r="D1457">
        <v>167143</v>
      </c>
      <c r="E1457">
        <v>20</v>
      </c>
      <c r="F1457">
        <v>20</v>
      </c>
      <c r="O1457">
        <v>40</v>
      </c>
      <c r="S1457">
        <f t="shared" si="332"/>
        <v>2.5</v>
      </c>
      <c r="T1457">
        <f t="shared" si="333"/>
        <v>0</v>
      </c>
      <c r="U1457">
        <f t="shared" si="331"/>
        <v>1</v>
      </c>
      <c r="V1457">
        <f t="shared" si="334"/>
        <v>1</v>
      </c>
      <c r="W1457">
        <f t="shared" si="335"/>
        <v>0</v>
      </c>
      <c r="X1457">
        <f t="shared" si="344"/>
        <v>0</v>
      </c>
      <c r="Y1457">
        <f t="shared" si="345"/>
        <v>0</v>
      </c>
      <c r="Z1457">
        <f t="shared" si="336"/>
        <v>4</v>
      </c>
      <c r="AA1457">
        <f t="shared" si="337"/>
        <v>5</v>
      </c>
      <c r="AB1457">
        <f t="shared" si="338"/>
        <v>0</v>
      </c>
      <c r="AC1457">
        <f t="shared" si="339"/>
        <v>0</v>
      </c>
      <c r="AD1457" s="1">
        <f t="shared" si="340"/>
        <v>0</v>
      </c>
      <c r="AE1457">
        <f t="shared" si="341"/>
        <v>0</v>
      </c>
      <c r="AF1457">
        <f t="shared" si="342"/>
        <v>0</v>
      </c>
      <c r="AG1457">
        <f t="shared" si="343"/>
        <v>0</v>
      </c>
    </row>
    <row r="1458" spans="1:33" x14ac:dyDescent="0.25">
      <c r="A1458" t="s">
        <v>2425</v>
      </c>
      <c r="B1458" t="s">
        <v>130</v>
      </c>
      <c r="C1458">
        <v>168117</v>
      </c>
      <c r="D1458">
        <v>168117</v>
      </c>
      <c r="E1458">
        <v>40</v>
      </c>
      <c r="F1458">
        <v>40</v>
      </c>
      <c r="G1458">
        <v>30</v>
      </c>
      <c r="O1458">
        <v>110</v>
      </c>
      <c r="S1458">
        <f t="shared" si="332"/>
        <v>6.875</v>
      </c>
      <c r="T1458">
        <f t="shared" si="333"/>
        <v>0</v>
      </c>
      <c r="U1458">
        <f t="shared" si="331"/>
        <v>1</v>
      </c>
      <c r="V1458">
        <f t="shared" si="334"/>
        <v>1</v>
      </c>
      <c r="W1458">
        <f t="shared" si="335"/>
        <v>0</v>
      </c>
      <c r="X1458">
        <f t="shared" si="344"/>
        <v>1</v>
      </c>
      <c r="Y1458">
        <f t="shared" si="345"/>
        <v>0</v>
      </c>
      <c r="Z1458">
        <f t="shared" si="336"/>
        <v>8</v>
      </c>
      <c r="AA1458">
        <f t="shared" si="337"/>
        <v>10</v>
      </c>
      <c r="AB1458">
        <f t="shared" si="338"/>
        <v>4.2857142857142856</v>
      </c>
      <c r="AC1458">
        <f t="shared" si="339"/>
        <v>0</v>
      </c>
      <c r="AD1458" s="1">
        <f t="shared" si="340"/>
        <v>0</v>
      </c>
      <c r="AE1458">
        <f t="shared" si="341"/>
        <v>0</v>
      </c>
      <c r="AF1458">
        <f t="shared" si="342"/>
        <v>0</v>
      </c>
      <c r="AG1458">
        <f t="shared" si="343"/>
        <v>0</v>
      </c>
    </row>
    <row r="1459" spans="1:33" x14ac:dyDescent="0.25">
      <c r="A1459" t="s">
        <v>2426</v>
      </c>
      <c r="B1459" t="s">
        <v>1601</v>
      </c>
      <c r="C1459">
        <v>161831</v>
      </c>
      <c r="D1459">
        <v>161831</v>
      </c>
      <c r="H1459">
        <v>10</v>
      </c>
      <c r="I1459">
        <v>40</v>
      </c>
      <c r="J1459">
        <v>10</v>
      </c>
      <c r="K1459">
        <v>10</v>
      </c>
      <c r="L1459">
        <v>0</v>
      </c>
      <c r="M1459">
        <v>70</v>
      </c>
      <c r="S1459">
        <f t="shared" si="332"/>
        <v>0</v>
      </c>
      <c r="T1459">
        <f t="shared" si="333"/>
        <v>5.833333333333333</v>
      </c>
      <c r="U1459">
        <f t="shared" si="331"/>
        <v>1</v>
      </c>
      <c r="V1459">
        <f t="shared" si="334"/>
        <v>0</v>
      </c>
      <c r="W1459">
        <f t="shared" si="335"/>
        <v>1</v>
      </c>
      <c r="X1459">
        <f t="shared" si="344"/>
        <v>0</v>
      </c>
      <c r="Y1459">
        <f t="shared" si="345"/>
        <v>0</v>
      </c>
      <c r="Z1459">
        <f t="shared" si="336"/>
        <v>0</v>
      </c>
      <c r="AA1459">
        <f t="shared" si="337"/>
        <v>0</v>
      </c>
      <c r="AB1459">
        <f t="shared" si="338"/>
        <v>0</v>
      </c>
      <c r="AC1459">
        <f t="shared" si="339"/>
        <v>5</v>
      </c>
      <c r="AD1459" s="1">
        <f t="shared" si="340"/>
        <v>6.666666666666667</v>
      </c>
      <c r="AE1459">
        <f t="shared" si="341"/>
        <v>5</v>
      </c>
      <c r="AF1459">
        <f t="shared" si="342"/>
        <v>10</v>
      </c>
      <c r="AG1459">
        <f t="shared" si="343"/>
        <v>0</v>
      </c>
    </row>
    <row r="1460" spans="1:33" x14ac:dyDescent="0.25">
      <c r="A1460" t="s">
        <v>2427</v>
      </c>
      <c r="B1460" t="s">
        <v>2428</v>
      </c>
      <c r="C1460">
        <v>161025</v>
      </c>
      <c r="D1460">
        <v>161025</v>
      </c>
      <c r="E1460">
        <v>20</v>
      </c>
      <c r="F1460">
        <v>20</v>
      </c>
      <c r="G1460">
        <v>40</v>
      </c>
      <c r="O1460">
        <v>80</v>
      </c>
      <c r="S1460">
        <f t="shared" si="332"/>
        <v>5</v>
      </c>
      <c r="T1460">
        <f t="shared" si="333"/>
        <v>0</v>
      </c>
      <c r="U1460">
        <f t="shared" si="331"/>
        <v>1</v>
      </c>
      <c r="V1460">
        <f t="shared" si="334"/>
        <v>1</v>
      </c>
      <c r="W1460">
        <f t="shared" si="335"/>
        <v>0</v>
      </c>
      <c r="X1460">
        <f t="shared" si="344"/>
        <v>0</v>
      </c>
      <c r="Y1460">
        <f t="shared" si="345"/>
        <v>0</v>
      </c>
      <c r="Z1460">
        <f t="shared" si="336"/>
        <v>4</v>
      </c>
      <c r="AA1460">
        <f t="shared" si="337"/>
        <v>5</v>
      </c>
      <c r="AB1460">
        <f t="shared" si="338"/>
        <v>5.7142857142857144</v>
      </c>
      <c r="AC1460">
        <f t="shared" si="339"/>
        <v>0</v>
      </c>
      <c r="AD1460" s="1">
        <f t="shared" si="340"/>
        <v>0</v>
      </c>
      <c r="AE1460">
        <f t="shared" si="341"/>
        <v>0</v>
      </c>
      <c r="AF1460">
        <f t="shared" si="342"/>
        <v>0</v>
      </c>
      <c r="AG1460">
        <f t="shared" si="343"/>
        <v>0</v>
      </c>
    </row>
    <row r="1461" spans="1:33" x14ac:dyDescent="0.25">
      <c r="A1461" t="s">
        <v>2429</v>
      </c>
      <c r="B1461" t="s">
        <v>674</v>
      </c>
      <c r="C1461">
        <v>165238</v>
      </c>
      <c r="D1461">
        <v>165238</v>
      </c>
      <c r="S1461">
        <f t="shared" si="332"/>
        <v>0</v>
      </c>
      <c r="T1461">
        <f t="shared" si="333"/>
        <v>0</v>
      </c>
      <c r="U1461">
        <f t="shared" si="331"/>
        <v>0</v>
      </c>
      <c r="V1461">
        <f t="shared" si="334"/>
        <v>0</v>
      </c>
      <c r="W1461">
        <f t="shared" si="335"/>
        <v>0</v>
      </c>
      <c r="X1461">
        <f t="shared" si="344"/>
        <v>0</v>
      </c>
      <c r="Y1461">
        <f t="shared" si="345"/>
        <v>0</v>
      </c>
      <c r="Z1461">
        <f t="shared" si="336"/>
        <v>0</v>
      </c>
      <c r="AA1461">
        <f t="shared" si="337"/>
        <v>0</v>
      </c>
      <c r="AB1461">
        <f t="shared" si="338"/>
        <v>0</v>
      </c>
      <c r="AC1461">
        <f t="shared" si="339"/>
        <v>0</v>
      </c>
      <c r="AD1461" s="1">
        <f t="shared" si="340"/>
        <v>0</v>
      </c>
      <c r="AE1461">
        <f t="shared" si="341"/>
        <v>0</v>
      </c>
      <c r="AF1461">
        <f t="shared" si="342"/>
        <v>0</v>
      </c>
      <c r="AG1461">
        <f t="shared" si="343"/>
        <v>0</v>
      </c>
    </row>
    <row r="1462" spans="1:33" x14ac:dyDescent="0.25">
      <c r="A1462" t="s">
        <v>2430</v>
      </c>
      <c r="B1462" t="s">
        <v>2431</v>
      </c>
      <c r="C1462">
        <v>167715</v>
      </c>
      <c r="D1462">
        <v>167715</v>
      </c>
      <c r="E1462">
        <v>30</v>
      </c>
      <c r="F1462">
        <v>40</v>
      </c>
      <c r="G1462">
        <v>40</v>
      </c>
      <c r="O1462">
        <v>110</v>
      </c>
      <c r="S1462">
        <f t="shared" si="332"/>
        <v>6.875</v>
      </c>
      <c r="T1462">
        <f t="shared" si="333"/>
        <v>0</v>
      </c>
      <c r="U1462">
        <f t="shared" si="331"/>
        <v>1</v>
      </c>
      <c r="V1462">
        <f t="shared" si="334"/>
        <v>1</v>
      </c>
      <c r="W1462">
        <f t="shared" si="335"/>
        <v>0</v>
      </c>
      <c r="X1462">
        <f t="shared" si="344"/>
        <v>1</v>
      </c>
      <c r="Y1462">
        <f t="shared" si="345"/>
        <v>0</v>
      </c>
      <c r="Z1462">
        <f t="shared" si="336"/>
        <v>6</v>
      </c>
      <c r="AA1462">
        <f t="shared" si="337"/>
        <v>10</v>
      </c>
      <c r="AB1462">
        <f t="shared" si="338"/>
        <v>5.7142857142857144</v>
      </c>
      <c r="AC1462">
        <f t="shared" si="339"/>
        <v>0</v>
      </c>
      <c r="AD1462" s="1">
        <f t="shared" si="340"/>
        <v>0</v>
      </c>
      <c r="AE1462">
        <f t="shared" si="341"/>
        <v>0</v>
      </c>
      <c r="AF1462">
        <f t="shared" si="342"/>
        <v>0</v>
      </c>
      <c r="AG1462">
        <f t="shared" si="343"/>
        <v>0</v>
      </c>
    </row>
    <row r="1463" spans="1:33" x14ac:dyDescent="0.25">
      <c r="A1463" t="s">
        <v>2432</v>
      </c>
      <c r="B1463" t="s">
        <v>2433</v>
      </c>
      <c r="C1463">
        <v>164351</v>
      </c>
      <c r="D1463">
        <v>164351</v>
      </c>
      <c r="S1463">
        <f t="shared" si="332"/>
        <v>0</v>
      </c>
      <c r="T1463">
        <f t="shared" si="333"/>
        <v>0</v>
      </c>
      <c r="U1463">
        <f t="shared" si="331"/>
        <v>0</v>
      </c>
      <c r="V1463">
        <f t="shared" si="334"/>
        <v>0</v>
      </c>
      <c r="W1463">
        <f t="shared" si="335"/>
        <v>0</v>
      </c>
      <c r="X1463">
        <f t="shared" si="344"/>
        <v>0</v>
      </c>
      <c r="Y1463">
        <f t="shared" si="345"/>
        <v>0</v>
      </c>
      <c r="Z1463">
        <f t="shared" si="336"/>
        <v>0</v>
      </c>
      <c r="AA1463">
        <f t="shared" si="337"/>
        <v>0</v>
      </c>
      <c r="AB1463">
        <f t="shared" si="338"/>
        <v>0</v>
      </c>
      <c r="AC1463">
        <f t="shared" si="339"/>
        <v>0</v>
      </c>
      <c r="AD1463" s="1">
        <f t="shared" si="340"/>
        <v>0</v>
      </c>
      <c r="AE1463">
        <f t="shared" si="341"/>
        <v>0</v>
      </c>
      <c r="AF1463">
        <f t="shared" si="342"/>
        <v>0</v>
      </c>
      <c r="AG1463">
        <f t="shared" si="343"/>
        <v>0</v>
      </c>
    </row>
    <row r="1464" spans="1:33" x14ac:dyDescent="0.25">
      <c r="A1464" t="s">
        <v>2434</v>
      </c>
      <c r="B1464" t="s">
        <v>2435</v>
      </c>
      <c r="C1464">
        <v>167052</v>
      </c>
      <c r="D1464">
        <v>167052</v>
      </c>
      <c r="H1464">
        <v>20</v>
      </c>
      <c r="I1464">
        <v>40</v>
      </c>
      <c r="J1464">
        <v>20</v>
      </c>
      <c r="K1464">
        <v>10</v>
      </c>
      <c r="L1464">
        <v>10</v>
      </c>
      <c r="M1464">
        <v>100</v>
      </c>
      <c r="S1464">
        <f t="shared" si="332"/>
        <v>0</v>
      </c>
      <c r="T1464">
        <f t="shared" si="333"/>
        <v>8.3333333333333339</v>
      </c>
      <c r="U1464">
        <f t="shared" si="331"/>
        <v>1</v>
      </c>
      <c r="V1464">
        <f t="shared" si="334"/>
        <v>0</v>
      </c>
      <c r="W1464">
        <f t="shared" si="335"/>
        <v>1</v>
      </c>
      <c r="X1464">
        <f t="shared" si="344"/>
        <v>0</v>
      </c>
      <c r="Y1464">
        <f t="shared" si="345"/>
        <v>1</v>
      </c>
      <c r="Z1464">
        <f t="shared" si="336"/>
        <v>0</v>
      </c>
      <c r="AA1464">
        <f t="shared" si="337"/>
        <v>0</v>
      </c>
      <c r="AB1464">
        <f t="shared" si="338"/>
        <v>0</v>
      </c>
      <c r="AC1464">
        <f t="shared" si="339"/>
        <v>10</v>
      </c>
      <c r="AD1464" s="1">
        <f t="shared" si="340"/>
        <v>6.666666666666667</v>
      </c>
      <c r="AE1464">
        <f t="shared" si="341"/>
        <v>10</v>
      </c>
      <c r="AF1464">
        <f t="shared" si="342"/>
        <v>10</v>
      </c>
      <c r="AG1464">
        <f t="shared" si="343"/>
        <v>10</v>
      </c>
    </row>
    <row r="1465" spans="1:33" x14ac:dyDescent="0.25">
      <c r="A1465" t="s">
        <v>2436</v>
      </c>
      <c r="B1465" t="s">
        <v>2437</v>
      </c>
      <c r="C1465">
        <v>167322</v>
      </c>
      <c r="D1465">
        <v>167322</v>
      </c>
      <c r="H1465">
        <v>10</v>
      </c>
      <c r="I1465">
        <v>60</v>
      </c>
      <c r="J1465">
        <v>10</v>
      </c>
      <c r="K1465">
        <v>10</v>
      </c>
      <c r="L1465">
        <v>0</v>
      </c>
      <c r="M1465">
        <v>90</v>
      </c>
      <c r="S1465">
        <f t="shared" si="332"/>
        <v>0</v>
      </c>
      <c r="T1465">
        <f t="shared" si="333"/>
        <v>7.5</v>
      </c>
      <c r="U1465">
        <f t="shared" si="331"/>
        <v>1</v>
      </c>
      <c r="V1465">
        <f t="shared" si="334"/>
        <v>0</v>
      </c>
      <c r="W1465">
        <f t="shared" si="335"/>
        <v>1</v>
      </c>
      <c r="X1465">
        <f t="shared" si="344"/>
        <v>0</v>
      </c>
      <c r="Y1465">
        <f t="shared" si="345"/>
        <v>1</v>
      </c>
      <c r="Z1465">
        <f t="shared" si="336"/>
        <v>0</v>
      </c>
      <c r="AA1465">
        <f t="shared" si="337"/>
        <v>0</v>
      </c>
      <c r="AB1465">
        <f t="shared" si="338"/>
        <v>0</v>
      </c>
      <c r="AC1465">
        <f t="shared" si="339"/>
        <v>5</v>
      </c>
      <c r="AD1465" s="1">
        <f t="shared" si="340"/>
        <v>10</v>
      </c>
      <c r="AE1465">
        <f t="shared" si="341"/>
        <v>5</v>
      </c>
      <c r="AF1465">
        <f t="shared" si="342"/>
        <v>10</v>
      </c>
      <c r="AG1465">
        <f t="shared" si="343"/>
        <v>0</v>
      </c>
    </row>
    <row r="1466" spans="1:33" x14ac:dyDescent="0.25">
      <c r="A1466" t="s">
        <v>2438</v>
      </c>
      <c r="B1466" t="s">
        <v>218</v>
      </c>
      <c r="C1466">
        <v>168550</v>
      </c>
      <c r="D1466">
        <v>168550</v>
      </c>
      <c r="E1466">
        <v>20</v>
      </c>
      <c r="F1466">
        <v>40</v>
      </c>
      <c r="G1466">
        <v>30</v>
      </c>
      <c r="O1466">
        <v>90</v>
      </c>
      <c r="S1466">
        <f t="shared" si="332"/>
        <v>5.625</v>
      </c>
      <c r="T1466">
        <f t="shared" si="333"/>
        <v>0</v>
      </c>
      <c r="U1466">
        <f t="shared" si="331"/>
        <v>1</v>
      </c>
      <c r="V1466">
        <f t="shared" si="334"/>
        <v>1</v>
      </c>
      <c r="W1466">
        <f t="shared" si="335"/>
        <v>0</v>
      </c>
      <c r="X1466">
        <f t="shared" si="344"/>
        <v>0</v>
      </c>
      <c r="Y1466">
        <f t="shared" si="345"/>
        <v>0</v>
      </c>
      <c r="Z1466">
        <f t="shared" si="336"/>
        <v>4</v>
      </c>
      <c r="AA1466">
        <f t="shared" si="337"/>
        <v>10</v>
      </c>
      <c r="AB1466">
        <f t="shared" si="338"/>
        <v>4.2857142857142856</v>
      </c>
      <c r="AC1466">
        <f t="shared" si="339"/>
        <v>0</v>
      </c>
      <c r="AD1466" s="1">
        <f t="shared" si="340"/>
        <v>0</v>
      </c>
      <c r="AE1466">
        <f t="shared" si="341"/>
        <v>0</v>
      </c>
      <c r="AF1466">
        <f t="shared" si="342"/>
        <v>0</v>
      </c>
      <c r="AG1466">
        <f t="shared" si="343"/>
        <v>0</v>
      </c>
    </row>
    <row r="1467" spans="1:33" x14ac:dyDescent="0.25">
      <c r="A1467" t="s">
        <v>2439</v>
      </c>
      <c r="B1467" t="s">
        <v>2440</v>
      </c>
      <c r="C1467">
        <v>165609</v>
      </c>
      <c r="D1467">
        <v>165609</v>
      </c>
      <c r="H1467">
        <v>0</v>
      </c>
      <c r="I1467">
        <v>50</v>
      </c>
      <c r="J1467">
        <v>20</v>
      </c>
      <c r="K1467">
        <v>0</v>
      </c>
      <c r="L1467">
        <v>0</v>
      </c>
      <c r="M1467">
        <v>70</v>
      </c>
      <c r="S1467">
        <f t="shared" si="332"/>
        <v>0</v>
      </c>
      <c r="T1467">
        <f t="shared" si="333"/>
        <v>5.833333333333333</v>
      </c>
      <c r="U1467">
        <f t="shared" si="331"/>
        <v>1</v>
      </c>
      <c r="V1467">
        <f t="shared" si="334"/>
        <v>0</v>
      </c>
      <c r="W1467">
        <f t="shared" si="335"/>
        <v>1</v>
      </c>
      <c r="X1467">
        <f t="shared" si="344"/>
        <v>0</v>
      </c>
      <c r="Y1467">
        <f t="shared" si="345"/>
        <v>0</v>
      </c>
      <c r="Z1467">
        <f t="shared" si="336"/>
        <v>0</v>
      </c>
      <c r="AA1467">
        <f t="shared" si="337"/>
        <v>0</v>
      </c>
      <c r="AB1467">
        <f t="shared" si="338"/>
        <v>0</v>
      </c>
      <c r="AC1467">
        <f t="shared" si="339"/>
        <v>0</v>
      </c>
      <c r="AD1467" s="1">
        <f t="shared" si="340"/>
        <v>8.3333333333333339</v>
      </c>
      <c r="AE1467">
        <f t="shared" si="341"/>
        <v>10</v>
      </c>
      <c r="AF1467">
        <f t="shared" si="342"/>
        <v>0</v>
      </c>
      <c r="AG1467">
        <f t="shared" si="343"/>
        <v>0</v>
      </c>
    </row>
    <row r="1468" spans="1:33" x14ac:dyDescent="0.25">
      <c r="A1468" t="s">
        <v>2441</v>
      </c>
      <c r="B1468" t="s">
        <v>2442</v>
      </c>
      <c r="C1468">
        <v>166525</v>
      </c>
      <c r="D1468">
        <v>166525</v>
      </c>
      <c r="H1468">
        <v>10</v>
      </c>
      <c r="I1468">
        <v>0</v>
      </c>
      <c r="J1468">
        <v>0</v>
      </c>
      <c r="K1468">
        <v>0</v>
      </c>
      <c r="L1468">
        <v>0</v>
      </c>
      <c r="M1468">
        <v>10</v>
      </c>
      <c r="S1468">
        <f t="shared" si="332"/>
        <v>0</v>
      </c>
      <c r="T1468">
        <f t="shared" si="333"/>
        <v>0.83333333333333337</v>
      </c>
      <c r="U1468">
        <f t="shared" si="331"/>
        <v>1</v>
      </c>
      <c r="V1468">
        <f t="shared" si="334"/>
        <v>0</v>
      </c>
      <c r="W1468">
        <f t="shared" si="335"/>
        <v>1</v>
      </c>
      <c r="X1468">
        <f t="shared" si="344"/>
        <v>0</v>
      </c>
      <c r="Y1468">
        <f t="shared" si="345"/>
        <v>0</v>
      </c>
      <c r="Z1468">
        <f t="shared" si="336"/>
        <v>0</v>
      </c>
      <c r="AA1468">
        <f t="shared" si="337"/>
        <v>0</v>
      </c>
      <c r="AB1468">
        <f t="shared" si="338"/>
        <v>0</v>
      </c>
      <c r="AC1468">
        <f t="shared" si="339"/>
        <v>5</v>
      </c>
      <c r="AD1468" s="1">
        <f t="shared" si="340"/>
        <v>0</v>
      </c>
      <c r="AE1468">
        <f t="shared" si="341"/>
        <v>0</v>
      </c>
      <c r="AF1468">
        <f t="shared" si="342"/>
        <v>0</v>
      </c>
      <c r="AG1468">
        <f t="shared" si="343"/>
        <v>0</v>
      </c>
    </row>
    <row r="1469" spans="1:33" x14ac:dyDescent="0.25">
      <c r="A1469" t="s">
        <v>2443</v>
      </c>
      <c r="B1469" t="s">
        <v>2444</v>
      </c>
      <c r="C1469">
        <v>163965</v>
      </c>
      <c r="D1469">
        <v>163965</v>
      </c>
      <c r="S1469">
        <f t="shared" si="332"/>
        <v>0</v>
      </c>
      <c r="T1469">
        <f t="shared" si="333"/>
        <v>0</v>
      </c>
      <c r="U1469">
        <f t="shared" si="331"/>
        <v>0</v>
      </c>
      <c r="V1469">
        <f t="shared" si="334"/>
        <v>0</v>
      </c>
      <c r="W1469">
        <f t="shared" si="335"/>
        <v>0</v>
      </c>
      <c r="X1469">
        <f t="shared" si="344"/>
        <v>0</v>
      </c>
      <c r="Y1469">
        <f t="shared" si="345"/>
        <v>0</v>
      </c>
      <c r="Z1469">
        <f t="shared" si="336"/>
        <v>0</v>
      </c>
      <c r="AA1469">
        <f t="shared" si="337"/>
        <v>0</v>
      </c>
      <c r="AB1469">
        <f t="shared" si="338"/>
        <v>0</v>
      </c>
      <c r="AC1469">
        <f t="shared" si="339"/>
        <v>0</v>
      </c>
      <c r="AD1469" s="1">
        <f t="shared" si="340"/>
        <v>0</v>
      </c>
      <c r="AE1469">
        <f t="shared" si="341"/>
        <v>0</v>
      </c>
      <c r="AF1469">
        <f t="shared" si="342"/>
        <v>0</v>
      </c>
      <c r="AG1469">
        <f t="shared" si="343"/>
        <v>0</v>
      </c>
    </row>
    <row r="1470" spans="1:33" x14ac:dyDescent="0.25">
      <c r="A1470" t="s">
        <v>2445</v>
      </c>
      <c r="B1470" t="s">
        <v>286</v>
      </c>
      <c r="C1470">
        <v>165618</v>
      </c>
      <c r="D1470">
        <v>165618</v>
      </c>
      <c r="H1470">
        <v>10</v>
      </c>
      <c r="I1470">
        <v>30</v>
      </c>
      <c r="J1470">
        <v>10</v>
      </c>
      <c r="K1470">
        <v>10</v>
      </c>
      <c r="L1470">
        <v>10</v>
      </c>
      <c r="M1470">
        <v>70</v>
      </c>
      <c r="S1470">
        <f t="shared" si="332"/>
        <v>0</v>
      </c>
      <c r="T1470">
        <f t="shared" si="333"/>
        <v>5.833333333333333</v>
      </c>
      <c r="U1470">
        <f t="shared" si="331"/>
        <v>1</v>
      </c>
      <c r="V1470">
        <f t="shared" si="334"/>
        <v>0</v>
      </c>
      <c r="W1470">
        <f t="shared" si="335"/>
        <v>1</v>
      </c>
      <c r="X1470">
        <f t="shared" si="344"/>
        <v>0</v>
      </c>
      <c r="Y1470">
        <f t="shared" si="345"/>
        <v>0</v>
      </c>
      <c r="Z1470">
        <f t="shared" si="336"/>
        <v>0</v>
      </c>
      <c r="AA1470">
        <f t="shared" si="337"/>
        <v>0</v>
      </c>
      <c r="AB1470">
        <f t="shared" si="338"/>
        <v>0</v>
      </c>
      <c r="AC1470">
        <f t="shared" si="339"/>
        <v>5</v>
      </c>
      <c r="AD1470" s="1">
        <f t="shared" si="340"/>
        <v>5</v>
      </c>
      <c r="AE1470">
        <f t="shared" si="341"/>
        <v>5</v>
      </c>
      <c r="AF1470">
        <f t="shared" si="342"/>
        <v>10</v>
      </c>
      <c r="AG1470">
        <f t="shared" si="343"/>
        <v>10</v>
      </c>
    </row>
    <row r="1471" spans="1:33" x14ac:dyDescent="0.25">
      <c r="A1471" t="s">
        <v>2446</v>
      </c>
      <c r="B1471" t="s">
        <v>166</v>
      </c>
      <c r="C1471">
        <v>165527</v>
      </c>
      <c r="D1471">
        <v>165527</v>
      </c>
      <c r="E1471">
        <v>20</v>
      </c>
      <c r="F1471">
        <v>0</v>
      </c>
      <c r="G1471">
        <v>20</v>
      </c>
      <c r="O1471">
        <v>40</v>
      </c>
      <c r="S1471">
        <f t="shared" si="332"/>
        <v>2.5</v>
      </c>
      <c r="T1471">
        <f t="shared" si="333"/>
        <v>0</v>
      </c>
      <c r="U1471">
        <f t="shared" si="331"/>
        <v>1</v>
      </c>
      <c r="V1471">
        <f t="shared" si="334"/>
        <v>1</v>
      </c>
      <c r="W1471">
        <f t="shared" si="335"/>
        <v>0</v>
      </c>
      <c r="X1471">
        <f t="shared" si="344"/>
        <v>0</v>
      </c>
      <c r="Y1471">
        <f t="shared" si="345"/>
        <v>0</v>
      </c>
      <c r="Z1471">
        <f t="shared" si="336"/>
        <v>4</v>
      </c>
      <c r="AA1471">
        <f t="shared" si="337"/>
        <v>0</v>
      </c>
      <c r="AB1471">
        <f t="shared" si="338"/>
        <v>2.8571428571428572</v>
      </c>
      <c r="AC1471">
        <f t="shared" si="339"/>
        <v>0</v>
      </c>
      <c r="AD1471" s="1">
        <f t="shared" si="340"/>
        <v>0</v>
      </c>
      <c r="AE1471">
        <f t="shared" si="341"/>
        <v>0</v>
      </c>
      <c r="AF1471">
        <f t="shared" si="342"/>
        <v>0</v>
      </c>
      <c r="AG1471">
        <f t="shared" si="343"/>
        <v>0</v>
      </c>
    </row>
    <row r="1472" spans="1:33" x14ac:dyDescent="0.25">
      <c r="A1472" t="s">
        <v>2447</v>
      </c>
      <c r="B1472" t="s">
        <v>2448</v>
      </c>
      <c r="C1472">
        <v>165996</v>
      </c>
      <c r="D1472">
        <v>165996</v>
      </c>
      <c r="E1472">
        <v>30</v>
      </c>
      <c r="F1472">
        <v>20</v>
      </c>
      <c r="G1472">
        <v>40</v>
      </c>
      <c r="O1472">
        <v>90</v>
      </c>
      <c r="S1472">
        <f t="shared" si="332"/>
        <v>5.625</v>
      </c>
      <c r="T1472">
        <f t="shared" si="333"/>
        <v>0</v>
      </c>
      <c r="U1472">
        <f t="shared" si="331"/>
        <v>1</v>
      </c>
      <c r="V1472">
        <f t="shared" si="334"/>
        <v>1</v>
      </c>
      <c r="W1472">
        <f t="shared" si="335"/>
        <v>0</v>
      </c>
      <c r="X1472">
        <f t="shared" si="344"/>
        <v>0</v>
      </c>
      <c r="Y1472">
        <f t="shared" si="345"/>
        <v>0</v>
      </c>
      <c r="Z1472">
        <f t="shared" si="336"/>
        <v>6</v>
      </c>
      <c r="AA1472">
        <f t="shared" si="337"/>
        <v>5</v>
      </c>
      <c r="AB1472">
        <f t="shared" si="338"/>
        <v>5.7142857142857144</v>
      </c>
      <c r="AC1472">
        <f t="shared" si="339"/>
        <v>0</v>
      </c>
      <c r="AD1472" s="1">
        <f t="shared" si="340"/>
        <v>0</v>
      </c>
      <c r="AE1472">
        <f t="shared" si="341"/>
        <v>0</v>
      </c>
      <c r="AF1472">
        <f t="shared" si="342"/>
        <v>0</v>
      </c>
      <c r="AG1472">
        <f t="shared" si="343"/>
        <v>0</v>
      </c>
    </row>
    <row r="1473" spans="1:33" x14ac:dyDescent="0.25">
      <c r="A1473" t="s">
        <v>2449</v>
      </c>
      <c r="B1473" t="s">
        <v>2450</v>
      </c>
      <c r="C1473">
        <v>168327</v>
      </c>
      <c r="D1473">
        <v>168327</v>
      </c>
      <c r="E1473">
        <v>50</v>
      </c>
      <c r="F1473">
        <v>40</v>
      </c>
      <c r="G1473">
        <v>40</v>
      </c>
      <c r="O1473">
        <v>130</v>
      </c>
      <c r="S1473">
        <f t="shared" si="332"/>
        <v>8.125</v>
      </c>
      <c r="T1473">
        <f t="shared" si="333"/>
        <v>0</v>
      </c>
      <c r="U1473">
        <f t="shared" si="331"/>
        <v>1</v>
      </c>
      <c r="V1473">
        <f t="shared" si="334"/>
        <v>1</v>
      </c>
      <c r="W1473">
        <f t="shared" si="335"/>
        <v>0</v>
      </c>
      <c r="X1473">
        <f t="shared" si="344"/>
        <v>1</v>
      </c>
      <c r="Y1473">
        <f t="shared" si="345"/>
        <v>0</v>
      </c>
      <c r="Z1473">
        <f t="shared" si="336"/>
        <v>10</v>
      </c>
      <c r="AA1473">
        <f t="shared" si="337"/>
        <v>10</v>
      </c>
      <c r="AB1473">
        <f t="shared" si="338"/>
        <v>5.7142857142857144</v>
      </c>
      <c r="AC1473">
        <f t="shared" si="339"/>
        <v>0</v>
      </c>
      <c r="AD1473" s="1">
        <f t="shared" si="340"/>
        <v>0</v>
      </c>
      <c r="AE1473">
        <f t="shared" si="341"/>
        <v>0</v>
      </c>
      <c r="AF1473">
        <f t="shared" si="342"/>
        <v>0</v>
      </c>
      <c r="AG1473">
        <f t="shared" si="343"/>
        <v>0</v>
      </c>
    </row>
    <row r="1474" spans="1:33" x14ac:dyDescent="0.25">
      <c r="A1474" t="s">
        <v>2451</v>
      </c>
      <c r="B1474" t="s">
        <v>2452</v>
      </c>
      <c r="C1474">
        <v>158197</v>
      </c>
      <c r="D1474">
        <v>158197</v>
      </c>
      <c r="S1474">
        <f t="shared" si="332"/>
        <v>0</v>
      </c>
      <c r="T1474">
        <f t="shared" si="333"/>
        <v>0</v>
      </c>
      <c r="U1474">
        <f t="shared" ref="U1474:U1537" si="346">IF(AND(E1474="",F1474="",G1474="",H1474="",I1474="",J1474="",K1474="",L1474="",M1474=""),0,1)</f>
        <v>0</v>
      </c>
      <c r="V1474">
        <f t="shared" si="334"/>
        <v>0</v>
      </c>
      <c r="W1474">
        <f t="shared" si="335"/>
        <v>0</v>
      </c>
      <c r="X1474">
        <f t="shared" si="344"/>
        <v>0</v>
      </c>
      <c r="Y1474">
        <f t="shared" si="345"/>
        <v>0</v>
      </c>
      <c r="Z1474">
        <f t="shared" si="336"/>
        <v>0</v>
      </c>
      <c r="AA1474">
        <f t="shared" si="337"/>
        <v>0</v>
      </c>
      <c r="AB1474">
        <f t="shared" si="338"/>
        <v>0</v>
      </c>
      <c r="AC1474">
        <f t="shared" si="339"/>
        <v>0</v>
      </c>
      <c r="AD1474" s="1">
        <f t="shared" si="340"/>
        <v>0</v>
      </c>
      <c r="AE1474">
        <f t="shared" si="341"/>
        <v>0</v>
      </c>
      <c r="AF1474">
        <f t="shared" si="342"/>
        <v>0</v>
      </c>
      <c r="AG1474">
        <f t="shared" si="343"/>
        <v>0</v>
      </c>
    </row>
    <row r="1475" spans="1:33" x14ac:dyDescent="0.25">
      <c r="A1475" t="s">
        <v>2453</v>
      </c>
      <c r="B1475" t="s">
        <v>2454</v>
      </c>
      <c r="C1475">
        <v>166451</v>
      </c>
      <c r="D1475">
        <v>166451</v>
      </c>
      <c r="H1475">
        <v>10</v>
      </c>
      <c r="I1475">
        <v>40</v>
      </c>
      <c r="J1475">
        <v>10</v>
      </c>
      <c r="K1475">
        <v>10</v>
      </c>
      <c r="L1475">
        <v>10</v>
      </c>
      <c r="M1475">
        <v>80</v>
      </c>
      <c r="S1475">
        <f t="shared" ref="S1475:S1538" si="347">O1475/16</f>
        <v>0</v>
      </c>
      <c r="T1475">
        <f t="shared" ref="T1475:T1538" si="348">M1475/12</f>
        <v>6.666666666666667</v>
      </c>
      <c r="U1475">
        <f t="shared" si="346"/>
        <v>1</v>
      </c>
      <c r="V1475">
        <f t="shared" ref="V1475:V1538" si="349">IF(O1475="",0,1)</f>
        <v>0</v>
      </c>
      <c r="W1475">
        <f t="shared" ref="W1475:W1538" si="350">IF(M1475="",0,1)</f>
        <v>1</v>
      </c>
      <c r="X1475">
        <f t="shared" si="344"/>
        <v>0</v>
      </c>
      <c r="Y1475">
        <f t="shared" si="345"/>
        <v>1</v>
      </c>
      <c r="Z1475">
        <f t="shared" ref="Z1475:Z1538" si="351">E1475/5</f>
        <v>0</v>
      </c>
      <c r="AA1475">
        <f t="shared" ref="AA1475:AA1538" si="352">F1475/4</f>
        <v>0</v>
      </c>
      <c r="AB1475">
        <f t="shared" ref="AB1475:AB1538" si="353">G1475/7</f>
        <v>0</v>
      </c>
      <c r="AC1475">
        <f t="shared" ref="AC1475:AC1538" si="354">H1475/2</f>
        <v>5</v>
      </c>
      <c r="AD1475" s="1">
        <f t="shared" ref="AD1475:AD1538" si="355">I1475/6</f>
        <v>6.666666666666667</v>
      </c>
      <c r="AE1475">
        <f t="shared" ref="AE1475:AE1538" si="356">J1475/2</f>
        <v>5</v>
      </c>
      <c r="AF1475">
        <f t="shared" ref="AF1475:AF1538" si="357">K1475</f>
        <v>10</v>
      </c>
      <c r="AG1475">
        <f t="shared" ref="AG1475:AG1538" si="358">L1475</f>
        <v>10</v>
      </c>
    </row>
    <row r="1476" spans="1:33" x14ac:dyDescent="0.25">
      <c r="A1476" t="s">
        <v>2455</v>
      </c>
      <c r="B1476" t="s">
        <v>1199</v>
      </c>
      <c r="C1476">
        <v>168552</v>
      </c>
      <c r="D1476">
        <v>168552</v>
      </c>
      <c r="H1476">
        <v>20</v>
      </c>
      <c r="I1476">
        <v>50</v>
      </c>
      <c r="J1476">
        <v>20</v>
      </c>
      <c r="K1476">
        <v>0</v>
      </c>
      <c r="L1476">
        <v>10</v>
      </c>
      <c r="M1476">
        <v>100</v>
      </c>
      <c r="S1476">
        <f t="shared" si="347"/>
        <v>0</v>
      </c>
      <c r="T1476">
        <f t="shared" si="348"/>
        <v>8.3333333333333339</v>
      </c>
      <c r="U1476">
        <f t="shared" si="346"/>
        <v>1</v>
      </c>
      <c r="V1476">
        <f t="shared" si="349"/>
        <v>0</v>
      </c>
      <c r="W1476">
        <f t="shared" si="350"/>
        <v>1</v>
      </c>
      <c r="X1476">
        <f t="shared" si="344"/>
        <v>0</v>
      </c>
      <c r="Y1476">
        <f t="shared" si="345"/>
        <v>1</v>
      </c>
      <c r="Z1476">
        <f t="shared" si="351"/>
        <v>0</v>
      </c>
      <c r="AA1476">
        <f t="shared" si="352"/>
        <v>0</v>
      </c>
      <c r="AB1476">
        <f t="shared" si="353"/>
        <v>0</v>
      </c>
      <c r="AC1476">
        <f t="shared" si="354"/>
        <v>10</v>
      </c>
      <c r="AD1476" s="1">
        <f t="shared" si="355"/>
        <v>8.3333333333333339</v>
      </c>
      <c r="AE1476">
        <f t="shared" si="356"/>
        <v>10</v>
      </c>
      <c r="AF1476">
        <f t="shared" si="357"/>
        <v>0</v>
      </c>
      <c r="AG1476">
        <f t="shared" si="358"/>
        <v>10</v>
      </c>
    </row>
    <row r="1477" spans="1:33" x14ac:dyDescent="0.25">
      <c r="A1477" t="s">
        <v>2456</v>
      </c>
      <c r="B1477" t="s">
        <v>2457</v>
      </c>
      <c r="C1477">
        <v>167210</v>
      </c>
      <c r="D1477">
        <v>167210</v>
      </c>
      <c r="H1477">
        <v>0</v>
      </c>
      <c r="I1477">
        <v>20</v>
      </c>
      <c r="J1477">
        <v>0</v>
      </c>
      <c r="K1477">
        <v>10</v>
      </c>
      <c r="L1477">
        <v>10</v>
      </c>
      <c r="M1477">
        <v>40</v>
      </c>
      <c r="S1477">
        <f t="shared" si="347"/>
        <v>0</v>
      </c>
      <c r="T1477">
        <f t="shared" si="348"/>
        <v>3.3333333333333335</v>
      </c>
      <c r="U1477">
        <f t="shared" si="346"/>
        <v>1</v>
      </c>
      <c r="V1477">
        <f t="shared" si="349"/>
        <v>0</v>
      </c>
      <c r="W1477">
        <f t="shared" si="350"/>
        <v>1</v>
      </c>
      <c r="X1477">
        <f t="shared" ref="X1477:X1540" si="359">IF(AND(V1477=1,S1477&gt;6),1,0)</f>
        <v>0</v>
      </c>
      <c r="Y1477">
        <f t="shared" ref="Y1477:Y1540" si="360">IF(AND(W1477=1,T1477&gt;6),1,0)</f>
        <v>0</v>
      </c>
      <c r="Z1477">
        <f t="shared" si="351"/>
        <v>0</v>
      </c>
      <c r="AA1477">
        <f t="shared" si="352"/>
        <v>0</v>
      </c>
      <c r="AB1477">
        <f t="shared" si="353"/>
        <v>0</v>
      </c>
      <c r="AC1477">
        <f t="shared" si="354"/>
        <v>0</v>
      </c>
      <c r="AD1477" s="1">
        <f t="shared" si="355"/>
        <v>3.3333333333333335</v>
      </c>
      <c r="AE1477">
        <f t="shared" si="356"/>
        <v>0</v>
      </c>
      <c r="AF1477">
        <f t="shared" si="357"/>
        <v>10</v>
      </c>
      <c r="AG1477">
        <f t="shared" si="358"/>
        <v>10</v>
      </c>
    </row>
    <row r="1478" spans="1:33" x14ac:dyDescent="0.25">
      <c r="A1478" t="s">
        <v>2458</v>
      </c>
      <c r="B1478" t="s">
        <v>2459</v>
      </c>
      <c r="C1478">
        <v>166448</v>
      </c>
      <c r="D1478">
        <v>166448</v>
      </c>
      <c r="H1478">
        <v>10</v>
      </c>
      <c r="I1478">
        <v>40</v>
      </c>
      <c r="J1478">
        <v>20</v>
      </c>
      <c r="K1478">
        <v>10</v>
      </c>
      <c r="L1478">
        <v>0</v>
      </c>
      <c r="M1478">
        <v>80</v>
      </c>
      <c r="S1478">
        <f t="shared" si="347"/>
        <v>0</v>
      </c>
      <c r="T1478">
        <f t="shared" si="348"/>
        <v>6.666666666666667</v>
      </c>
      <c r="U1478">
        <f t="shared" si="346"/>
        <v>1</v>
      </c>
      <c r="V1478">
        <f t="shared" si="349"/>
        <v>0</v>
      </c>
      <c r="W1478">
        <f t="shared" si="350"/>
        <v>1</v>
      </c>
      <c r="X1478">
        <f t="shared" si="359"/>
        <v>0</v>
      </c>
      <c r="Y1478">
        <f t="shared" si="360"/>
        <v>1</v>
      </c>
      <c r="Z1478">
        <f t="shared" si="351"/>
        <v>0</v>
      </c>
      <c r="AA1478">
        <f t="shared" si="352"/>
        <v>0</v>
      </c>
      <c r="AB1478">
        <f t="shared" si="353"/>
        <v>0</v>
      </c>
      <c r="AC1478">
        <f t="shared" si="354"/>
        <v>5</v>
      </c>
      <c r="AD1478" s="1">
        <f t="shared" si="355"/>
        <v>6.666666666666667</v>
      </c>
      <c r="AE1478">
        <f t="shared" si="356"/>
        <v>10</v>
      </c>
      <c r="AF1478">
        <f t="shared" si="357"/>
        <v>10</v>
      </c>
      <c r="AG1478">
        <f t="shared" si="358"/>
        <v>0</v>
      </c>
    </row>
    <row r="1479" spans="1:33" x14ac:dyDescent="0.25">
      <c r="A1479" t="s">
        <v>2460</v>
      </c>
      <c r="B1479" t="s">
        <v>1219</v>
      </c>
      <c r="C1479">
        <v>165450</v>
      </c>
      <c r="D1479">
        <v>165450</v>
      </c>
      <c r="E1479">
        <v>30</v>
      </c>
      <c r="F1479">
        <v>10</v>
      </c>
      <c r="G1479">
        <v>40</v>
      </c>
      <c r="O1479">
        <v>80</v>
      </c>
      <c r="S1479">
        <f t="shared" si="347"/>
        <v>5</v>
      </c>
      <c r="T1479">
        <f t="shared" si="348"/>
        <v>0</v>
      </c>
      <c r="U1479">
        <f t="shared" si="346"/>
        <v>1</v>
      </c>
      <c r="V1479">
        <f t="shared" si="349"/>
        <v>1</v>
      </c>
      <c r="W1479">
        <f t="shared" si="350"/>
        <v>0</v>
      </c>
      <c r="X1479">
        <f t="shared" si="359"/>
        <v>0</v>
      </c>
      <c r="Y1479">
        <f t="shared" si="360"/>
        <v>0</v>
      </c>
      <c r="Z1479">
        <f t="shared" si="351"/>
        <v>6</v>
      </c>
      <c r="AA1479">
        <f t="shared" si="352"/>
        <v>2.5</v>
      </c>
      <c r="AB1479">
        <f t="shared" si="353"/>
        <v>5.7142857142857144</v>
      </c>
      <c r="AC1479">
        <f t="shared" si="354"/>
        <v>0</v>
      </c>
      <c r="AD1479" s="1">
        <f t="shared" si="355"/>
        <v>0</v>
      </c>
      <c r="AE1479">
        <f t="shared" si="356"/>
        <v>0</v>
      </c>
      <c r="AF1479">
        <f t="shared" si="357"/>
        <v>0</v>
      </c>
      <c r="AG1479">
        <f t="shared" si="358"/>
        <v>0</v>
      </c>
    </row>
    <row r="1480" spans="1:33" x14ac:dyDescent="0.25">
      <c r="A1480" t="s">
        <v>2461</v>
      </c>
      <c r="B1480" t="s">
        <v>2462</v>
      </c>
      <c r="C1480">
        <v>165545</v>
      </c>
      <c r="D1480">
        <v>165545</v>
      </c>
      <c r="H1480">
        <v>10</v>
      </c>
      <c r="I1480">
        <v>40</v>
      </c>
      <c r="J1480">
        <v>10</v>
      </c>
      <c r="K1480">
        <v>10</v>
      </c>
      <c r="L1480">
        <v>10</v>
      </c>
      <c r="M1480">
        <v>80</v>
      </c>
      <c r="S1480">
        <f t="shared" si="347"/>
        <v>0</v>
      </c>
      <c r="T1480">
        <f t="shared" si="348"/>
        <v>6.666666666666667</v>
      </c>
      <c r="U1480">
        <f t="shared" si="346"/>
        <v>1</v>
      </c>
      <c r="V1480">
        <f t="shared" si="349"/>
        <v>0</v>
      </c>
      <c r="W1480">
        <f t="shared" si="350"/>
        <v>1</v>
      </c>
      <c r="X1480">
        <f t="shared" si="359"/>
        <v>0</v>
      </c>
      <c r="Y1480">
        <f t="shared" si="360"/>
        <v>1</v>
      </c>
      <c r="Z1480">
        <f t="shared" si="351"/>
        <v>0</v>
      </c>
      <c r="AA1480">
        <f t="shared" si="352"/>
        <v>0</v>
      </c>
      <c r="AB1480">
        <f t="shared" si="353"/>
        <v>0</v>
      </c>
      <c r="AC1480">
        <f t="shared" si="354"/>
        <v>5</v>
      </c>
      <c r="AD1480" s="1">
        <f t="shared" si="355"/>
        <v>6.666666666666667</v>
      </c>
      <c r="AE1480">
        <f t="shared" si="356"/>
        <v>5</v>
      </c>
      <c r="AF1480">
        <f t="shared" si="357"/>
        <v>10</v>
      </c>
      <c r="AG1480">
        <f t="shared" si="358"/>
        <v>10</v>
      </c>
    </row>
    <row r="1481" spans="1:33" x14ac:dyDescent="0.25">
      <c r="A1481" t="s">
        <v>2463</v>
      </c>
      <c r="B1481" t="s">
        <v>2464</v>
      </c>
      <c r="C1481">
        <v>168208</v>
      </c>
      <c r="D1481">
        <v>168208</v>
      </c>
      <c r="H1481">
        <v>10</v>
      </c>
      <c r="I1481">
        <v>40</v>
      </c>
      <c r="J1481">
        <v>20</v>
      </c>
      <c r="K1481">
        <v>10</v>
      </c>
      <c r="L1481">
        <v>10</v>
      </c>
      <c r="M1481">
        <v>90</v>
      </c>
      <c r="S1481">
        <f t="shared" si="347"/>
        <v>0</v>
      </c>
      <c r="T1481">
        <f t="shared" si="348"/>
        <v>7.5</v>
      </c>
      <c r="U1481">
        <f t="shared" si="346"/>
        <v>1</v>
      </c>
      <c r="V1481">
        <f t="shared" si="349"/>
        <v>0</v>
      </c>
      <c r="W1481">
        <f t="shared" si="350"/>
        <v>1</v>
      </c>
      <c r="X1481">
        <f t="shared" si="359"/>
        <v>0</v>
      </c>
      <c r="Y1481">
        <f t="shared" si="360"/>
        <v>1</v>
      </c>
      <c r="Z1481">
        <f t="shared" si="351"/>
        <v>0</v>
      </c>
      <c r="AA1481">
        <f t="shared" si="352"/>
        <v>0</v>
      </c>
      <c r="AB1481">
        <f t="shared" si="353"/>
        <v>0</v>
      </c>
      <c r="AC1481">
        <f t="shared" si="354"/>
        <v>5</v>
      </c>
      <c r="AD1481" s="1">
        <f t="shared" si="355"/>
        <v>6.666666666666667</v>
      </c>
      <c r="AE1481">
        <f t="shared" si="356"/>
        <v>10</v>
      </c>
      <c r="AF1481">
        <f t="shared" si="357"/>
        <v>10</v>
      </c>
      <c r="AG1481">
        <f t="shared" si="358"/>
        <v>10</v>
      </c>
    </row>
    <row r="1482" spans="1:33" x14ac:dyDescent="0.25">
      <c r="A1482" t="s">
        <v>2465</v>
      </c>
      <c r="B1482" t="s">
        <v>2466</v>
      </c>
      <c r="C1482">
        <v>167488</v>
      </c>
      <c r="D1482">
        <v>167488</v>
      </c>
      <c r="H1482">
        <v>20</v>
      </c>
      <c r="I1482">
        <v>0</v>
      </c>
      <c r="J1482">
        <v>20</v>
      </c>
      <c r="K1482">
        <v>10</v>
      </c>
      <c r="L1482">
        <v>10</v>
      </c>
      <c r="M1482">
        <v>60</v>
      </c>
      <c r="S1482">
        <f t="shared" si="347"/>
        <v>0</v>
      </c>
      <c r="T1482">
        <f t="shared" si="348"/>
        <v>5</v>
      </c>
      <c r="U1482">
        <f t="shared" si="346"/>
        <v>1</v>
      </c>
      <c r="V1482">
        <f t="shared" si="349"/>
        <v>0</v>
      </c>
      <c r="W1482">
        <f t="shared" si="350"/>
        <v>1</v>
      </c>
      <c r="X1482">
        <f t="shared" si="359"/>
        <v>0</v>
      </c>
      <c r="Y1482">
        <f t="shared" si="360"/>
        <v>0</v>
      </c>
      <c r="Z1482">
        <f t="shared" si="351"/>
        <v>0</v>
      </c>
      <c r="AA1482">
        <f t="shared" si="352"/>
        <v>0</v>
      </c>
      <c r="AB1482">
        <f t="shared" si="353"/>
        <v>0</v>
      </c>
      <c r="AC1482">
        <f t="shared" si="354"/>
        <v>10</v>
      </c>
      <c r="AD1482" s="1">
        <f t="shared" si="355"/>
        <v>0</v>
      </c>
      <c r="AE1482">
        <f t="shared" si="356"/>
        <v>10</v>
      </c>
      <c r="AF1482">
        <f t="shared" si="357"/>
        <v>10</v>
      </c>
      <c r="AG1482">
        <f t="shared" si="358"/>
        <v>10</v>
      </c>
    </row>
    <row r="1483" spans="1:33" x14ac:dyDescent="0.25">
      <c r="A1483" t="s">
        <v>2467</v>
      </c>
      <c r="B1483" t="s">
        <v>1577</v>
      </c>
      <c r="C1483">
        <v>162849</v>
      </c>
      <c r="D1483">
        <v>162849</v>
      </c>
      <c r="H1483">
        <v>10</v>
      </c>
      <c r="I1483">
        <v>10</v>
      </c>
      <c r="J1483">
        <v>10</v>
      </c>
      <c r="K1483">
        <v>0</v>
      </c>
      <c r="L1483">
        <v>0</v>
      </c>
      <c r="M1483">
        <v>30</v>
      </c>
      <c r="S1483">
        <f t="shared" si="347"/>
        <v>0</v>
      </c>
      <c r="T1483">
        <f t="shared" si="348"/>
        <v>2.5</v>
      </c>
      <c r="U1483">
        <f t="shared" si="346"/>
        <v>1</v>
      </c>
      <c r="V1483">
        <f t="shared" si="349"/>
        <v>0</v>
      </c>
      <c r="W1483">
        <f t="shared" si="350"/>
        <v>1</v>
      </c>
      <c r="X1483">
        <f t="shared" si="359"/>
        <v>0</v>
      </c>
      <c r="Y1483">
        <f t="shared" si="360"/>
        <v>0</v>
      </c>
      <c r="Z1483">
        <f t="shared" si="351"/>
        <v>0</v>
      </c>
      <c r="AA1483">
        <f t="shared" si="352"/>
        <v>0</v>
      </c>
      <c r="AB1483">
        <f t="shared" si="353"/>
        <v>0</v>
      </c>
      <c r="AC1483">
        <f t="shared" si="354"/>
        <v>5</v>
      </c>
      <c r="AD1483" s="1">
        <f t="shared" si="355"/>
        <v>1.6666666666666667</v>
      </c>
      <c r="AE1483">
        <f t="shared" si="356"/>
        <v>5</v>
      </c>
      <c r="AF1483">
        <f t="shared" si="357"/>
        <v>0</v>
      </c>
      <c r="AG1483">
        <f t="shared" si="358"/>
        <v>0</v>
      </c>
    </row>
    <row r="1484" spans="1:33" x14ac:dyDescent="0.25">
      <c r="A1484" t="s">
        <v>2468</v>
      </c>
      <c r="B1484" t="s">
        <v>2469</v>
      </c>
      <c r="C1484">
        <v>166175</v>
      </c>
      <c r="D1484">
        <v>166175</v>
      </c>
      <c r="E1484">
        <v>30</v>
      </c>
      <c r="F1484">
        <v>20</v>
      </c>
      <c r="G1484">
        <v>50</v>
      </c>
      <c r="O1484">
        <v>100</v>
      </c>
      <c r="S1484">
        <f t="shared" si="347"/>
        <v>6.25</v>
      </c>
      <c r="T1484">
        <f t="shared" si="348"/>
        <v>0</v>
      </c>
      <c r="U1484">
        <f t="shared" si="346"/>
        <v>1</v>
      </c>
      <c r="V1484">
        <f t="shared" si="349"/>
        <v>1</v>
      </c>
      <c r="W1484">
        <f t="shared" si="350"/>
        <v>0</v>
      </c>
      <c r="X1484">
        <f t="shared" si="359"/>
        <v>1</v>
      </c>
      <c r="Y1484">
        <f t="shared" si="360"/>
        <v>0</v>
      </c>
      <c r="Z1484">
        <f t="shared" si="351"/>
        <v>6</v>
      </c>
      <c r="AA1484">
        <f t="shared" si="352"/>
        <v>5</v>
      </c>
      <c r="AB1484">
        <f t="shared" si="353"/>
        <v>7.1428571428571432</v>
      </c>
      <c r="AC1484">
        <f t="shared" si="354"/>
        <v>0</v>
      </c>
      <c r="AD1484" s="1">
        <f t="shared" si="355"/>
        <v>0</v>
      </c>
      <c r="AE1484">
        <f t="shared" si="356"/>
        <v>0</v>
      </c>
      <c r="AF1484">
        <f t="shared" si="357"/>
        <v>0</v>
      </c>
      <c r="AG1484">
        <f t="shared" si="358"/>
        <v>0</v>
      </c>
    </row>
    <row r="1485" spans="1:33" x14ac:dyDescent="0.25">
      <c r="A1485" t="s">
        <v>2470</v>
      </c>
      <c r="B1485" t="s">
        <v>2471</v>
      </c>
      <c r="C1485">
        <v>167325</v>
      </c>
      <c r="D1485">
        <v>167325</v>
      </c>
      <c r="H1485">
        <v>10</v>
      </c>
      <c r="I1485">
        <v>40</v>
      </c>
      <c r="J1485">
        <v>20</v>
      </c>
      <c r="K1485">
        <v>10</v>
      </c>
      <c r="L1485">
        <v>0</v>
      </c>
      <c r="M1485">
        <v>80</v>
      </c>
      <c r="S1485">
        <f t="shared" si="347"/>
        <v>0</v>
      </c>
      <c r="T1485">
        <f t="shared" si="348"/>
        <v>6.666666666666667</v>
      </c>
      <c r="U1485">
        <f t="shared" si="346"/>
        <v>1</v>
      </c>
      <c r="V1485">
        <f t="shared" si="349"/>
        <v>0</v>
      </c>
      <c r="W1485">
        <f t="shared" si="350"/>
        <v>1</v>
      </c>
      <c r="X1485">
        <f t="shared" si="359"/>
        <v>0</v>
      </c>
      <c r="Y1485">
        <f t="shared" si="360"/>
        <v>1</v>
      </c>
      <c r="Z1485">
        <f t="shared" si="351"/>
        <v>0</v>
      </c>
      <c r="AA1485">
        <f t="shared" si="352"/>
        <v>0</v>
      </c>
      <c r="AB1485">
        <f t="shared" si="353"/>
        <v>0</v>
      </c>
      <c r="AC1485">
        <f t="shared" si="354"/>
        <v>5</v>
      </c>
      <c r="AD1485" s="1">
        <f t="shared" si="355"/>
        <v>6.666666666666667</v>
      </c>
      <c r="AE1485">
        <f t="shared" si="356"/>
        <v>10</v>
      </c>
      <c r="AF1485">
        <f t="shared" si="357"/>
        <v>10</v>
      </c>
      <c r="AG1485">
        <f t="shared" si="358"/>
        <v>0</v>
      </c>
    </row>
    <row r="1486" spans="1:33" x14ac:dyDescent="0.25">
      <c r="A1486" t="s">
        <v>2472</v>
      </c>
      <c r="B1486" t="s">
        <v>2473</v>
      </c>
      <c r="C1486">
        <v>167270</v>
      </c>
      <c r="D1486">
        <v>167270</v>
      </c>
      <c r="H1486">
        <v>0</v>
      </c>
      <c r="I1486">
        <v>0</v>
      </c>
      <c r="J1486">
        <v>20</v>
      </c>
      <c r="K1486">
        <v>10</v>
      </c>
      <c r="L1486">
        <v>0</v>
      </c>
      <c r="M1486">
        <v>30</v>
      </c>
      <c r="S1486">
        <f t="shared" si="347"/>
        <v>0</v>
      </c>
      <c r="T1486">
        <f t="shared" si="348"/>
        <v>2.5</v>
      </c>
      <c r="U1486">
        <f t="shared" si="346"/>
        <v>1</v>
      </c>
      <c r="V1486">
        <f t="shared" si="349"/>
        <v>0</v>
      </c>
      <c r="W1486">
        <f t="shared" si="350"/>
        <v>1</v>
      </c>
      <c r="X1486">
        <f t="shared" si="359"/>
        <v>0</v>
      </c>
      <c r="Y1486">
        <f t="shared" si="360"/>
        <v>0</v>
      </c>
      <c r="Z1486">
        <f t="shared" si="351"/>
        <v>0</v>
      </c>
      <c r="AA1486">
        <f t="shared" si="352"/>
        <v>0</v>
      </c>
      <c r="AB1486">
        <f t="shared" si="353"/>
        <v>0</v>
      </c>
      <c r="AC1486">
        <f t="shared" si="354"/>
        <v>0</v>
      </c>
      <c r="AD1486" s="1">
        <f t="shared" si="355"/>
        <v>0</v>
      </c>
      <c r="AE1486">
        <f t="shared" si="356"/>
        <v>10</v>
      </c>
      <c r="AF1486">
        <f t="shared" si="357"/>
        <v>10</v>
      </c>
      <c r="AG1486">
        <f t="shared" si="358"/>
        <v>0</v>
      </c>
    </row>
    <row r="1487" spans="1:33" x14ac:dyDescent="0.25">
      <c r="A1487" t="s">
        <v>2474</v>
      </c>
      <c r="B1487" t="s">
        <v>963</v>
      </c>
      <c r="C1487">
        <v>166147</v>
      </c>
      <c r="D1487">
        <v>166147</v>
      </c>
      <c r="E1487">
        <v>40</v>
      </c>
      <c r="F1487">
        <v>30</v>
      </c>
      <c r="G1487">
        <v>20</v>
      </c>
      <c r="O1487">
        <v>90</v>
      </c>
      <c r="S1487">
        <f t="shared" si="347"/>
        <v>5.625</v>
      </c>
      <c r="T1487">
        <f t="shared" si="348"/>
        <v>0</v>
      </c>
      <c r="U1487">
        <f t="shared" si="346"/>
        <v>1</v>
      </c>
      <c r="V1487">
        <f t="shared" si="349"/>
        <v>1</v>
      </c>
      <c r="W1487">
        <f t="shared" si="350"/>
        <v>0</v>
      </c>
      <c r="X1487">
        <f t="shared" si="359"/>
        <v>0</v>
      </c>
      <c r="Y1487">
        <f t="shared" si="360"/>
        <v>0</v>
      </c>
      <c r="Z1487">
        <f t="shared" si="351"/>
        <v>8</v>
      </c>
      <c r="AA1487">
        <f t="shared" si="352"/>
        <v>7.5</v>
      </c>
      <c r="AB1487">
        <f t="shared" si="353"/>
        <v>2.8571428571428572</v>
      </c>
      <c r="AC1487">
        <f t="shared" si="354"/>
        <v>0</v>
      </c>
      <c r="AD1487" s="1">
        <f t="shared" si="355"/>
        <v>0</v>
      </c>
      <c r="AE1487">
        <f t="shared" si="356"/>
        <v>0</v>
      </c>
      <c r="AF1487">
        <f t="shared" si="357"/>
        <v>0</v>
      </c>
      <c r="AG1487">
        <f t="shared" si="358"/>
        <v>0</v>
      </c>
    </row>
    <row r="1488" spans="1:33" x14ac:dyDescent="0.25">
      <c r="A1488" t="s">
        <v>2475</v>
      </c>
      <c r="B1488" t="s">
        <v>2476</v>
      </c>
      <c r="C1488">
        <v>166822</v>
      </c>
      <c r="D1488">
        <v>166822</v>
      </c>
      <c r="H1488">
        <v>10</v>
      </c>
      <c r="I1488">
        <v>60</v>
      </c>
      <c r="J1488">
        <v>20</v>
      </c>
      <c r="K1488">
        <v>10</v>
      </c>
      <c r="L1488">
        <v>10</v>
      </c>
      <c r="M1488">
        <v>110</v>
      </c>
      <c r="S1488">
        <f t="shared" si="347"/>
        <v>0</v>
      </c>
      <c r="T1488">
        <f t="shared" si="348"/>
        <v>9.1666666666666661</v>
      </c>
      <c r="U1488">
        <f t="shared" si="346"/>
        <v>1</v>
      </c>
      <c r="V1488">
        <f t="shared" si="349"/>
        <v>0</v>
      </c>
      <c r="W1488">
        <f t="shared" si="350"/>
        <v>1</v>
      </c>
      <c r="X1488">
        <f t="shared" si="359"/>
        <v>0</v>
      </c>
      <c r="Y1488">
        <f t="shared" si="360"/>
        <v>1</v>
      </c>
      <c r="Z1488">
        <f t="shared" si="351"/>
        <v>0</v>
      </c>
      <c r="AA1488">
        <f t="shared" si="352"/>
        <v>0</v>
      </c>
      <c r="AB1488">
        <f t="shared" si="353"/>
        <v>0</v>
      </c>
      <c r="AC1488">
        <f t="shared" si="354"/>
        <v>5</v>
      </c>
      <c r="AD1488" s="1">
        <f t="shared" si="355"/>
        <v>10</v>
      </c>
      <c r="AE1488">
        <f t="shared" si="356"/>
        <v>10</v>
      </c>
      <c r="AF1488">
        <f t="shared" si="357"/>
        <v>10</v>
      </c>
      <c r="AG1488">
        <f t="shared" si="358"/>
        <v>10</v>
      </c>
    </row>
    <row r="1489" spans="1:33" x14ac:dyDescent="0.25">
      <c r="A1489" t="s">
        <v>2475</v>
      </c>
      <c r="B1489" t="s">
        <v>944</v>
      </c>
      <c r="C1489">
        <v>166400</v>
      </c>
      <c r="D1489">
        <v>166400</v>
      </c>
      <c r="S1489">
        <f t="shared" si="347"/>
        <v>0</v>
      </c>
      <c r="T1489">
        <f t="shared" si="348"/>
        <v>0</v>
      </c>
      <c r="U1489">
        <f t="shared" si="346"/>
        <v>0</v>
      </c>
      <c r="V1489">
        <f t="shared" si="349"/>
        <v>0</v>
      </c>
      <c r="W1489">
        <f t="shared" si="350"/>
        <v>0</v>
      </c>
      <c r="X1489">
        <f t="shared" si="359"/>
        <v>0</v>
      </c>
      <c r="Y1489">
        <f t="shared" si="360"/>
        <v>0</v>
      </c>
      <c r="Z1489">
        <f t="shared" si="351"/>
        <v>0</v>
      </c>
      <c r="AA1489">
        <f t="shared" si="352"/>
        <v>0</v>
      </c>
      <c r="AB1489">
        <f t="shared" si="353"/>
        <v>0</v>
      </c>
      <c r="AC1489">
        <f t="shared" si="354"/>
        <v>0</v>
      </c>
      <c r="AD1489" s="1">
        <f t="shared" si="355"/>
        <v>0</v>
      </c>
      <c r="AE1489">
        <f t="shared" si="356"/>
        <v>0</v>
      </c>
      <c r="AF1489">
        <f t="shared" si="357"/>
        <v>0</v>
      </c>
      <c r="AG1489">
        <f t="shared" si="358"/>
        <v>0</v>
      </c>
    </row>
    <row r="1490" spans="1:33" x14ac:dyDescent="0.25">
      <c r="A1490" t="s">
        <v>2477</v>
      </c>
      <c r="B1490" t="s">
        <v>1701</v>
      </c>
      <c r="C1490">
        <v>163190</v>
      </c>
      <c r="D1490">
        <v>163190</v>
      </c>
      <c r="E1490">
        <v>50</v>
      </c>
      <c r="F1490">
        <v>20</v>
      </c>
      <c r="G1490">
        <v>50</v>
      </c>
      <c r="O1490">
        <v>120</v>
      </c>
      <c r="S1490">
        <f t="shared" si="347"/>
        <v>7.5</v>
      </c>
      <c r="T1490">
        <f t="shared" si="348"/>
        <v>0</v>
      </c>
      <c r="U1490">
        <f t="shared" si="346"/>
        <v>1</v>
      </c>
      <c r="V1490">
        <f t="shared" si="349"/>
        <v>1</v>
      </c>
      <c r="W1490">
        <f t="shared" si="350"/>
        <v>0</v>
      </c>
      <c r="X1490">
        <f t="shared" si="359"/>
        <v>1</v>
      </c>
      <c r="Y1490">
        <f t="shared" si="360"/>
        <v>0</v>
      </c>
      <c r="Z1490">
        <f t="shared" si="351"/>
        <v>10</v>
      </c>
      <c r="AA1490">
        <f t="shared" si="352"/>
        <v>5</v>
      </c>
      <c r="AB1490">
        <f t="shared" si="353"/>
        <v>7.1428571428571432</v>
      </c>
      <c r="AC1490">
        <f t="shared" si="354"/>
        <v>0</v>
      </c>
      <c r="AD1490" s="1">
        <f t="shared" si="355"/>
        <v>0</v>
      </c>
      <c r="AE1490">
        <f t="shared" si="356"/>
        <v>0</v>
      </c>
      <c r="AF1490">
        <f t="shared" si="357"/>
        <v>0</v>
      </c>
      <c r="AG1490">
        <f t="shared" si="358"/>
        <v>0</v>
      </c>
    </row>
    <row r="1491" spans="1:33" x14ac:dyDescent="0.25">
      <c r="A1491" t="s">
        <v>2478</v>
      </c>
      <c r="B1491" t="s">
        <v>2479</v>
      </c>
      <c r="C1491">
        <v>166519</v>
      </c>
      <c r="D1491">
        <v>166519</v>
      </c>
      <c r="S1491">
        <f t="shared" si="347"/>
        <v>0</v>
      </c>
      <c r="T1491">
        <f t="shared" si="348"/>
        <v>0</v>
      </c>
      <c r="U1491">
        <f t="shared" si="346"/>
        <v>0</v>
      </c>
      <c r="V1491">
        <f t="shared" si="349"/>
        <v>0</v>
      </c>
      <c r="W1491">
        <f t="shared" si="350"/>
        <v>0</v>
      </c>
      <c r="X1491">
        <f t="shared" si="359"/>
        <v>0</v>
      </c>
      <c r="Y1491">
        <f t="shared" si="360"/>
        <v>0</v>
      </c>
      <c r="Z1491">
        <f t="shared" si="351"/>
        <v>0</v>
      </c>
      <c r="AA1491">
        <f t="shared" si="352"/>
        <v>0</v>
      </c>
      <c r="AB1491">
        <f t="shared" si="353"/>
        <v>0</v>
      </c>
      <c r="AC1491">
        <f t="shared" si="354"/>
        <v>0</v>
      </c>
      <c r="AD1491" s="1">
        <f t="shared" si="355"/>
        <v>0</v>
      </c>
      <c r="AE1491">
        <f t="shared" si="356"/>
        <v>0</v>
      </c>
      <c r="AF1491">
        <f t="shared" si="357"/>
        <v>0</v>
      </c>
      <c r="AG1491">
        <f t="shared" si="358"/>
        <v>0</v>
      </c>
    </row>
    <row r="1492" spans="1:33" x14ac:dyDescent="0.25">
      <c r="A1492" t="s">
        <v>2480</v>
      </c>
      <c r="B1492" t="s">
        <v>49</v>
      </c>
      <c r="C1492">
        <v>166852</v>
      </c>
      <c r="D1492">
        <v>166852</v>
      </c>
      <c r="H1492">
        <v>0</v>
      </c>
      <c r="I1492">
        <v>0</v>
      </c>
      <c r="J1492">
        <v>10</v>
      </c>
      <c r="K1492">
        <v>10</v>
      </c>
      <c r="L1492">
        <v>0</v>
      </c>
      <c r="M1492">
        <v>20</v>
      </c>
      <c r="S1492">
        <f t="shared" si="347"/>
        <v>0</v>
      </c>
      <c r="T1492">
        <f t="shared" si="348"/>
        <v>1.6666666666666667</v>
      </c>
      <c r="U1492">
        <f t="shared" si="346"/>
        <v>1</v>
      </c>
      <c r="V1492">
        <f t="shared" si="349"/>
        <v>0</v>
      </c>
      <c r="W1492">
        <f t="shared" si="350"/>
        <v>1</v>
      </c>
      <c r="X1492">
        <f t="shared" si="359"/>
        <v>0</v>
      </c>
      <c r="Y1492">
        <f t="shared" si="360"/>
        <v>0</v>
      </c>
      <c r="Z1492">
        <f t="shared" si="351"/>
        <v>0</v>
      </c>
      <c r="AA1492">
        <f t="shared" si="352"/>
        <v>0</v>
      </c>
      <c r="AB1492">
        <f t="shared" si="353"/>
        <v>0</v>
      </c>
      <c r="AC1492">
        <f t="shared" si="354"/>
        <v>0</v>
      </c>
      <c r="AD1492" s="1">
        <f t="shared" si="355"/>
        <v>0</v>
      </c>
      <c r="AE1492">
        <f t="shared" si="356"/>
        <v>5</v>
      </c>
      <c r="AF1492">
        <f t="shared" si="357"/>
        <v>10</v>
      </c>
      <c r="AG1492">
        <f t="shared" si="358"/>
        <v>0</v>
      </c>
    </row>
    <row r="1493" spans="1:33" x14ac:dyDescent="0.25">
      <c r="A1493" t="s">
        <v>2481</v>
      </c>
      <c r="B1493" t="s">
        <v>2482</v>
      </c>
      <c r="C1493">
        <v>156299</v>
      </c>
      <c r="D1493">
        <v>156299</v>
      </c>
      <c r="S1493">
        <f t="shared" si="347"/>
        <v>0</v>
      </c>
      <c r="T1493">
        <f t="shared" si="348"/>
        <v>0</v>
      </c>
      <c r="U1493">
        <f t="shared" si="346"/>
        <v>0</v>
      </c>
      <c r="V1493">
        <f t="shared" si="349"/>
        <v>0</v>
      </c>
      <c r="W1493">
        <f t="shared" si="350"/>
        <v>0</v>
      </c>
      <c r="X1493">
        <f t="shared" si="359"/>
        <v>0</v>
      </c>
      <c r="Y1493">
        <f t="shared" si="360"/>
        <v>0</v>
      </c>
      <c r="Z1493">
        <f t="shared" si="351"/>
        <v>0</v>
      </c>
      <c r="AA1493">
        <f t="shared" si="352"/>
        <v>0</v>
      </c>
      <c r="AB1493">
        <f t="shared" si="353"/>
        <v>0</v>
      </c>
      <c r="AC1493">
        <f t="shared" si="354"/>
        <v>0</v>
      </c>
      <c r="AD1493" s="1">
        <f t="shared" si="355"/>
        <v>0</v>
      </c>
      <c r="AE1493">
        <f t="shared" si="356"/>
        <v>0</v>
      </c>
      <c r="AF1493">
        <f t="shared" si="357"/>
        <v>0</v>
      </c>
      <c r="AG1493">
        <f t="shared" si="358"/>
        <v>0</v>
      </c>
    </row>
    <row r="1494" spans="1:33" x14ac:dyDescent="0.25">
      <c r="A1494" t="s">
        <v>2483</v>
      </c>
      <c r="B1494" t="s">
        <v>2484</v>
      </c>
      <c r="C1494">
        <v>165331</v>
      </c>
      <c r="D1494">
        <v>165331</v>
      </c>
      <c r="H1494">
        <v>0</v>
      </c>
      <c r="I1494">
        <v>40</v>
      </c>
      <c r="J1494">
        <v>10</v>
      </c>
      <c r="K1494">
        <v>10</v>
      </c>
      <c r="L1494">
        <v>0</v>
      </c>
      <c r="M1494">
        <v>60</v>
      </c>
      <c r="S1494">
        <f t="shared" si="347"/>
        <v>0</v>
      </c>
      <c r="T1494">
        <f t="shared" si="348"/>
        <v>5</v>
      </c>
      <c r="U1494">
        <f t="shared" si="346"/>
        <v>1</v>
      </c>
      <c r="V1494">
        <f t="shared" si="349"/>
        <v>0</v>
      </c>
      <c r="W1494">
        <f t="shared" si="350"/>
        <v>1</v>
      </c>
      <c r="X1494">
        <f t="shared" si="359"/>
        <v>0</v>
      </c>
      <c r="Y1494">
        <f t="shared" si="360"/>
        <v>0</v>
      </c>
      <c r="Z1494">
        <f t="shared" si="351"/>
        <v>0</v>
      </c>
      <c r="AA1494">
        <f t="shared" si="352"/>
        <v>0</v>
      </c>
      <c r="AB1494">
        <f t="shared" si="353"/>
        <v>0</v>
      </c>
      <c r="AC1494">
        <f t="shared" si="354"/>
        <v>0</v>
      </c>
      <c r="AD1494" s="1">
        <f t="shared" si="355"/>
        <v>6.666666666666667</v>
      </c>
      <c r="AE1494">
        <f t="shared" si="356"/>
        <v>5</v>
      </c>
      <c r="AF1494">
        <f t="shared" si="357"/>
        <v>10</v>
      </c>
      <c r="AG1494">
        <f t="shared" si="358"/>
        <v>0</v>
      </c>
    </row>
    <row r="1495" spans="1:33" x14ac:dyDescent="0.25">
      <c r="A1495" t="s">
        <v>2485</v>
      </c>
      <c r="B1495" t="s">
        <v>340</v>
      </c>
      <c r="C1495">
        <v>167834</v>
      </c>
      <c r="D1495">
        <v>167834</v>
      </c>
      <c r="E1495">
        <v>20</v>
      </c>
      <c r="F1495">
        <v>0</v>
      </c>
      <c r="G1495">
        <v>20</v>
      </c>
      <c r="O1495">
        <v>40</v>
      </c>
      <c r="S1495">
        <f t="shared" si="347"/>
        <v>2.5</v>
      </c>
      <c r="T1495">
        <f t="shared" si="348"/>
        <v>0</v>
      </c>
      <c r="U1495">
        <f t="shared" si="346"/>
        <v>1</v>
      </c>
      <c r="V1495">
        <f t="shared" si="349"/>
        <v>1</v>
      </c>
      <c r="W1495">
        <f t="shared" si="350"/>
        <v>0</v>
      </c>
      <c r="X1495">
        <f t="shared" si="359"/>
        <v>0</v>
      </c>
      <c r="Y1495">
        <f t="shared" si="360"/>
        <v>0</v>
      </c>
      <c r="Z1495">
        <f t="shared" si="351"/>
        <v>4</v>
      </c>
      <c r="AA1495">
        <f t="shared" si="352"/>
        <v>0</v>
      </c>
      <c r="AB1495">
        <f t="shared" si="353"/>
        <v>2.8571428571428572</v>
      </c>
      <c r="AC1495">
        <f t="shared" si="354"/>
        <v>0</v>
      </c>
      <c r="AD1495" s="1">
        <f t="shared" si="355"/>
        <v>0</v>
      </c>
      <c r="AE1495">
        <f t="shared" si="356"/>
        <v>0</v>
      </c>
      <c r="AF1495">
        <f t="shared" si="357"/>
        <v>0</v>
      </c>
      <c r="AG1495">
        <f t="shared" si="358"/>
        <v>0</v>
      </c>
    </row>
    <row r="1496" spans="1:33" x14ac:dyDescent="0.25">
      <c r="A1496" t="s">
        <v>2486</v>
      </c>
      <c r="B1496" t="s">
        <v>2487</v>
      </c>
      <c r="C1496">
        <v>166299</v>
      </c>
      <c r="D1496">
        <v>166299</v>
      </c>
      <c r="E1496">
        <v>30</v>
      </c>
      <c r="F1496">
        <v>0</v>
      </c>
      <c r="G1496">
        <v>20</v>
      </c>
      <c r="O1496">
        <v>50</v>
      </c>
      <c r="S1496">
        <f t="shared" si="347"/>
        <v>3.125</v>
      </c>
      <c r="T1496">
        <f t="shared" si="348"/>
        <v>0</v>
      </c>
      <c r="U1496">
        <f t="shared" si="346"/>
        <v>1</v>
      </c>
      <c r="V1496">
        <f t="shared" si="349"/>
        <v>1</v>
      </c>
      <c r="W1496">
        <f t="shared" si="350"/>
        <v>0</v>
      </c>
      <c r="X1496">
        <f t="shared" si="359"/>
        <v>0</v>
      </c>
      <c r="Y1496">
        <f t="shared" si="360"/>
        <v>0</v>
      </c>
      <c r="Z1496">
        <f t="shared" si="351"/>
        <v>6</v>
      </c>
      <c r="AA1496">
        <f t="shared" si="352"/>
        <v>0</v>
      </c>
      <c r="AB1496">
        <f t="shared" si="353"/>
        <v>2.8571428571428572</v>
      </c>
      <c r="AC1496">
        <f t="shared" si="354"/>
        <v>0</v>
      </c>
      <c r="AD1496" s="1">
        <f t="shared" si="355"/>
        <v>0</v>
      </c>
      <c r="AE1496">
        <f t="shared" si="356"/>
        <v>0</v>
      </c>
      <c r="AF1496">
        <f t="shared" si="357"/>
        <v>0</v>
      </c>
      <c r="AG1496">
        <f t="shared" si="358"/>
        <v>0</v>
      </c>
    </row>
    <row r="1497" spans="1:33" x14ac:dyDescent="0.25">
      <c r="A1497" t="s">
        <v>2488</v>
      </c>
      <c r="B1497" t="s">
        <v>797</v>
      </c>
      <c r="C1497">
        <v>166751</v>
      </c>
      <c r="D1497">
        <v>166751</v>
      </c>
      <c r="H1497">
        <v>10</v>
      </c>
      <c r="I1497">
        <v>50</v>
      </c>
      <c r="J1497">
        <v>10</v>
      </c>
      <c r="K1497">
        <v>0</v>
      </c>
      <c r="L1497">
        <v>0</v>
      </c>
      <c r="M1497">
        <v>70</v>
      </c>
      <c r="S1497">
        <f t="shared" si="347"/>
        <v>0</v>
      </c>
      <c r="T1497">
        <f t="shared" si="348"/>
        <v>5.833333333333333</v>
      </c>
      <c r="U1497">
        <f t="shared" si="346"/>
        <v>1</v>
      </c>
      <c r="V1497">
        <f t="shared" si="349"/>
        <v>0</v>
      </c>
      <c r="W1497">
        <f t="shared" si="350"/>
        <v>1</v>
      </c>
      <c r="X1497">
        <f t="shared" si="359"/>
        <v>0</v>
      </c>
      <c r="Y1497">
        <f t="shared" si="360"/>
        <v>0</v>
      </c>
      <c r="Z1497">
        <f t="shared" si="351"/>
        <v>0</v>
      </c>
      <c r="AA1497">
        <f t="shared" si="352"/>
        <v>0</v>
      </c>
      <c r="AB1497">
        <f t="shared" si="353"/>
        <v>0</v>
      </c>
      <c r="AC1497">
        <f t="shared" si="354"/>
        <v>5</v>
      </c>
      <c r="AD1497" s="1">
        <f t="shared" si="355"/>
        <v>8.3333333333333339</v>
      </c>
      <c r="AE1497">
        <f t="shared" si="356"/>
        <v>5</v>
      </c>
      <c r="AF1497">
        <f t="shared" si="357"/>
        <v>0</v>
      </c>
      <c r="AG1497">
        <f t="shared" si="358"/>
        <v>0</v>
      </c>
    </row>
    <row r="1498" spans="1:33" x14ac:dyDescent="0.25">
      <c r="A1498" t="s">
        <v>2489</v>
      </c>
      <c r="B1498" t="s">
        <v>2490</v>
      </c>
      <c r="C1498">
        <v>165024</v>
      </c>
      <c r="D1498">
        <v>165024</v>
      </c>
      <c r="H1498">
        <v>0</v>
      </c>
      <c r="I1498">
        <v>10</v>
      </c>
      <c r="J1498">
        <v>10</v>
      </c>
      <c r="K1498">
        <v>0</v>
      </c>
      <c r="L1498">
        <v>10</v>
      </c>
      <c r="M1498">
        <v>30</v>
      </c>
      <c r="S1498">
        <f t="shared" si="347"/>
        <v>0</v>
      </c>
      <c r="T1498">
        <f t="shared" si="348"/>
        <v>2.5</v>
      </c>
      <c r="U1498">
        <f t="shared" si="346"/>
        <v>1</v>
      </c>
      <c r="V1498">
        <f t="shared" si="349"/>
        <v>0</v>
      </c>
      <c r="W1498">
        <f t="shared" si="350"/>
        <v>1</v>
      </c>
      <c r="X1498">
        <f t="shared" si="359"/>
        <v>0</v>
      </c>
      <c r="Y1498">
        <f t="shared" si="360"/>
        <v>0</v>
      </c>
      <c r="Z1498">
        <f t="shared" si="351"/>
        <v>0</v>
      </c>
      <c r="AA1498">
        <f t="shared" si="352"/>
        <v>0</v>
      </c>
      <c r="AB1498">
        <f t="shared" si="353"/>
        <v>0</v>
      </c>
      <c r="AC1498">
        <f t="shared" si="354"/>
        <v>0</v>
      </c>
      <c r="AD1498" s="1">
        <f t="shared" si="355"/>
        <v>1.6666666666666667</v>
      </c>
      <c r="AE1498">
        <f t="shared" si="356"/>
        <v>5</v>
      </c>
      <c r="AF1498">
        <f t="shared" si="357"/>
        <v>0</v>
      </c>
      <c r="AG1498">
        <f t="shared" si="358"/>
        <v>10</v>
      </c>
    </row>
    <row r="1499" spans="1:33" x14ac:dyDescent="0.25">
      <c r="A1499" t="s">
        <v>2491</v>
      </c>
      <c r="B1499" t="s">
        <v>121</v>
      </c>
      <c r="C1499">
        <v>167475</v>
      </c>
      <c r="D1499">
        <v>167475</v>
      </c>
      <c r="H1499">
        <v>20</v>
      </c>
      <c r="I1499">
        <v>40</v>
      </c>
      <c r="J1499">
        <v>10</v>
      </c>
      <c r="K1499">
        <v>0</v>
      </c>
      <c r="M1499">
        <v>70</v>
      </c>
      <c r="S1499">
        <f t="shared" si="347"/>
        <v>0</v>
      </c>
      <c r="T1499">
        <f t="shared" si="348"/>
        <v>5.833333333333333</v>
      </c>
      <c r="U1499">
        <f t="shared" si="346"/>
        <v>1</v>
      </c>
      <c r="V1499">
        <f t="shared" si="349"/>
        <v>0</v>
      </c>
      <c r="W1499">
        <f t="shared" si="350"/>
        <v>1</v>
      </c>
      <c r="X1499">
        <f t="shared" si="359"/>
        <v>0</v>
      </c>
      <c r="Y1499">
        <f t="shared" si="360"/>
        <v>0</v>
      </c>
      <c r="Z1499">
        <f t="shared" si="351"/>
        <v>0</v>
      </c>
      <c r="AA1499">
        <f t="shared" si="352"/>
        <v>0</v>
      </c>
      <c r="AB1499">
        <f t="shared" si="353"/>
        <v>0</v>
      </c>
      <c r="AC1499">
        <f t="shared" si="354"/>
        <v>10</v>
      </c>
      <c r="AD1499" s="1">
        <f t="shared" si="355"/>
        <v>6.666666666666667</v>
      </c>
      <c r="AE1499">
        <f t="shared" si="356"/>
        <v>5</v>
      </c>
      <c r="AF1499">
        <f t="shared" si="357"/>
        <v>0</v>
      </c>
      <c r="AG1499">
        <f t="shared" si="358"/>
        <v>0</v>
      </c>
    </row>
    <row r="1500" spans="1:33" x14ac:dyDescent="0.25">
      <c r="A1500" t="s">
        <v>2492</v>
      </c>
      <c r="B1500" t="s">
        <v>1442</v>
      </c>
      <c r="C1500">
        <v>166273</v>
      </c>
      <c r="D1500">
        <v>166273</v>
      </c>
      <c r="S1500">
        <f t="shared" si="347"/>
        <v>0</v>
      </c>
      <c r="T1500">
        <f t="shared" si="348"/>
        <v>0</v>
      </c>
      <c r="U1500">
        <f t="shared" si="346"/>
        <v>0</v>
      </c>
      <c r="V1500">
        <f t="shared" si="349"/>
        <v>0</v>
      </c>
      <c r="W1500">
        <f t="shared" si="350"/>
        <v>0</v>
      </c>
      <c r="X1500">
        <f t="shared" si="359"/>
        <v>0</v>
      </c>
      <c r="Y1500">
        <f t="shared" si="360"/>
        <v>0</v>
      </c>
      <c r="Z1500">
        <f t="shared" si="351"/>
        <v>0</v>
      </c>
      <c r="AA1500">
        <f t="shared" si="352"/>
        <v>0</v>
      </c>
      <c r="AB1500">
        <f t="shared" si="353"/>
        <v>0</v>
      </c>
      <c r="AC1500">
        <f t="shared" si="354"/>
        <v>0</v>
      </c>
      <c r="AD1500" s="1">
        <f t="shared" si="355"/>
        <v>0</v>
      </c>
      <c r="AE1500">
        <f t="shared" si="356"/>
        <v>0</v>
      </c>
      <c r="AF1500">
        <f t="shared" si="357"/>
        <v>0</v>
      </c>
      <c r="AG1500">
        <f t="shared" si="358"/>
        <v>0</v>
      </c>
    </row>
    <row r="1501" spans="1:33" x14ac:dyDescent="0.25">
      <c r="A1501" t="s">
        <v>2493</v>
      </c>
      <c r="B1501" t="s">
        <v>396</v>
      </c>
      <c r="C1501">
        <v>166288</v>
      </c>
      <c r="D1501">
        <v>166288</v>
      </c>
      <c r="H1501">
        <v>10</v>
      </c>
      <c r="I1501">
        <v>60</v>
      </c>
      <c r="J1501">
        <v>20</v>
      </c>
      <c r="K1501">
        <v>10</v>
      </c>
      <c r="L1501">
        <v>10</v>
      </c>
      <c r="M1501">
        <v>110</v>
      </c>
      <c r="S1501">
        <f t="shared" si="347"/>
        <v>0</v>
      </c>
      <c r="T1501">
        <f t="shared" si="348"/>
        <v>9.1666666666666661</v>
      </c>
      <c r="U1501">
        <f t="shared" si="346"/>
        <v>1</v>
      </c>
      <c r="V1501">
        <f t="shared" si="349"/>
        <v>0</v>
      </c>
      <c r="W1501">
        <f t="shared" si="350"/>
        <v>1</v>
      </c>
      <c r="X1501">
        <f t="shared" si="359"/>
        <v>0</v>
      </c>
      <c r="Y1501">
        <f t="shared" si="360"/>
        <v>1</v>
      </c>
      <c r="Z1501">
        <f t="shared" si="351"/>
        <v>0</v>
      </c>
      <c r="AA1501">
        <f t="shared" si="352"/>
        <v>0</v>
      </c>
      <c r="AB1501">
        <f t="shared" si="353"/>
        <v>0</v>
      </c>
      <c r="AC1501">
        <f t="shared" si="354"/>
        <v>5</v>
      </c>
      <c r="AD1501" s="1">
        <f t="shared" si="355"/>
        <v>10</v>
      </c>
      <c r="AE1501">
        <f t="shared" si="356"/>
        <v>10</v>
      </c>
      <c r="AF1501">
        <f t="shared" si="357"/>
        <v>10</v>
      </c>
      <c r="AG1501">
        <f t="shared" si="358"/>
        <v>10</v>
      </c>
    </row>
    <row r="1502" spans="1:33" x14ac:dyDescent="0.25">
      <c r="A1502" t="s">
        <v>2494</v>
      </c>
      <c r="B1502" t="s">
        <v>75</v>
      </c>
      <c r="C1502">
        <v>166061</v>
      </c>
      <c r="D1502">
        <v>166061</v>
      </c>
      <c r="S1502">
        <f t="shared" si="347"/>
        <v>0</v>
      </c>
      <c r="T1502">
        <f t="shared" si="348"/>
        <v>0</v>
      </c>
      <c r="U1502">
        <f t="shared" si="346"/>
        <v>0</v>
      </c>
      <c r="V1502">
        <f t="shared" si="349"/>
        <v>0</v>
      </c>
      <c r="W1502">
        <f t="shared" si="350"/>
        <v>0</v>
      </c>
      <c r="X1502">
        <f t="shared" si="359"/>
        <v>0</v>
      </c>
      <c r="Y1502">
        <f t="shared" si="360"/>
        <v>0</v>
      </c>
      <c r="Z1502">
        <f t="shared" si="351"/>
        <v>0</v>
      </c>
      <c r="AA1502">
        <f t="shared" si="352"/>
        <v>0</v>
      </c>
      <c r="AB1502">
        <f t="shared" si="353"/>
        <v>0</v>
      </c>
      <c r="AC1502">
        <f t="shared" si="354"/>
        <v>0</v>
      </c>
      <c r="AD1502" s="1">
        <f t="shared" si="355"/>
        <v>0</v>
      </c>
      <c r="AE1502">
        <f t="shared" si="356"/>
        <v>0</v>
      </c>
      <c r="AF1502">
        <f t="shared" si="357"/>
        <v>0</v>
      </c>
      <c r="AG1502">
        <f t="shared" si="358"/>
        <v>0</v>
      </c>
    </row>
    <row r="1503" spans="1:33" x14ac:dyDescent="0.25">
      <c r="A1503" t="s">
        <v>2495</v>
      </c>
      <c r="B1503" t="s">
        <v>2496</v>
      </c>
      <c r="C1503">
        <v>165109</v>
      </c>
      <c r="D1503">
        <v>165109</v>
      </c>
      <c r="S1503">
        <f t="shared" si="347"/>
        <v>0</v>
      </c>
      <c r="T1503">
        <f t="shared" si="348"/>
        <v>0</v>
      </c>
      <c r="U1503">
        <f t="shared" si="346"/>
        <v>0</v>
      </c>
      <c r="V1503">
        <f t="shared" si="349"/>
        <v>0</v>
      </c>
      <c r="W1503">
        <f t="shared" si="350"/>
        <v>0</v>
      </c>
      <c r="X1503">
        <f t="shared" si="359"/>
        <v>0</v>
      </c>
      <c r="Y1503">
        <f t="shared" si="360"/>
        <v>0</v>
      </c>
      <c r="Z1503">
        <f t="shared" si="351"/>
        <v>0</v>
      </c>
      <c r="AA1503">
        <f t="shared" si="352"/>
        <v>0</v>
      </c>
      <c r="AB1503">
        <f t="shared" si="353"/>
        <v>0</v>
      </c>
      <c r="AC1503">
        <f t="shared" si="354"/>
        <v>0</v>
      </c>
      <c r="AD1503" s="1">
        <f t="shared" si="355"/>
        <v>0</v>
      </c>
      <c r="AE1503">
        <f t="shared" si="356"/>
        <v>0</v>
      </c>
      <c r="AF1503">
        <f t="shared" si="357"/>
        <v>0</v>
      </c>
      <c r="AG1503">
        <f t="shared" si="358"/>
        <v>0</v>
      </c>
    </row>
    <row r="1504" spans="1:33" x14ac:dyDescent="0.25">
      <c r="A1504" t="s">
        <v>2497</v>
      </c>
      <c r="B1504" t="s">
        <v>57</v>
      </c>
      <c r="C1504">
        <v>166702</v>
      </c>
      <c r="D1504">
        <v>166702</v>
      </c>
      <c r="H1504">
        <v>10</v>
      </c>
      <c r="I1504">
        <v>40</v>
      </c>
      <c r="J1504">
        <v>20</v>
      </c>
      <c r="K1504">
        <v>10</v>
      </c>
      <c r="L1504">
        <v>10</v>
      </c>
      <c r="M1504">
        <v>90</v>
      </c>
      <c r="S1504">
        <f t="shared" si="347"/>
        <v>0</v>
      </c>
      <c r="T1504">
        <f t="shared" si="348"/>
        <v>7.5</v>
      </c>
      <c r="U1504">
        <f t="shared" si="346"/>
        <v>1</v>
      </c>
      <c r="V1504">
        <f t="shared" si="349"/>
        <v>0</v>
      </c>
      <c r="W1504">
        <f t="shared" si="350"/>
        <v>1</v>
      </c>
      <c r="X1504">
        <f t="shared" si="359"/>
        <v>0</v>
      </c>
      <c r="Y1504">
        <f t="shared" si="360"/>
        <v>1</v>
      </c>
      <c r="Z1504">
        <f t="shared" si="351"/>
        <v>0</v>
      </c>
      <c r="AA1504">
        <f t="shared" si="352"/>
        <v>0</v>
      </c>
      <c r="AB1504">
        <f t="shared" si="353"/>
        <v>0</v>
      </c>
      <c r="AC1504">
        <f t="shared" si="354"/>
        <v>5</v>
      </c>
      <c r="AD1504" s="1">
        <f t="shared" si="355"/>
        <v>6.666666666666667</v>
      </c>
      <c r="AE1504">
        <f t="shared" si="356"/>
        <v>10</v>
      </c>
      <c r="AF1504">
        <f t="shared" si="357"/>
        <v>10</v>
      </c>
      <c r="AG1504">
        <f t="shared" si="358"/>
        <v>10</v>
      </c>
    </row>
    <row r="1505" spans="1:33" x14ac:dyDescent="0.25">
      <c r="A1505" t="s">
        <v>2498</v>
      </c>
      <c r="B1505" t="s">
        <v>228</v>
      </c>
      <c r="C1505">
        <v>167190</v>
      </c>
      <c r="D1505">
        <v>167190</v>
      </c>
      <c r="H1505">
        <v>20</v>
      </c>
      <c r="I1505">
        <v>30</v>
      </c>
      <c r="J1505">
        <v>10</v>
      </c>
      <c r="K1505">
        <v>0</v>
      </c>
      <c r="L1505">
        <v>0</v>
      </c>
      <c r="M1505">
        <v>60</v>
      </c>
      <c r="S1505">
        <f t="shared" si="347"/>
        <v>0</v>
      </c>
      <c r="T1505">
        <f t="shared" si="348"/>
        <v>5</v>
      </c>
      <c r="U1505">
        <f t="shared" si="346"/>
        <v>1</v>
      </c>
      <c r="V1505">
        <f t="shared" si="349"/>
        <v>0</v>
      </c>
      <c r="W1505">
        <f t="shared" si="350"/>
        <v>1</v>
      </c>
      <c r="X1505">
        <f t="shared" si="359"/>
        <v>0</v>
      </c>
      <c r="Y1505">
        <f t="shared" si="360"/>
        <v>0</v>
      </c>
      <c r="Z1505">
        <f t="shared" si="351"/>
        <v>0</v>
      </c>
      <c r="AA1505">
        <f t="shared" si="352"/>
        <v>0</v>
      </c>
      <c r="AB1505">
        <f t="shared" si="353"/>
        <v>0</v>
      </c>
      <c r="AC1505">
        <f t="shared" si="354"/>
        <v>10</v>
      </c>
      <c r="AD1505" s="1">
        <f t="shared" si="355"/>
        <v>5</v>
      </c>
      <c r="AE1505">
        <f t="shared" si="356"/>
        <v>5</v>
      </c>
      <c r="AF1505">
        <f t="shared" si="357"/>
        <v>0</v>
      </c>
      <c r="AG1505">
        <f t="shared" si="358"/>
        <v>0</v>
      </c>
    </row>
    <row r="1506" spans="1:33" x14ac:dyDescent="0.25">
      <c r="A1506" t="s">
        <v>2499</v>
      </c>
      <c r="B1506" t="s">
        <v>2500</v>
      </c>
      <c r="C1506">
        <v>165904</v>
      </c>
      <c r="D1506">
        <v>165904</v>
      </c>
      <c r="E1506">
        <v>40</v>
      </c>
      <c r="F1506">
        <v>0</v>
      </c>
      <c r="G1506">
        <v>60</v>
      </c>
      <c r="O1506">
        <v>100</v>
      </c>
      <c r="S1506">
        <f t="shared" si="347"/>
        <v>6.25</v>
      </c>
      <c r="T1506">
        <f t="shared" si="348"/>
        <v>0</v>
      </c>
      <c r="U1506">
        <f t="shared" si="346"/>
        <v>1</v>
      </c>
      <c r="V1506">
        <f t="shared" si="349"/>
        <v>1</v>
      </c>
      <c r="W1506">
        <f t="shared" si="350"/>
        <v>0</v>
      </c>
      <c r="X1506">
        <f t="shared" si="359"/>
        <v>1</v>
      </c>
      <c r="Y1506">
        <f t="shared" si="360"/>
        <v>0</v>
      </c>
      <c r="Z1506">
        <f t="shared" si="351"/>
        <v>8</v>
      </c>
      <c r="AA1506">
        <f t="shared" si="352"/>
        <v>0</v>
      </c>
      <c r="AB1506">
        <f t="shared" si="353"/>
        <v>8.5714285714285712</v>
      </c>
      <c r="AC1506">
        <f t="shared" si="354"/>
        <v>0</v>
      </c>
      <c r="AD1506" s="1">
        <f t="shared" si="355"/>
        <v>0</v>
      </c>
      <c r="AE1506">
        <f t="shared" si="356"/>
        <v>0</v>
      </c>
      <c r="AF1506">
        <f t="shared" si="357"/>
        <v>0</v>
      </c>
      <c r="AG1506">
        <f t="shared" si="358"/>
        <v>0</v>
      </c>
    </row>
    <row r="1507" spans="1:33" x14ac:dyDescent="0.25">
      <c r="A1507" t="s">
        <v>2501</v>
      </c>
      <c r="B1507" t="s">
        <v>486</v>
      </c>
      <c r="C1507">
        <v>167121</v>
      </c>
      <c r="D1507">
        <v>167121</v>
      </c>
      <c r="H1507">
        <v>10</v>
      </c>
      <c r="I1507">
        <v>40</v>
      </c>
      <c r="J1507">
        <v>10</v>
      </c>
      <c r="K1507">
        <v>10</v>
      </c>
      <c r="L1507">
        <v>10</v>
      </c>
      <c r="M1507">
        <v>80</v>
      </c>
      <c r="S1507">
        <f t="shared" si="347"/>
        <v>0</v>
      </c>
      <c r="T1507">
        <f t="shared" si="348"/>
        <v>6.666666666666667</v>
      </c>
      <c r="U1507">
        <f t="shared" si="346"/>
        <v>1</v>
      </c>
      <c r="V1507">
        <f t="shared" si="349"/>
        <v>0</v>
      </c>
      <c r="W1507">
        <f t="shared" si="350"/>
        <v>1</v>
      </c>
      <c r="X1507">
        <f t="shared" si="359"/>
        <v>0</v>
      </c>
      <c r="Y1507">
        <f t="shared" si="360"/>
        <v>1</v>
      </c>
      <c r="Z1507">
        <f t="shared" si="351"/>
        <v>0</v>
      </c>
      <c r="AA1507">
        <f t="shared" si="352"/>
        <v>0</v>
      </c>
      <c r="AB1507">
        <f t="shared" si="353"/>
        <v>0</v>
      </c>
      <c r="AC1507">
        <f t="shared" si="354"/>
        <v>5</v>
      </c>
      <c r="AD1507" s="1">
        <f t="shared" si="355"/>
        <v>6.666666666666667</v>
      </c>
      <c r="AE1507">
        <f t="shared" si="356"/>
        <v>5</v>
      </c>
      <c r="AF1507">
        <f t="shared" si="357"/>
        <v>10</v>
      </c>
      <c r="AG1507">
        <f t="shared" si="358"/>
        <v>10</v>
      </c>
    </row>
    <row r="1508" spans="1:33" x14ac:dyDescent="0.25">
      <c r="A1508" t="s">
        <v>2502</v>
      </c>
      <c r="B1508" t="s">
        <v>1743</v>
      </c>
      <c r="C1508">
        <v>165335</v>
      </c>
      <c r="D1508">
        <v>165335</v>
      </c>
      <c r="S1508">
        <f t="shared" si="347"/>
        <v>0</v>
      </c>
      <c r="T1508">
        <f t="shared" si="348"/>
        <v>0</v>
      </c>
      <c r="U1508">
        <f t="shared" si="346"/>
        <v>0</v>
      </c>
      <c r="V1508">
        <f t="shared" si="349"/>
        <v>0</v>
      </c>
      <c r="W1508">
        <f t="shared" si="350"/>
        <v>0</v>
      </c>
      <c r="X1508">
        <f t="shared" si="359"/>
        <v>0</v>
      </c>
      <c r="Y1508">
        <f t="shared" si="360"/>
        <v>0</v>
      </c>
      <c r="Z1508">
        <f t="shared" si="351"/>
        <v>0</v>
      </c>
      <c r="AA1508">
        <f t="shared" si="352"/>
        <v>0</v>
      </c>
      <c r="AB1508">
        <f t="shared" si="353"/>
        <v>0</v>
      </c>
      <c r="AC1508">
        <f t="shared" si="354"/>
        <v>0</v>
      </c>
      <c r="AD1508" s="1">
        <f t="shared" si="355"/>
        <v>0</v>
      </c>
      <c r="AE1508">
        <f t="shared" si="356"/>
        <v>0</v>
      </c>
      <c r="AF1508">
        <f t="shared" si="357"/>
        <v>0</v>
      </c>
      <c r="AG1508">
        <f t="shared" si="358"/>
        <v>0</v>
      </c>
    </row>
    <row r="1509" spans="1:33" x14ac:dyDescent="0.25">
      <c r="A1509" t="s">
        <v>2503</v>
      </c>
      <c r="B1509" t="s">
        <v>2504</v>
      </c>
      <c r="C1509">
        <v>168329</v>
      </c>
      <c r="D1509">
        <v>168329</v>
      </c>
      <c r="E1509">
        <v>40</v>
      </c>
      <c r="F1509">
        <v>20</v>
      </c>
      <c r="G1509">
        <v>30</v>
      </c>
      <c r="O1509">
        <v>90</v>
      </c>
      <c r="S1509">
        <f t="shared" si="347"/>
        <v>5.625</v>
      </c>
      <c r="T1509">
        <f t="shared" si="348"/>
        <v>0</v>
      </c>
      <c r="U1509">
        <f t="shared" si="346"/>
        <v>1</v>
      </c>
      <c r="V1509">
        <f t="shared" si="349"/>
        <v>1</v>
      </c>
      <c r="W1509">
        <f t="shared" si="350"/>
        <v>0</v>
      </c>
      <c r="X1509">
        <f t="shared" si="359"/>
        <v>0</v>
      </c>
      <c r="Y1509">
        <f t="shared" si="360"/>
        <v>0</v>
      </c>
      <c r="Z1509">
        <f t="shared" si="351"/>
        <v>8</v>
      </c>
      <c r="AA1509">
        <f t="shared" si="352"/>
        <v>5</v>
      </c>
      <c r="AB1509">
        <f t="shared" si="353"/>
        <v>4.2857142857142856</v>
      </c>
      <c r="AC1509">
        <f t="shared" si="354"/>
        <v>0</v>
      </c>
      <c r="AD1509" s="1">
        <f t="shared" si="355"/>
        <v>0</v>
      </c>
      <c r="AE1509">
        <f t="shared" si="356"/>
        <v>0</v>
      </c>
      <c r="AF1509">
        <f t="shared" si="357"/>
        <v>0</v>
      </c>
      <c r="AG1509">
        <f t="shared" si="358"/>
        <v>0</v>
      </c>
    </row>
    <row r="1510" spans="1:33" x14ac:dyDescent="0.25">
      <c r="A1510" t="s">
        <v>2505</v>
      </c>
      <c r="B1510" t="s">
        <v>489</v>
      </c>
      <c r="C1510">
        <v>163690</v>
      </c>
      <c r="D1510">
        <v>163690</v>
      </c>
      <c r="E1510">
        <v>40</v>
      </c>
      <c r="F1510">
        <v>10</v>
      </c>
      <c r="G1510">
        <v>10</v>
      </c>
      <c r="O1510">
        <v>60</v>
      </c>
      <c r="S1510">
        <f t="shared" si="347"/>
        <v>3.75</v>
      </c>
      <c r="T1510">
        <f t="shared" si="348"/>
        <v>0</v>
      </c>
      <c r="U1510">
        <f t="shared" si="346"/>
        <v>1</v>
      </c>
      <c r="V1510">
        <f t="shared" si="349"/>
        <v>1</v>
      </c>
      <c r="W1510">
        <f t="shared" si="350"/>
        <v>0</v>
      </c>
      <c r="X1510">
        <f t="shared" si="359"/>
        <v>0</v>
      </c>
      <c r="Y1510">
        <f t="shared" si="360"/>
        <v>0</v>
      </c>
      <c r="Z1510">
        <f t="shared" si="351"/>
        <v>8</v>
      </c>
      <c r="AA1510">
        <f t="shared" si="352"/>
        <v>2.5</v>
      </c>
      <c r="AB1510">
        <f t="shared" si="353"/>
        <v>1.4285714285714286</v>
      </c>
      <c r="AC1510">
        <f t="shared" si="354"/>
        <v>0</v>
      </c>
      <c r="AD1510" s="1">
        <f t="shared" si="355"/>
        <v>0</v>
      </c>
      <c r="AE1510">
        <f t="shared" si="356"/>
        <v>0</v>
      </c>
      <c r="AF1510">
        <f t="shared" si="357"/>
        <v>0</v>
      </c>
      <c r="AG1510">
        <f t="shared" si="358"/>
        <v>0</v>
      </c>
    </row>
    <row r="1511" spans="1:33" x14ac:dyDescent="0.25">
      <c r="A1511" t="s">
        <v>2506</v>
      </c>
      <c r="B1511" t="s">
        <v>1978</v>
      </c>
      <c r="C1511">
        <v>164526</v>
      </c>
      <c r="D1511">
        <v>164526</v>
      </c>
      <c r="E1511">
        <v>50</v>
      </c>
      <c r="F1511">
        <v>30</v>
      </c>
      <c r="G1511">
        <v>30</v>
      </c>
      <c r="O1511">
        <v>110</v>
      </c>
      <c r="S1511">
        <f t="shared" si="347"/>
        <v>6.875</v>
      </c>
      <c r="T1511">
        <f t="shared" si="348"/>
        <v>0</v>
      </c>
      <c r="U1511">
        <f t="shared" si="346"/>
        <v>1</v>
      </c>
      <c r="V1511">
        <f t="shared" si="349"/>
        <v>1</v>
      </c>
      <c r="W1511">
        <f t="shared" si="350"/>
        <v>0</v>
      </c>
      <c r="X1511">
        <f t="shared" si="359"/>
        <v>1</v>
      </c>
      <c r="Y1511">
        <f t="shared" si="360"/>
        <v>0</v>
      </c>
      <c r="Z1511">
        <f t="shared" si="351"/>
        <v>10</v>
      </c>
      <c r="AA1511">
        <f t="shared" si="352"/>
        <v>7.5</v>
      </c>
      <c r="AB1511">
        <f t="shared" si="353"/>
        <v>4.2857142857142856</v>
      </c>
      <c r="AC1511">
        <f t="shared" si="354"/>
        <v>0</v>
      </c>
      <c r="AD1511" s="1">
        <f t="shared" si="355"/>
        <v>0</v>
      </c>
      <c r="AE1511">
        <f t="shared" si="356"/>
        <v>0</v>
      </c>
      <c r="AF1511">
        <f t="shared" si="357"/>
        <v>0</v>
      </c>
      <c r="AG1511">
        <f t="shared" si="358"/>
        <v>0</v>
      </c>
    </row>
    <row r="1512" spans="1:33" x14ac:dyDescent="0.25">
      <c r="A1512" t="s">
        <v>2507</v>
      </c>
      <c r="B1512" t="s">
        <v>2412</v>
      </c>
      <c r="C1512">
        <v>166099</v>
      </c>
      <c r="D1512">
        <v>166099</v>
      </c>
      <c r="H1512">
        <v>20</v>
      </c>
      <c r="I1512">
        <v>40</v>
      </c>
      <c r="J1512">
        <v>20</v>
      </c>
      <c r="K1512">
        <v>10</v>
      </c>
      <c r="L1512">
        <v>0</v>
      </c>
      <c r="M1512">
        <v>90</v>
      </c>
      <c r="S1512">
        <f t="shared" si="347"/>
        <v>0</v>
      </c>
      <c r="T1512">
        <f t="shared" si="348"/>
        <v>7.5</v>
      </c>
      <c r="U1512">
        <f t="shared" si="346"/>
        <v>1</v>
      </c>
      <c r="V1512">
        <f t="shared" si="349"/>
        <v>0</v>
      </c>
      <c r="W1512">
        <f t="shared" si="350"/>
        <v>1</v>
      </c>
      <c r="X1512">
        <f t="shared" si="359"/>
        <v>0</v>
      </c>
      <c r="Y1512">
        <f t="shared" si="360"/>
        <v>1</v>
      </c>
      <c r="Z1512">
        <f t="shared" si="351"/>
        <v>0</v>
      </c>
      <c r="AA1512">
        <f t="shared" si="352"/>
        <v>0</v>
      </c>
      <c r="AB1512">
        <f t="shared" si="353"/>
        <v>0</v>
      </c>
      <c r="AC1512">
        <f t="shared" si="354"/>
        <v>10</v>
      </c>
      <c r="AD1512" s="1">
        <f t="shared" si="355"/>
        <v>6.666666666666667</v>
      </c>
      <c r="AE1512">
        <f t="shared" si="356"/>
        <v>10</v>
      </c>
      <c r="AF1512">
        <f t="shared" si="357"/>
        <v>10</v>
      </c>
      <c r="AG1512">
        <f t="shared" si="358"/>
        <v>0</v>
      </c>
    </row>
    <row r="1513" spans="1:33" x14ac:dyDescent="0.25">
      <c r="A1513" t="s">
        <v>2508</v>
      </c>
      <c r="B1513" t="s">
        <v>2509</v>
      </c>
      <c r="C1513">
        <v>165950</v>
      </c>
      <c r="D1513">
        <v>165950</v>
      </c>
      <c r="S1513">
        <f t="shared" si="347"/>
        <v>0</v>
      </c>
      <c r="T1513">
        <f t="shared" si="348"/>
        <v>0</v>
      </c>
      <c r="U1513">
        <f t="shared" si="346"/>
        <v>0</v>
      </c>
      <c r="V1513">
        <f t="shared" si="349"/>
        <v>0</v>
      </c>
      <c r="W1513">
        <f t="shared" si="350"/>
        <v>0</v>
      </c>
      <c r="X1513">
        <f t="shared" si="359"/>
        <v>0</v>
      </c>
      <c r="Y1513">
        <f t="shared" si="360"/>
        <v>0</v>
      </c>
      <c r="Z1513">
        <f t="shared" si="351"/>
        <v>0</v>
      </c>
      <c r="AA1513">
        <f t="shared" si="352"/>
        <v>0</v>
      </c>
      <c r="AB1513">
        <f t="shared" si="353"/>
        <v>0</v>
      </c>
      <c r="AC1513">
        <f t="shared" si="354"/>
        <v>0</v>
      </c>
      <c r="AD1513" s="1">
        <f t="shared" si="355"/>
        <v>0</v>
      </c>
      <c r="AE1513">
        <f t="shared" si="356"/>
        <v>0</v>
      </c>
      <c r="AF1513">
        <f t="shared" si="357"/>
        <v>0</v>
      </c>
      <c r="AG1513">
        <f t="shared" si="358"/>
        <v>0</v>
      </c>
    </row>
    <row r="1514" spans="1:33" x14ac:dyDescent="0.25">
      <c r="A1514" t="s">
        <v>2510</v>
      </c>
      <c r="B1514" t="s">
        <v>49</v>
      </c>
      <c r="C1514">
        <v>168559</v>
      </c>
      <c r="D1514">
        <v>168559</v>
      </c>
      <c r="S1514">
        <f t="shared" si="347"/>
        <v>0</v>
      </c>
      <c r="T1514">
        <f t="shared" si="348"/>
        <v>0</v>
      </c>
      <c r="U1514">
        <f t="shared" si="346"/>
        <v>0</v>
      </c>
      <c r="V1514">
        <f t="shared" si="349"/>
        <v>0</v>
      </c>
      <c r="W1514">
        <f t="shared" si="350"/>
        <v>0</v>
      </c>
      <c r="X1514">
        <f t="shared" si="359"/>
        <v>0</v>
      </c>
      <c r="Y1514">
        <f t="shared" si="360"/>
        <v>0</v>
      </c>
      <c r="Z1514">
        <f t="shared" si="351"/>
        <v>0</v>
      </c>
      <c r="AA1514">
        <f t="shared" si="352"/>
        <v>0</v>
      </c>
      <c r="AB1514">
        <f t="shared" si="353"/>
        <v>0</v>
      </c>
      <c r="AC1514">
        <f t="shared" si="354"/>
        <v>0</v>
      </c>
      <c r="AD1514" s="1">
        <f t="shared" si="355"/>
        <v>0</v>
      </c>
      <c r="AE1514">
        <f t="shared" si="356"/>
        <v>0</v>
      </c>
      <c r="AF1514">
        <f t="shared" si="357"/>
        <v>0</v>
      </c>
      <c r="AG1514">
        <f t="shared" si="358"/>
        <v>0</v>
      </c>
    </row>
    <row r="1515" spans="1:33" x14ac:dyDescent="0.25">
      <c r="A1515" t="s">
        <v>2511</v>
      </c>
      <c r="B1515" t="s">
        <v>286</v>
      </c>
      <c r="C1515">
        <v>165942</v>
      </c>
      <c r="D1515">
        <v>165942</v>
      </c>
      <c r="H1515">
        <v>10</v>
      </c>
      <c r="I1515">
        <v>40</v>
      </c>
      <c r="J1515">
        <v>20</v>
      </c>
      <c r="K1515">
        <v>10</v>
      </c>
      <c r="L1515">
        <v>10</v>
      </c>
      <c r="M1515">
        <v>90</v>
      </c>
      <c r="S1515">
        <f t="shared" si="347"/>
        <v>0</v>
      </c>
      <c r="T1515">
        <f t="shared" si="348"/>
        <v>7.5</v>
      </c>
      <c r="U1515">
        <f t="shared" si="346"/>
        <v>1</v>
      </c>
      <c r="V1515">
        <f t="shared" si="349"/>
        <v>0</v>
      </c>
      <c r="W1515">
        <f t="shared" si="350"/>
        <v>1</v>
      </c>
      <c r="X1515">
        <f t="shared" si="359"/>
        <v>0</v>
      </c>
      <c r="Y1515">
        <f t="shared" si="360"/>
        <v>1</v>
      </c>
      <c r="Z1515">
        <f t="shared" si="351"/>
        <v>0</v>
      </c>
      <c r="AA1515">
        <f t="shared" si="352"/>
        <v>0</v>
      </c>
      <c r="AB1515">
        <f t="shared" si="353"/>
        <v>0</v>
      </c>
      <c r="AC1515">
        <f t="shared" si="354"/>
        <v>5</v>
      </c>
      <c r="AD1515" s="1">
        <f t="shared" si="355"/>
        <v>6.666666666666667</v>
      </c>
      <c r="AE1515">
        <f t="shared" si="356"/>
        <v>10</v>
      </c>
      <c r="AF1515">
        <f t="shared" si="357"/>
        <v>10</v>
      </c>
      <c r="AG1515">
        <f t="shared" si="358"/>
        <v>10</v>
      </c>
    </row>
    <row r="1516" spans="1:33" x14ac:dyDescent="0.25">
      <c r="A1516" t="s">
        <v>2512</v>
      </c>
      <c r="B1516" t="s">
        <v>904</v>
      </c>
      <c r="C1516">
        <v>167184</v>
      </c>
      <c r="D1516">
        <v>167184</v>
      </c>
      <c r="E1516">
        <v>30</v>
      </c>
      <c r="F1516">
        <v>20</v>
      </c>
      <c r="G1516">
        <v>20</v>
      </c>
      <c r="O1516">
        <v>70</v>
      </c>
      <c r="S1516">
        <f t="shared" si="347"/>
        <v>4.375</v>
      </c>
      <c r="T1516">
        <f t="shared" si="348"/>
        <v>0</v>
      </c>
      <c r="U1516">
        <f t="shared" si="346"/>
        <v>1</v>
      </c>
      <c r="V1516">
        <f t="shared" si="349"/>
        <v>1</v>
      </c>
      <c r="W1516">
        <f t="shared" si="350"/>
        <v>0</v>
      </c>
      <c r="X1516">
        <f t="shared" si="359"/>
        <v>0</v>
      </c>
      <c r="Y1516">
        <f t="shared" si="360"/>
        <v>0</v>
      </c>
      <c r="Z1516">
        <f t="shared" si="351"/>
        <v>6</v>
      </c>
      <c r="AA1516">
        <f t="shared" si="352"/>
        <v>5</v>
      </c>
      <c r="AB1516">
        <f t="shared" si="353"/>
        <v>2.8571428571428572</v>
      </c>
      <c r="AC1516">
        <f t="shared" si="354"/>
        <v>0</v>
      </c>
      <c r="AD1516" s="1">
        <f t="shared" si="355"/>
        <v>0</v>
      </c>
      <c r="AE1516">
        <f t="shared" si="356"/>
        <v>0</v>
      </c>
      <c r="AF1516">
        <f t="shared" si="357"/>
        <v>0</v>
      </c>
      <c r="AG1516">
        <f t="shared" si="358"/>
        <v>0</v>
      </c>
    </row>
    <row r="1517" spans="1:33" x14ac:dyDescent="0.25">
      <c r="A1517" t="s">
        <v>2513</v>
      </c>
      <c r="B1517" t="s">
        <v>2514</v>
      </c>
      <c r="C1517">
        <v>167439</v>
      </c>
      <c r="D1517">
        <v>167439</v>
      </c>
      <c r="E1517">
        <v>20</v>
      </c>
      <c r="F1517">
        <v>30</v>
      </c>
      <c r="G1517">
        <v>50</v>
      </c>
      <c r="O1517">
        <v>100</v>
      </c>
      <c r="S1517">
        <f t="shared" si="347"/>
        <v>6.25</v>
      </c>
      <c r="T1517">
        <f t="shared" si="348"/>
        <v>0</v>
      </c>
      <c r="U1517">
        <f t="shared" si="346"/>
        <v>1</v>
      </c>
      <c r="V1517">
        <f t="shared" si="349"/>
        <v>1</v>
      </c>
      <c r="W1517">
        <f t="shared" si="350"/>
        <v>0</v>
      </c>
      <c r="X1517">
        <f t="shared" si="359"/>
        <v>1</v>
      </c>
      <c r="Y1517">
        <f t="shared" si="360"/>
        <v>0</v>
      </c>
      <c r="Z1517">
        <f t="shared" si="351"/>
        <v>4</v>
      </c>
      <c r="AA1517">
        <f t="shared" si="352"/>
        <v>7.5</v>
      </c>
      <c r="AB1517">
        <f t="shared" si="353"/>
        <v>7.1428571428571432</v>
      </c>
      <c r="AC1517">
        <f t="shared" si="354"/>
        <v>0</v>
      </c>
      <c r="AD1517" s="1">
        <f t="shared" si="355"/>
        <v>0</v>
      </c>
      <c r="AE1517">
        <f t="shared" si="356"/>
        <v>0</v>
      </c>
      <c r="AF1517">
        <f t="shared" si="357"/>
        <v>0</v>
      </c>
      <c r="AG1517">
        <f t="shared" si="358"/>
        <v>0</v>
      </c>
    </row>
    <row r="1518" spans="1:33" x14ac:dyDescent="0.25">
      <c r="A1518" t="s">
        <v>2515</v>
      </c>
      <c r="B1518" t="s">
        <v>2516</v>
      </c>
      <c r="C1518">
        <v>165492</v>
      </c>
      <c r="D1518">
        <v>165492</v>
      </c>
      <c r="E1518">
        <v>10</v>
      </c>
      <c r="F1518">
        <v>10</v>
      </c>
      <c r="G1518">
        <v>10</v>
      </c>
      <c r="O1518">
        <v>30</v>
      </c>
      <c r="S1518">
        <f t="shared" si="347"/>
        <v>1.875</v>
      </c>
      <c r="T1518">
        <f t="shared" si="348"/>
        <v>0</v>
      </c>
      <c r="U1518">
        <f t="shared" si="346"/>
        <v>1</v>
      </c>
      <c r="V1518">
        <f t="shared" si="349"/>
        <v>1</v>
      </c>
      <c r="W1518">
        <f t="shared" si="350"/>
        <v>0</v>
      </c>
      <c r="X1518">
        <f t="shared" si="359"/>
        <v>0</v>
      </c>
      <c r="Y1518">
        <f t="shared" si="360"/>
        <v>0</v>
      </c>
      <c r="Z1518">
        <f t="shared" si="351"/>
        <v>2</v>
      </c>
      <c r="AA1518">
        <f t="shared" si="352"/>
        <v>2.5</v>
      </c>
      <c r="AB1518">
        <f t="shared" si="353"/>
        <v>1.4285714285714286</v>
      </c>
      <c r="AC1518">
        <f t="shared" si="354"/>
        <v>0</v>
      </c>
      <c r="AD1518" s="1">
        <f t="shared" si="355"/>
        <v>0</v>
      </c>
      <c r="AE1518">
        <f t="shared" si="356"/>
        <v>0</v>
      </c>
      <c r="AF1518">
        <f t="shared" si="357"/>
        <v>0</v>
      </c>
      <c r="AG1518">
        <f t="shared" si="358"/>
        <v>0</v>
      </c>
    </row>
    <row r="1519" spans="1:33" x14ac:dyDescent="0.25">
      <c r="A1519" t="s">
        <v>2517</v>
      </c>
      <c r="B1519" t="s">
        <v>2518</v>
      </c>
      <c r="C1519">
        <v>168247</v>
      </c>
      <c r="D1519">
        <v>168247</v>
      </c>
      <c r="E1519">
        <v>40</v>
      </c>
      <c r="F1519">
        <v>10</v>
      </c>
      <c r="G1519">
        <v>20</v>
      </c>
      <c r="O1519">
        <v>70</v>
      </c>
      <c r="S1519">
        <f t="shared" si="347"/>
        <v>4.375</v>
      </c>
      <c r="T1519">
        <f t="shared" si="348"/>
        <v>0</v>
      </c>
      <c r="U1519">
        <f t="shared" si="346"/>
        <v>1</v>
      </c>
      <c r="V1519">
        <f t="shared" si="349"/>
        <v>1</v>
      </c>
      <c r="W1519">
        <f t="shared" si="350"/>
        <v>0</v>
      </c>
      <c r="X1519">
        <f t="shared" si="359"/>
        <v>0</v>
      </c>
      <c r="Y1519">
        <f t="shared" si="360"/>
        <v>0</v>
      </c>
      <c r="Z1519">
        <f t="shared" si="351"/>
        <v>8</v>
      </c>
      <c r="AA1519">
        <f t="shared" si="352"/>
        <v>2.5</v>
      </c>
      <c r="AB1519">
        <f t="shared" si="353"/>
        <v>2.8571428571428572</v>
      </c>
      <c r="AC1519">
        <f t="shared" si="354"/>
        <v>0</v>
      </c>
      <c r="AD1519" s="1">
        <f t="shared" si="355"/>
        <v>0</v>
      </c>
      <c r="AE1519">
        <f t="shared" si="356"/>
        <v>0</v>
      </c>
      <c r="AF1519">
        <f t="shared" si="357"/>
        <v>0</v>
      </c>
      <c r="AG1519">
        <f t="shared" si="358"/>
        <v>0</v>
      </c>
    </row>
    <row r="1520" spans="1:33" x14ac:dyDescent="0.25">
      <c r="A1520" t="s">
        <v>2519</v>
      </c>
      <c r="B1520" t="s">
        <v>367</v>
      </c>
      <c r="C1520">
        <v>168138</v>
      </c>
      <c r="D1520">
        <v>168138</v>
      </c>
      <c r="H1520">
        <v>20</v>
      </c>
      <c r="I1520">
        <v>40</v>
      </c>
      <c r="J1520">
        <v>10</v>
      </c>
      <c r="K1520">
        <v>10</v>
      </c>
      <c r="L1520">
        <v>10</v>
      </c>
      <c r="M1520">
        <v>90</v>
      </c>
      <c r="S1520">
        <f t="shared" si="347"/>
        <v>0</v>
      </c>
      <c r="T1520">
        <f t="shared" si="348"/>
        <v>7.5</v>
      </c>
      <c r="U1520">
        <f t="shared" si="346"/>
        <v>1</v>
      </c>
      <c r="V1520">
        <f t="shared" si="349"/>
        <v>0</v>
      </c>
      <c r="W1520">
        <f t="shared" si="350"/>
        <v>1</v>
      </c>
      <c r="X1520">
        <f t="shared" si="359"/>
        <v>0</v>
      </c>
      <c r="Y1520">
        <f t="shared" si="360"/>
        <v>1</v>
      </c>
      <c r="Z1520">
        <f t="shared" si="351"/>
        <v>0</v>
      </c>
      <c r="AA1520">
        <f t="shared" si="352"/>
        <v>0</v>
      </c>
      <c r="AB1520">
        <f t="shared" si="353"/>
        <v>0</v>
      </c>
      <c r="AC1520">
        <f t="shared" si="354"/>
        <v>10</v>
      </c>
      <c r="AD1520" s="1">
        <f t="shared" si="355"/>
        <v>6.666666666666667</v>
      </c>
      <c r="AE1520">
        <f t="shared" si="356"/>
        <v>5</v>
      </c>
      <c r="AF1520">
        <f t="shared" si="357"/>
        <v>10</v>
      </c>
      <c r="AG1520">
        <f t="shared" si="358"/>
        <v>10</v>
      </c>
    </row>
    <row r="1521" spans="1:33" x14ac:dyDescent="0.25">
      <c r="A1521" t="s">
        <v>2520</v>
      </c>
      <c r="B1521" t="s">
        <v>2521</v>
      </c>
      <c r="C1521">
        <v>168297</v>
      </c>
      <c r="D1521">
        <v>168297</v>
      </c>
      <c r="H1521">
        <v>20</v>
      </c>
      <c r="I1521">
        <v>40</v>
      </c>
      <c r="J1521">
        <v>20</v>
      </c>
      <c r="K1521">
        <v>10</v>
      </c>
      <c r="L1521">
        <v>0</v>
      </c>
      <c r="M1521">
        <v>90</v>
      </c>
      <c r="S1521">
        <f t="shared" si="347"/>
        <v>0</v>
      </c>
      <c r="T1521">
        <f t="shared" si="348"/>
        <v>7.5</v>
      </c>
      <c r="U1521">
        <f t="shared" si="346"/>
        <v>1</v>
      </c>
      <c r="V1521">
        <f t="shared" si="349"/>
        <v>0</v>
      </c>
      <c r="W1521">
        <f t="shared" si="350"/>
        <v>1</v>
      </c>
      <c r="X1521">
        <f t="shared" si="359"/>
        <v>0</v>
      </c>
      <c r="Y1521">
        <f t="shared" si="360"/>
        <v>1</v>
      </c>
      <c r="Z1521">
        <f t="shared" si="351"/>
        <v>0</v>
      </c>
      <c r="AA1521">
        <f t="shared" si="352"/>
        <v>0</v>
      </c>
      <c r="AB1521">
        <f t="shared" si="353"/>
        <v>0</v>
      </c>
      <c r="AC1521">
        <f t="shared" si="354"/>
        <v>10</v>
      </c>
      <c r="AD1521" s="1">
        <f t="shared" si="355"/>
        <v>6.666666666666667</v>
      </c>
      <c r="AE1521">
        <f t="shared" si="356"/>
        <v>10</v>
      </c>
      <c r="AF1521">
        <f t="shared" si="357"/>
        <v>10</v>
      </c>
      <c r="AG1521">
        <f t="shared" si="358"/>
        <v>0</v>
      </c>
    </row>
    <row r="1522" spans="1:33" x14ac:dyDescent="0.25">
      <c r="A1522" t="s">
        <v>2520</v>
      </c>
      <c r="B1522" t="s">
        <v>2522</v>
      </c>
      <c r="C1522">
        <v>166945</v>
      </c>
      <c r="D1522">
        <v>166945</v>
      </c>
      <c r="H1522">
        <v>20</v>
      </c>
      <c r="I1522">
        <v>50</v>
      </c>
      <c r="J1522">
        <v>20</v>
      </c>
      <c r="K1522">
        <v>0</v>
      </c>
      <c r="L1522">
        <v>0</v>
      </c>
      <c r="M1522">
        <v>90</v>
      </c>
      <c r="S1522">
        <f t="shared" si="347"/>
        <v>0</v>
      </c>
      <c r="T1522">
        <f t="shared" si="348"/>
        <v>7.5</v>
      </c>
      <c r="U1522">
        <f t="shared" si="346"/>
        <v>1</v>
      </c>
      <c r="V1522">
        <f t="shared" si="349"/>
        <v>0</v>
      </c>
      <c r="W1522">
        <f t="shared" si="350"/>
        <v>1</v>
      </c>
      <c r="X1522">
        <f t="shared" si="359"/>
        <v>0</v>
      </c>
      <c r="Y1522">
        <f t="shared" si="360"/>
        <v>1</v>
      </c>
      <c r="Z1522">
        <f t="shared" si="351"/>
        <v>0</v>
      </c>
      <c r="AA1522">
        <f t="shared" si="352"/>
        <v>0</v>
      </c>
      <c r="AB1522">
        <f t="shared" si="353"/>
        <v>0</v>
      </c>
      <c r="AC1522">
        <f t="shared" si="354"/>
        <v>10</v>
      </c>
      <c r="AD1522" s="1">
        <f t="shared" si="355"/>
        <v>8.3333333333333339</v>
      </c>
      <c r="AE1522">
        <f t="shared" si="356"/>
        <v>10</v>
      </c>
      <c r="AF1522">
        <f t="shared" si="357"/>
        <v>0</v>
      </c>
      <c r="AG1522">
        <f t="shared" si="358"/>
        <v>0</v>
      </c>
    </row>
    <row r="1523" spans="1:33" x14ac:dyDescent="0.25">
      <c r="A1523" t="s">
        <v>2520</v>
      </c>
      <c r="B1523" t="s">
        <v>2523</v>
      </c>
      <c r="C1523">
        <v>167755</v>
      </c>
      <c r="D1523">
        <v>167755</v>
      </c>
      <c r="E1523">
        <v>10</v>
      </c>
      <c r="O1523">
        <v>10</v>
      </c>
      <c r="S1523">
        <f t="shared" si="347"/>
        <v>0.625</v>
      </c>
      <c r="T1523">
        <f t="shared" si="348"/>
        <v>0</v>
      </c>
      <c r="U1523">
        <f t="shared" si="346"/>
        <v>1</v>
      </c>
      <c r="V1523">
        <f t="shared" si="349"/>
        <v>1</v>
      </c>
      <c r="W1523">
        <f t="shared" si="350"/>
        <v>0</v>
      </c>
      <c r="X1523">
        <f t="shared" si="359"/>
        <v>0</v>
      </c>
      <c r="Y1523">
        <f t="shared" si="360"/>
        <v>0</v>
      </c>
      <c r="Z1523">
        <f t="shared" si="351"/>
        <v>2</v>
      </c>
      <c r="AA1523">
        <f t="shared" si="352"/>
        <v>0</v>
      </c>
      <c r="AB1523">
        <f t="shared" si="353"/>
        <v>0</v>
      </c>
      <c r="AC1523">
        <f t="shared" si="354"/>
        <v>0</v>
      </c>
      <c r="AD1523" s="1">
        <f t="shared" si="355"/>
        <v>0</v>
      </c>
      <c r="AE1523">
        <f t="shared" si="356"/>
        <v>0</v>
      </c>
      <c r="AF1523">
        <f t="shared" si="357"/>
        <v>0</v>
      </c>
      <c r="AG1523">
        <f t="shared" si="358"/>
        <v>0</v>
      </c>
    </row>
    <row r="1524" spans="1:33" x14ac:dyDescent="0.25">
      <c r="A1524" t="s">
        <v>2524</v>
      </c>
      <c r="B1524" t="s">
        <v>2525</v>
      </c>
      <c r="C1524">
        <v>162827</v>
      </c>
      <c r="D1524">
        <v>162827</v>
      </c>
      <c r="E1524">
        <v>40</v>
      </c>
      <c r="F1524">
        <v>40</v>
      </c>
      <c r="G1524">
        <v>40</v>
      </c>
      <c r="O1524">
        <v>120</v>
      </c>
      <c r="S1524">
        <f t="shared" si="347"/>
        <v>7.5</v>
      </c>
      <c r="T1524">
        <f t="shared" si="348"/>
        <v>0</v>
      </c>
      <c r="U1524">
        <f t="shared" si="346"/>
        <v>1</v>
      </c>
      <c r="V1524">
        <f t="shared" si="349"/>
        <v>1</v>
      </c>
      <c r="W1524">
        <f t="shared" si="350"/>
        <v>0</v>
      </c>
      <c r="X1524">
        <f t="shared" si="359"/>
        <v>1</v>
      </c>
      <c r="Y1524">
        <f t="shared" si="360"/>
        <v>0</v>
      </c>
      <c r="Z1524">
        <f t="shared" si="351"/>
        <v>8</v>
      </c>
      <c r="AA1524">
        <f t="shared" si="352"/>
        <v>10</v>
      </c>
      <c r="AB1524">
        <f t="shared" si="353"/>
        <v>5.7142857142857144</v>
      </c>
      <c r="AC1524">
        <f t="shared" si="354"/>
        <v>0</v>
      </c>
      <c r="AD1524" s="1">
        <f t="shared" si="355"/>
        <v>0</v>
      </c>
      <c r="AE1524">
        <f t="shared" si="356"/>
        <v>0</v>
      </c>
      <c r="AF1524">
        <f t="shared" si="357"/>
        <v>0</v>
      </c>
      <c r="AG1524">
        <f t="shared" si="358"/>
        <v>0</v>
      </c>
    </row>
    <row r="1525" spans="1:33" x14ac:dyDescent="0.25">
      <c r="A1525" t="s">
        <v>2526</v>
      </c>
      <c r="B1525" t="s">
        <v>2527</v>
      </c>
      <c r="C1525">
        <v>167636</v>
      </c>
      <c r="D1525">
        <v>167636</v>
      </c>
      <c r="H1525">
        <v>0</v>
      </c>
      <c r="I1525">
        <v>30</v>
      </c>
      <c r="J1525">
        <v>10</v>
      </c>
      <c r="K1525">
        <v>0</v>
      </c>
      <c r="L1525">
        <v>0</v>
      </c>
      <c r="M1525">
        <v>40</v>
      </c>
      <c r="S1525">
        <f t="shared" si="347"/>
        <v>0</v>
      </c>
      <c r="T1525">
        <f t="shared" si="348"/>
        <v>3.3333333333333335</v>
      </c>
      <c r="U1525">
        <f t="shared" si="346"/>
        <v>1</v>
      </c>
      <c r="V1525">
        <f t="shared" si="349"/>
        <v>0</v>
      </c>
      <c r="W1525">
        <f t="shared" si="350"/>
        <v>1</v>
      </c>
      <c r="X1525">
        <f t="shared" si="359"/>
        <v>0</v>
      </c>
      <c r="Y1525">
        <f t="shared" si="360"/>
        <v>0</v>
      </c>
      <c r="Z1525">
        <f t="shared" si="351"/>
        <v>0</v>
      </c>
      <c r="AA1525">
        <f t="shared" si="352"/>
        <v>0</v>
      </c>
      <c r="AB1525">
        <f t="shared" si="353"/>
        <v>0</v>
      </c>
      <c r="AC1525">
        <f t="shared" si="354"/>
        <v>0</v>
      </c>
      <c r="AD1525" s="1">
        <f t="shared" si="355"/>
        <v>5</v>
      </c>
      <c r="AE1525">
        <f t="shared" si="356"/>
        <v>5</v>
      </c>
      <c r="AF1525">
        <f t="shared" si="357"/>
        <v>0</v>
      </c>
      <c r="AG1525">
        <f t="shared" si="358"/>
        <v>0</v>
      </c>
    </row>
    <row r="1526" spans="1:33" x14ac:dyDescent="0.25">
      <c r="A1526" t="s">
        <v>2526</v>
      </c>
      <c r="B1526" t="s">
        <v>2528</v>
      </c>
      <c r="C1526">
        <v>166767</v>
      </c>
      <c r="D1526">
        <v>166767</v>
      </c>
      <c r="H1526">
        <v>0</v>
      </c>
      <c r="I1526">
        <v>30</v>
      </c>
      <c r="J1526">
        <v>20</v>
      </c>
      <c r="K1526">
        <v>0</v>
      </c>
      <c r="L1526">
        <v>10</v>
      </c>
      <c r="M1526">
        <v>60</v>
      </c>
      <c r="S1526">
        <f t="shared" si="347"/>
        <v>0</v>
      </c>
      <c r="T1526">
        <f t="shared" si="348"/>
        <v>5</v>
      </c>
      <c r="U1526">
        <f t="shared" si="346"/>
        <v>1</v>
      </c>
      <c r="V1526">
        <f t="shared" si="349"/>
        <v>0</v>
      </c>
      <c r="W1526">
        <f t="shared" si="350"/>
        <v>1</v>
      </c>
      <c r="X1526">
        <f t="shared" si="359"/>
        <v>0</v>
      </c>
      <c r="Y1526">
        <f t="shared" si="360"/>
        <v>0</v>
      </c>
      <c r="Z1526">
        <f t="shared" si="351"/>
        <v>0</v>
      </c>
      <c r="AA1526">
        <f t="shared" si="352"/>
        <v>0</v>
      </c>
      <c r="AB1526">
        <f t="shared" si="353"/>
        <v>0</v>
      </c>
      <c r="AC1526">
        <f t="shared" si="354"/>
        <v>0</v>
      </c>
      <c r="AD1526" s="1">
        <f t="shared" si="355"/>
        <v>5</v>
      </c>
      <c r="AE1526">
        <f t="shared" si="356"/>
        <v>10</v>
      </c>
      <c r="AF1526">
        <f t="shared" si="357"/>
        <v>0</v>
      </c>
      <c r="AG1526">
        <f t="shared" si="358"/>
        <v>10</v>
      </c>
    </row>
    <row r="1527" spans="1:33" x14ac:dyDescent="0.25">
      <c r="A1527" t="s">
        <v>2529</v>
      </c>
      <c r="B1527" t="s">
        <v>2530</v>
      </c>
      <c r="C1527">
        <v>165387</v>
      </c>
      <c r="D1527">
        <v>165387</v>
      </c>
      <c r="E1527">
        <v>30</v>
      </c>
      <c r="F1527">
        <v>30</v>
      </c>
      <c r="G1527">
        <v>30</v>
      </c>
      <c r="N1527" t="s">
        <v>549</v>
      </c>
      <c r="O1527">
        <v>90</v>
      </c>
      <c r="S1527">
        <f t="shared" si="347"/>
        <v>5.625</v>
      </c>
      <c r="T1527">
        <f t="shared" si="348"/>
        <v>0</v>
      </c>
      <c r="U1527">
        <f t="shared" si="346"/>
        <v>1</v>
      </c>
      <c r="V1527">
        <f t="shared" si="349"/>
        <v>1</v>
      </c>
      <c r="W1527">
        <f t="shared" si="350"/>
        <v>0</v>
      </c>
      <c r="X1527">
        <f t="shared" si="359"/>
        <v>0</v>
      </c>
      <c r="Y1527">
        <f t="shared" si="360"/>
        <v>0</v>
      </c>
      <c r="Z1527">
        <f t="shared" si="351"/>
        <v>6</v>
      </c>
      <c r="AA1527">
        <f t="shared" si="352"/>
        <v>7.5</v>
      </c>
      <c r="AB1527">
        <f t="shared" si="353"/>
        <v>4.2857142857142856</v>
      </c>
      <c r="AC1527">
        <f t="shared" si="354"/>
        <v>0</v>
      </c>
      <c r="AD1527" s="1">
        <f t="shared" si="355"/>
        <v>0</v>
      </c>
      <c r="AE1527">
        <f t="shared" si="356"/>
        <v>0</v>
      </c>
      <c r="AF1527">
        <f t="shared" si="357"/>
        <v>0</v>
      </c>
      <c r="AG1527">
        <f t="shared" si="358"/>
        <v>0</v>
      </c>
    </row>
    <row r="1528" spans="1:33" x14ac:dyDescent="0.25">
      <c r="A1528" t="s">
        <v>2531</v>
      </c>
      <c r="B1528" t="s">
        <v>2532</v>
      </c>
      <c r="C1528">
        <v>166329</v>
      </c>
      <c r="D1528">
        <v>166329</v>
      </c>
      <c r="H1528">
        <v>20</v>
      </c>
      <c r="I1528">
        <v>40</v>
      </c>
      <c r="J1528">
        <v>10</v>
      </c>
      <c r="K1528">
        <v>10</v>
      </c>
      <c r="L1528">
        <v>0</v>
      </c>
      <c r="M1528">
        <v>80</v>
      </c>
      <c r="S1528">
        <f t="shared" si="347"/>
        <v>0</v>
      </c>
      <c r="T1528">
        <f t="shared" si="348"/>
        <v>6.666666666666667</v>
      </c>
      <c r="U1528">
        <f t="shared" si="346"/>
        <v>1</v>
      </c>
      <c r="V1528">
        <f t="shared" si="349"/>
        <v>0</v>
      </c>
      <c r="W1528">
        <f t="shared" si="350"/>
        <v>1</v>
      </c>
      <c r="X1528">
        <f t="shared" si="359"/>
        <v>0</v>
      </c>
      <c r="Y1528">
        <f t="shared" si="360"/>
        <v>1</v>
      </c>
      <c r="Z1528">
        <f t="shared" si="351"/>
        <v>0</v>
      </c>
      <c r="AA1528">
        <f t="shared" si="352"/>
        <v>0</v>
      </c>
      <c r="AB1528">
        <f t="shared" si="353"/>
        <v>0</v>
      </c>
      <c r="AC1528">
        <f t="shared" si="354"/>
        <v>10</v>
      </c>
      <c r="AD1528" s="1">
        <f t="shared" si="355"/>
        <v>6.666666666666667</v>
      </c>
      <c r="AE1528">
        <f t="shared" si="356"/>
        <v>5</v>
      </c>
      <c r="AF1528">
        <f t="shared" si="357"/>
        <v>10</v>
      </c>
      <c r="AG1528">
        <f t="shared" si="358"/>
        <v>0</v>
      </c>
    </row>
    <row r="1529" spans="1:33" x14ac:dyDescent="0.25">
      <c r="A1529" t="s">
        <v>2533</v>
      </c>
      <c r="B1529" t="s">
        <v>340</v>
      </c>
      <c r="C1529">
        <v>168437</v>
      </c>
      <c r="D1529">
        <v>168437</v>
      </c>
      <c r="E1529">
        <v>10</v>
      </c>
      <c r="F1529">
        <v>10</v>
      </c>
      <c r="G1529">
        <v>30</v>
      </c>
      <c r="O1529">
        <v>50</v>
      </c>
      <c r="S1529">
        <f t="shared" si="347"/>
        <v>3.125</v>
      </c>
      <c r="T1529">
        <f t="shared" si="348"/>
        <v>0</v>
      </c>
      <c r="U1529">
        <f t="shared" si="346"/>
        <v>1</v>
      </c>
      <c r="V1529">
        <f t="shared" si="349"/>
        <v>1</v>
      </c>
      <c r="W1529">
        <f t="shared" si="350"/>
        <v>0</v>
      </c>
      <c r="X1529">
        <f t="shared" si="359"/>
        <v>0</v>
      </c>
      <c r="Y1529">
        <f t="shared" si="360"/>
        <v>0</v>
      </c>
      <c r="Z1529">
        <f t="shared" si="351"/>
        <v>2</v>
      </c>
      <c r="AA1529">
        <f t="shared" si="352"/>
        <v>2.5</v>
      </c>
      <c r="AB1529">
        <f t="shared" si="353"/>
        <v>4.2857142857142856</v>
      </c>
      <c r="AC1529">
        <f t="shared" si="354"/>
        <v>0</v>
      </c>
      <c r="AD1529" s="1">
        <f t="shared" si="355"/>
        <v>0</v>
      </c>
      <c r="AE1529">
        <f t="shared" si="356"/>
        <v>0</v>
      </c>
      <c r="AF1529">
        <f t="shared" si="357"/>
        <v>0</v>
      </c>
      <c r="AG1529">
        <f t="shared" si="358"/>
        <v>0</v>
      </c>
    </row>
    <row r="1530" spans="1:33" x14ac:dyDescent="0.25">
      <c r="A1530" t="s">
        <v>2534</v>
      </c>
      <c r="B1530" t="s">
        <v>677</v>
      </c>
      <c r="C1530">
        <v>168228</v>
      </c>
      <c r="D1530">
        <v>168228</v>
      </c>
      <c r="H1530">
        <v>0</v>
      </c>
      <c r="I1530">
        <v>30</v>
      </c>
      <c r="J1530">
        <v>0</v>
      </c>
      <c r="K1530">
        <v>10</v>
      </c>
      <c r="L1530">
        <v>10</v>
      </c>
      <c r="M1530">
        <v>50</v>
      </c>
      <c r="S1530">
        <f t="shared" si="347"/>
        <v>0</v>
      </c>
      <c r="T1530">
        <f t="shared" si="348"/>
        <v>4.166666666666667</v>
      </c>
      <c r="U1530">
        <f t="shared" si="346"/>
        <v>1</v>
      </c>
      <c r="V1530">
        <f t="shared" si="349"/>
        <v>0</v>
      </c>
      <c r="W1530">
        <f t="shared" si="350"/>
        <v>1</v>
      </c>
      <c r="X1530">
        <f t="shared" si="359"/>
        <v>0</v>
      </c>
      <c r="Y1530">
        <f t="shared" si="360"/>
        <v>0</v>
      </c>
      <c r="Z1530">
        <f t="shared" si="351"/>
        <v>0</v>
      </c>
      <c r="AA1530">
        <f t="shared" si="352"/>
        <v>0</v>
      </c>
      <c r="AB1530">
        <f t="shared" si="353"/>
        <v>0</v>
      </c>
      <c r="AC1530">
        <f t="shared" si="354"/>
        <v>0</v>
      </c>
      <c r="AD1530" s="1">
        <f t="shared" si="355"/>
        <v>5</v>
      </c>
      <c r="AE1530">
        <f t="shared" si="356"/>
        <v>0</v>
      </c>
      <c r="AF1530">
        <f t="shared" si="357"/>
        <v>10</v>
      </c>
      <c r="AG1530">
        <f t="shared" si="358"/>
        <v>10</v>
      </c>
    </row>
    <row r="1531" spans="1:33" x14ac:dyDescent="0.25">
      <c r="A1531" t="s">
        <v>2535</v>
      </c>
      <c r="B1531" t="s">
        <v>1499</v>
      </c>
      <c r="C1531">
        <v>160657</v>
      </c>
      <c r="D1531">
        <v>160657</v>
      </c>
      <c r="S1531">
        <f t="shared" si="347"/>
        <v>0</v>
      </c>
      <c r="T1531">
        <f t="shared" si="348"/>
        <v>0</v>
      </c>
      <c r="U1531">
        <f t="shared" si="346"/>
        <v>0</v>
      </c>
      <c r="V1531">
        <f t="shared" si="349"/>
        <v>0</v>
      </c>
      <c r="W1531">
        <f t="shared" si="350"/>
        <v>0</v>
      </c>
      <c r="X1531">
        <f t="shared" si="359"/>
        <v>0</v>
      </c>
      <c r="Y1531">
        <f t="shared" si="360"/>
        <v>0</v>
      </c>
      <c r="Z1531">
        <f t="shared" si="351"/>
        <v>0</v>
      </c>
      <c r="AA1531">
        <f t="shared" si="352"/>
        <v>0</v>
      </c>
      <c r="AB1531">
        <f t="shared" si="353"/>
        <v>0</v>
      </c>
      <c r="AC1531">
        <f t="shared" si="354"/>
        <v>0</v>
      </c>
      <c r="AD1531" s="1">
        <f t="shared" si="355"/>
        <v>0</v>
      </c>
      <c r="AE1531">
        <f t="shared" si="356"/>
        <v>0</v>
      </c>
      <c r="AF1531">
        <f t="shared" si="357"/>
        <v>0</v>
      </c>
      <c r="AG1531">
        <f t="shared" si="358"/>
        <v>0</v>
      </c>
    </row>
    <row r="1532" spans="1:33" x14ac:dyDescent="0.25">
      <c r="A1532" t="s">
        <v>2536</v>
      </c>
      <c r="B1532" t="s">
        <v>2537</v>
      </c>
      <c r="C1532">
        <v>168794</v>
      </c>
      <c r="D1532">
        <v>168794</v>
      </c>
      <c r="H1532">
        <v>10</v>
      </c>
      <c r="I1532">
        <v>30</v>
      </c>
      <c r="J1532">
        <v>20</v>
      </c>
      <c r="K1532">
        <v>10</v>
      </c>
      <c r="L1532">
        <v>10</v>
      </c>
      <c r="M1532">
        <v>80</v>
      </c>
      <c r="S1532">
        <f t="shared" si="347"/>
        <v>0</v>
      </c>
      <c r="T1532">
        <f t="shared" si="348"/>
        <v>6.666666666666667</v>
      </c>
      <c r="U1532">
        <f t="shared" si="346"/>
        <v>1</v>
      </c>
      <c r="V1532">
        <f t="shared" si="349"/>
        <v>0</v>
      </c>
      <c r="W1532">
        <f t="shared" si="350"/>
        <v>1</v>
      </c>
      <c r="X1532">
        <f t="shared" si="359"/>
        <v>0</v>
      </c>
      <c r="Y1532">
        <f t="shared" si="360"/>
        <v>1</v>
      </c>
      <c r="Z1532">
        <f t="shared" si="351"/>
        <v>0</v>
      </c>
      <c r="AA1532">
        <f t="shared" si="352"/>
        <v>0</v>
      </c>
      <c r="AB1532">
        <f t="shared" si="353"/>
        <v>0</v>
      </c>
      <c r="AC1532">
        <f t="shared" si="354"/>
        <v>5</v>
      </c>
      <c r="AD1532" s="1">
        <f t="shared" si="355"/>
        <v>5</v>
      </c>
      <c r="AE1532">
        <f t="shared" si="356"/>
        <v>10</v>
      </c>
      <c r="AF1532">
        <f t="shared" si="357"/>
        <v>10</v>
      </c>
      <c r="AG1532">
        <f t="shared" si="358"/>
        <v>10</v>
      </c>
    </row>
    <row r="1533" spans="1:33" x14ac:dyDescent="0.25">
      <c r="A1533" t="s">
        <v>2538</v>
      </c>
      <c r="B1533" t="s">
        <v>2539</v>
      </c>
      <c r="C1533">
        <v>166320</v>
      </c>
      <c r="D1533">
        <v>166320</v>
      </c>
      <c r="H1533">
        <v>10</v>
      </c>
      <c r="I1533">
        <v>50</v>
      </c>
      <c r="J1533">
        <v>10</v>
      </c>
      <c r="K1533">
        <v>10</v>
      </c>
      <c r="L1533">
        <v>10</v>
      </c>
      <c r="M1533">
        <v>90</v>
      </c>
      <c r="S1533">
        <f t="shared" si="347"/>
        <v>0</v>
      </c>
      <c r="T1533">
        <f t="shared" si="348"/>
        <v>7.5</v>
      </c>
      <c r="U1533">
        <f t="shared" si="346"/>
        <v>1</v>
      </c>
      <c r="V1533">
        <f t="shared" si="349"/>
        <v>0</v>
      </c>
      <c r="W1533">
        <f t="shared" si="350"/>
        <v>1</v>
      </c>
      <c r="X1533">
        <f t="shared" si="359"/>
        <v>0</v>
      </c>
      <c r="Y1533">
        <f t="shared" si="360"/>
        <v>1</v>
      </c>
      <c r="Z1533">
        <f t="shared" si="351"/>
        <v>0</v>
      </c>
      <c r="AA1533">
        <f t="shared" si="352"/>
        <v>0</v>
      </c>
      <c r="AB1533">
        <f t="shared" si="353"/>
        <v>0</v>
      </c>
      <c r="AC1533">
        <f t="shared" si="354"/>
        <v>5</v>
      </c>
      <c r="AD1533" s="1">
        <f t="shared" si="355"/>
        <v>8.3333333333333339</v>
      </c>
      <c r="AE1533">
        <f t="shared" si="356"/>
        <v>5</v>
      </c>
      <c r="AF1533">
        <f t="shared" si="357"/>
        <v>10</v>
      </c>
      <c r="AG1533">
        <f t="shared" si="358"/>
        <v>10</v>
      </c>
    </row>
    <row r="1534" spans="1:33" x14ac:dyDescent="0.25">
      <c r="A1534" t="s">
        <v>2540</v>
      </c>
      <c r="B1534" t="s">
        <v>2541</v>
      </c>
      <c r="C1534">
        <v>168358</v>
      </c>
      <c r="D1534">
        <v>168358</v>
      </c>
      <c r="E1534">
        <v>40</v>
      </c>
      <c r="F1534">
        <v>20</v>
      </c>
      <c r="G1534">
        <v>40</v>
      </c>
      <c r="O1534">
        <v>100</v>
      </c>
      <c r="S1534">
        <f t="shared" si="347"/>
        <v>6.25</v>
      </c>
      <c r="T1534">
        <f t="shared" si="348"/>
        <v>0</v>
      </c>
      <c r="U1534">
        <f t="shared" si="346"/>
        <v>1</v>
      </c>
      <c r="V1534">
        <f t="shared" si="349"/>
        <v>1</v>
      </c>
      <c r="W1534">
        <f t="shared" si="350"/>
        <v>0</v>
      </c>
      <c r="X1534">
        <f t="shared" si="359"/>
        <v>1</v>
      </c>
      <c r="Y1534">
        <f t="shared" si="360"/>
        <v>0</v>
      </c>
      <c r="Z1534">
        <f t="shared" si="351"/>
        <v>8</v>
      </c>
      <c r="AA1534">
        <f t="shared" si="352"/>
        <v>5</v>
      </c>
      <c r="AB1534">
        <f t="shared" si="353"/>
        <v>5.7142857142857144</v>
      </c>
      <c r="AC1534">
        <f t="shared" si="354"/>
        <v>0</v>
      </c>
      <c r="AD1534" s="1">
        <f t="shared" si="355"/>
        <v>0</v>
      </c>
      <c r="AE1534">
        <f t="shared" si="356"/>
        <v>0</v>
      </c>
      <c r="AF1534">
        <f t="shared" si="357"/>
        <v>0</v>
      </c>
      <c r="AG1534">
        <f t="shared" si="358"/>
        <v>0</v>
      </c>
    </row>
    <row r="1535" spans="1:33" x14ac:dyDescent="0.25">
      <c r="A1535" t="s">
        <v>2542</v>
      </c>
      <c r="B1535" t="s">
        <v>2543</v>
      </c>
      <c r="C1535">
        <v>160047</v>
      </c>
      <c r="D1535">
        <v>160047</v>
      </c>
      <c r="E1535">
        <v>30</v>
      </c>
      <c r="O1535">
        <v>30</v>
      </c>
      <c r="S1535">
        <f t="shared" si="347"/>
        <v>1.875</v>
      </c>
      <c r="T1535">
        <f t="shared" si="348"/>
        <v>0</v>
      </c>
      <c r="U1535">
        <f t="shared" si="346"/>
        <v>1</v>
      </c>
      <c r="V1535">
        <f t="shared" si="349"/>
        <v>1</v>
      </c>
      <c r="W1535">
        <f t="shared" si="350"/>
        <v>0</v>
      </c>
      <c r="X1535">
        <f t="shared" si="359"/>
        <v>0</v>
      </c>
      <c r="Y1535">
        <f t="shared" si="360"/>
        <v>0</v>
      </c>
      <c r="Z1535">
        <f t="shared" si="351"/>
        <v>6</v>
      </c>
      <c r="AA1535">
        <f t="shared" si="352"/>
        <v>0</v>
      </c>
      <c r="AB1535">
        <f t="shared" si="353"/>
        <v>0</v>
      </c>
      <c r="AC1535">
        <f t="shared" si="354"/>
        <v>0</v>
      </c>
      <c r="AD1535" s="1">
        <f t="shared" si="355"/>
        <v>0</v>
      </c>
      <c r="AE1535">
        <f t="shared" si="356"/>
        <v>0</v>
      </c>
      <c r="AF1535">
        <f t="shared" si="357"/>
        <v>0</v>
      </c>
      <c r="AG1535">
        <f t="shared" si="358"/>
        <v>0</v>
      </c>
    </row>
    <row r="1536" spans="1:33" x14ac:dyDescent="0.25">
      <c r="A1536" t="s">
        <v>2542</v>
      </c>
      <c r="B1536" t="s">
        <v>2544</v>
      </c>
      <c r="C1536">
        <v>167403</v>
      </c>
      <c r="D1536">
        <v>167403</v>
      </c>
      <c r="H1536">
        <v>10</v>
      </c>
      <c r="I1536">
        <v>30</v>
      </c>
      <c r="J1536">
        <v>10</v>
      </c>
      <c r="K1536">
        <v>0</v>
      </c>
      <c r="L1536">
        <v>0</v>
      </c>
      <c r="M1536">
        <v>50</v>
      </c>
      <c r="S1536">
        <f t="shared" si="347"/>
        <v>0</v>
      </c>
      <c r="T1536">
        <f t="shared" si="348"/>
        <v>4.166666666666667</v>
      </c>
      <c r="U1536">
        <f t="shared" si="346"/>
        <v>1</v>
      </c>
      <c r="V1536">
        <f t="shared" si="349"/>
        <v>0</v>
      </c>
      <c r="W1536">
        <f t="shared" si="350"/>
        <v>1</v>
      </c>
      <c r="X1536">
        <f t="shared" si="359"/>
        <v>0</v>
      </c>
      <c r="Y1536">
        <f t="shared" si="360"/>
        <v>0</v>
      </c>
      <c r="Z1536">
        <f t="shared" si="351"/>
        <v>0</v>
      </c>
      <c r="AA1536">
        <f t="shared" si="352"/>
        <v>0</v>
      </c>
      <c r="AB1536">
        <f t="shared" si="353"/>
        <v>0</v>
      </c>
      <c r="AC1536">
        <f t="shared" si="354"/>
        <v>5</v>
      </c>
      <c r="AD1536" s="1">
        <f t="shared" si="355"/>
        <v>5</v>
      </c>
      <c r="AE1536">
        <f t="shared" si="356"/>
        <v>5</v>
      </c>
      <c r="AF1536">
        <f t="shared" si="357"/>
        <v>0</v>
      </c>
      <c r="AG1536">
        <f t="shared" si="358"/>
        <v>0</v>
      </c>
    </row>
    <row r="1537" spans="1:33" x14ac:dyDescent="0.25">
      <c r="A1537" t="s">
        <v>2545</v>
      </c>
      <c r="B1537" t="s">
        <v>2546</v>
      </c>
      <c r="C1537">
        <v>168841</v>
      </c>
      <c r="D1537">
        <v>168841</v>
      </c>
      <c r="E1537">
        <v>20</v>
      </c>
      <c r="F1537">
        <v>20</v>
      </c>
      <c r="G1537">
        <v>10</v>
      </c>
      <c r="O1537">
        <v>50</v>
      </c>
      <c r="S1537">
        <f t="shared" si="347"/>
        <v>3.125</v>
      </c>
      <c r="T1537">
        <f t="shared" si="348"/>
        <v>0</v>
      </c>
      <c r="U1537">
        <f t="shared" si="346"/>
        <v>1</v>
      </c>
      <c r="V1537">
        <f t="shared" si="349"/>
        <v>1</v>
      </c>
      <c r="W1537">
        <f t="shared" si="350"/>
        <v>0</v>
      </c>
      <c r="X1537">
        <f t="shared" si="359"/>
        <v>0</v>
      </c>
      <c r="Y1537">
        <f t="shared" si="360"/>
        <v>0</v>
      </c>
      <c r="Z1537">
        <f t="shared" si="351"/>
        <v>4</v>
      </c>
      <c r="AA1537">
        <f t="shared" si="352"/>
        <v>5</v>
      </c>
      <c r="AB1537">
        <f t="shared" si="353"/>
        <v>1.4285714285714286</v>
      </c>
      <c r="AC1537">
        <f t="shared" si="354"/>
        <v>0</v>
      </c>
      <c r="AD1537" s="1">
        <f t="shared" si="355"/>
        <v>0</v>
      </c>
      <c r="AE1537">
        <f t="shared" si="356"/>
        <v>0</v>
      </c>
      <c r="AF1537">
        <f t="shared" si="357"/>
        <v>0</v>
      </c>
      <c r="AG1537">
        <f t="shared" si="358"/>
        <v>0</v>
      </c>
    </row>
    <row r="1538" spans="1:33" x14ac:dyDescent="0.25">
      <c r="A1538" t="s">
        <v>2547</v>
      </c>
      <c r="B1538" t="s">
        <v>982</v>
      </c>
      <c r="C1538">
        <v>166520</v>
      </c>
      <c r="D1538">
        <v>166520</v>
      </c>
      <c r="H1538">
        <v>10</v>
      </c>
      <c r="I1538">
        <v>50</v>
      </c>
      <c r="J1538">
        <v>20</v>
      </c>
      <c r="K1538">
        <v>10</v>
      </c>
      <c r="L1538">
        <v>0</v>
      </c>
      <c r="M1538">
        <v>90</v>
      </c>
      <c r="S1538">
        <f t="shared" si="347"/>
        <v>0</v>
      </c>
      <c r="T1538">
        <f t="shared" si="348"/>
        <v>7.5</v>
      </c>
      <c r="U1538">
        <f t="shared" ref="U1538:U1601" si="361">IF(AND(E1538="",F1538="",G1538="",H1538="",I1538="",J1538="",K1538="",L1538="",M1538=""),0,1)</f>
        <v>1</v>
      </c>
      <c r="V1538">
        <f t="shared" si="349"/>
        <v>0</v>
      </c>
      <c r="W1538">
        <f t="shared" si="350"/>
        <v>1</v>
      </c>
      <c r="X1538">
        <f t="shared" si="359"/>
        <v>0</v>
      </c>
      <c r="Y1538">
        <f t="shared" si="360"/>
        <v>1</v>
      </c>
      <c r="Z1538">
        <f t="shared" si="351"/>
        <v>0</v>
      </c>
      <c r="AA1538">
        <f t="shared" si="352"/>
        <v>0</v>
      </c>
      <c r="AB1538">
        <f t="shared" si="353"/>
        <v>0</v>
      </c>
      <c r="AC1538">
        <f t="shared" si="354"/>
        <v>5</v>
      </c>
      <c r="AD1538" s="1">
        <f t="shared" si="355"/>
        <v>8.3333333333333339</v>
      </c>
      <c r="AE1538">
        <f t="shared" si="356"/>
        <v>10</v>
      </c>
      <c r="AF1538">
        <f t="shared" si="357"/>
        <v>10</v>
      </c>
      <c r="AG1538">
        <f t="shared" si="358"/>
        <v>0</v>
      </c>
    </row>
    <row r="1539" spans="1:33" x14ac:dyDescent="0.25">
      <c r="A1539" t="s">
        <v>2548</v>
      </c>
      <c r="B1539" t="s">
        <v>2518</v>
      </c>
      <c r="C1539">
        <v>168514</v>
      </c>
      <c r="D1539">
        <v>168514</v>
      </c>
      <c r="S1539">
        <f t="shared" ref="S1539:S1602" si="362">O1539/16</f>
        <v>0</v>
      </c>
      <c r="T1539">
        <f t="shared" ref="T1539:T1602" si="363">M1539/12</f>
        <v>0</v>
      </c>
      <c r="U1539">
        <f t="shared" si="361"/>
        <v>0</v>
      </c>
      <c r="V1539">
        <f t="shared" ref="V1539:V1602" si="364">IF(O1539="",0,1)</f>
        <v>0</v>
      </c>
      <c r="W1539">
        <f t="shared" ref="W1539:W1602" si="365">IF(M1539="",0,1)</f>
        <v>0</v>
      </c>
      <c r="X1539">
        <f t="shared" si="359"/>
        <v>0</v>
      </c>
      <c r="Y1539">
        <f t="shared" si="360"/>
        <v>0</v>
      </c>
      <c r="Z1539">
        <f t="shared" ref="Z1539:Z1602" si="366">E1539/5</f>
        <v>0</v>
      </c>
      <c r="AA1539">
        <f t="shared" ref="AA1539:AA1602" si="367">F1539/4</f>
        <v>0</v>
      </c>
      <c r="AB1539">
        <f t="shared" ref="AB1539:AB1602" si="368">G1539/7</f>
        <v>0</v>
      </c>
      <c r="AC1539">
        <f t="shared" ref="AC1539:AC1602" si="369">H1539/2</f>
        <v>0</v>
      </c>
      <c r="AD1539" s="1">
        <f t="shared" ref="AD1539:AD1602" si="370">I1539/6</f>
        <v>0</v>
      </c>
      <c r="AE1539">
        <f t="shared" ref="AE1539:AE1602" si="371">J1539/2</f>
        <v>0</v>
      </c>
      <c r="AF1539">
        <f t="shared" ref="AF1539:AF1602" si="372">K1539</f>
        <v>0</v>
      </c>
      <c r="AG1539">
        <f t="shared" ref="AG1539:AG1602" si="373">L1539</f>
        <v>0</v>
      </c>
    </row>
    <row r="1540" spans="1:33" x14ac:dyDescent="0.25">
      <c r="A1540" t="s">
        <v>2549</v>
      </c>
      <c r="B1540" t="s">
        <v>2550</v>
      </c>
      <c r="C1540">
        <v>168376</v>
      </c>
      <c r="D1540">
        <v>168376</v>
      </c>
      <c r="S1540">
        <f t="shared" si="362"/>
        <v>0</v>
      </c>
      <c r="T1540">
        <f t="shared" si="363"/>
        <v>0</v>
      </c>
      <c r="U1540">
        <f t="shared" si="361"/>
        <v>0</v>
      </c>
      <c r="V1540">
        <f t="shared" si="364"/>
        <v>0</v>
      </c>
      <c r="W1540">
        <f t="shared" si="365"/>
        <v>0</v>
      </c>
      <c r="X1540">
        <f t="shared" si="359"/>
        <v>0</v>
      </c>
      <c r="Y1540">
        <f t="shared" si="360"/>
        <v>0</v>
      </c>
      <c r="Z1540">
        <f t="shared" si="366"/>
        <v>0</v>
      </c>
      <c r="AA1540">
        <f t="shared" si="367"/>
        <v>0</v>
      </c>
      <c r="AB1540">
        <f t="shared" si="368"/>
        <v>0</v>
      </c>
      <c r="AC1540">
        <f t="shared" si="369"/>
        <v>0</v>
      </c>
      <c r="AD1540" s="1">
        <f t="shared" si="370"/>
        <v>0</v>
      </c>
      <c r="AE1540">
        <f t="shared" si="371"/>
        <v>0</v>
      </c>
      <c r="AF1540">
        <f t="shared" si="372"/>
        <v>0</v>
      </c>
      <c r="AG1540">
        <f t="shared" si="373"/>
        <v>0</v>
      </c>
    </row>
    <row r="1541" spans="1:33" x14ac:dyDescent="0.25">
      <c r="A1541" t="s">
        <v>2551</v>
      </c>
      <c r="B1541" t="s">
        <v>1065</v>
      </c>
      <c r="C1541">
        <v>166185</v>
      </c>
      <c r="D1541">
        <v>166185</v>
      </c>
      <c r="E1541">
        <v>30</v>
      </c>
      <c r="F1541">
        <v>30</v>
      </c>
      <c r="G1541">
        <v>30</v>
      </c>
      <c r="O1541">
        <v>90</v>
      </c>
      <c r="S1541">
        <f t="shared" si="362"/>
        <v>5.625</v>
      </c>
      <c r="T1541">
        <f t="shared" si="363"/>
        <v>0</v>
      </c>
      <c r="U1541">
        <f t="shared" si="361"/>
        <v>1</v>
      </c>
      <c r="V1541">
        <f t="shared" si="364"/>
        <v>1</v>
      </c>
      <c r="W1541">
        <f t="shared" si="365"/>
        <v>0</v>
      </c>
      <c r="X1541">
        <f t="shared" ref="X1541:X1604" si="374">IF(AND(V1541=1,S1541&gt;6),1,0)</f>
        <v>0</v>
      </c>
      <c r="Y1541">
        <f t="shared" ref="Y1541:Y1604" si="375">IF(AND(W1541=1,T1541&gt;6),1,0)</f>
        <v>0</v>
      </c>
      <c r="Z1541">
        <f t="shared" si="366"/>
        <v>6</v>
      </c>
      <c r="AA1541">
        <f t="shared" si="367"/>
        <v>7.5</v>
      </c>
      <c r="AB1541">
        <f t="shared" si="368"/>
        <v>4.2857142857142856</v>
      </c>
      <c r="AC1541">
        <f t="shared" si="369"/>
        <v>0</v>
      </c>
      <c r="AD1541" s="1">
        <f t="shared" si="370"/>
        <v>0</v>
      </c>
      <c r="AE1541">
        <f t="shared" si="371"/>
        <v>0</v>
      </c>
      <c r="AF1541">
        <f t="shared" si="372"/>
        <v>0</v>
      </c>
      <c r="AG1541">
        <f t="shared" si="373"/>
        <v>0</v>
      </c>
    </row>
    <row r="1542" spans="1:33" x14ac:dyDescent="0.25">
      <c r="A1542" t="s">
        <v>2552</v>
      </c>
      <c r="B1542" t="s">
        <v>2553</v>
      </c>
      <c r="C1542">
        <v>168908</v>
      </c>
      <c r="D1542">
        <v>168908</v>
      </c>
      <c r="E1542">
        <v>40</v>
      </c>
      <c r="F1542">
        <v>40</v>
      </c>
      <c r="G1542">
        <v>20</v>
      </c>
      <c r="O1542">
        <v>100</v>
      </c>
      <c r="S1542">
        <f t="shared" si="362"/>
        <v>6.25</v>
      </c>
      <c r="T1542">
        <f t="shared" si="363"/>
        <v>0</v>
      </c>
      <c r="U1542">
        <f t="shared" si="361"/>
        <v>1</v>
      </c>
      <c r="V1542">
        <f t="shared" si="364"/>
        <v>1</v>
      </c>
      <c r="W1542">
        <f t="shared" si="365"/>
        <v>0</v>
      </c>
      <c r="X1542">
        <f t="shared" si="374"/>
        <v>1</v>
      </c>
      <c r="Y1542">
        <f t="shared" si="375"/>
        <v>0</v>
      </c>
      <c r="Z1542">
        <f t="shared" si="366"/>
        <v>8</v>
      </c>
      <c r="AA1542">
        <f t="shared" si="367"/>
        <v>10</v>
      </c>
      <c r="AB1542">
        <f t="shared" si="368"/>
        <v>2.8571428571428572</v>
      </c>
      <c r="AC1542">
        <f t="shared" si="369"/>
        <v>0</v>
      </c>
      <c r="AD1542" s="1">
        <f t="shared" si="370"/>
        <v>0</v>
      </c>
      <c r="AE1542">
        <f t="shared" si="371"/>
        <v>0</v>
      </c>
      <c r="AF1542">
        <f t="shared" si="372"/>
        <v>0</v>
      </c>
      <c r="AG1542">
        <f t="shared" si="373"/>
        <v>0</v>
      </c>
    </row>
    <row r="1543" spans="1:33" x14ac:dyDescent="0.25">
      <c r="A1543" t="s">
        <v>2554</v>
      </c>
      <c r="B1543" t="s">
        <v>2555</v>
      </c>
      <c r="C1543">
        <v>168719</v>
      </c>
      <c r="D1543">
        <v>168719</v>
      </c>
      <c r="H1543">
        <v>10</v>
      </c>
      <c r="I1543">
        <v>20</v>
      </c>
      <c r="J1543">
        <v>20</v>
      </c>
      <c r="K1543">
        <v>0</v>
      </c>
      <c r="L1543">
        <v>0</v>
      </c>
      <c r="M1543">
        <v>50</v>
      </c>
      <c r="S1543">
        <f t="shared" si="362"/>
        <v>0</v>
      </c>
      <c r="T1543">
        <f t="shared" si="363"/>
        <v>4.166666666666667</v>
      </c>
      <c r="U1543">
        <f t="shared" si="361"/>
        <v>1</v>
      </c>
      <c r="V1543">
        <f t="shared" si="364"/>
        <v>0</v>
      </c>
      <c r="W1543">
        <f t="shared" si="365"/>
        <v>1</v>
      </c>
      <c r="X1543">
        <f t="shared" si="374"/>
        <v>0</v>
      </c>
      <c r="Y1543">
        <f t="shared" si="375"/>
        <v>0</v>
      </c>
      <c r="Z1543">
        <f t="shared" si="366"/>
        <v>0</v>
      </c>
      <c r="AA1543">
        <f t="shared" si="367"/>
        <v>0</v>
      </c>
      <c r="AB1543">
        <f t="shared" si="368"/>
        <v>0</v>
      </c>
      <c r="AC1543">
        <f t="shared" si="369"/>
        <v>5</v>
      </c>
      <c r="AD1543" s="1">
        <f t="shared" si="370"/>
        <v>3.3333333333333335</v>
      </c>
      <c r="AE1543">
        <f t="shared" si="371"/>
        <v>10</v>
      </c>
      <c r="AF1543">
        <f t="shared" si="372"/>
        <v>0</v>
      </c>
      <c r="AG1543">
        <f t="shared" si="373"/>
        <v>0</v>
      </c>
    </row>
    <row r="1544" spans="1:33" x14ac:dyDescent="0.25">
      <c r="A1544" t="s">
        <v>2556</v>
      </c>
      <c r="B1544" t="s">
        <v>2557</v>
      </c>
      <c r="C1544">
        <v>167541</v>
      </c>
      <c r="D1544">
        <v>167541</v>
      </c>
      <c r="E1544">
        <v>10</v>
      </c>
      <c r="F1544">
        <v>10</v>
      </c>
      <c r="G1544">
        <v>10</v>
      </c>
      <c r="O1544">
        <v>30</v>
      </c>
      <c r="S1544">
        <f t="shared" si="362"/>
        <v>1.875</v>
      </c>
      <c r="T1544">
        <f t="shared" si="363"/>
        <v>0</v>
      </c>
      <c r="U1544">
        <f t="shared" si="361"/>
        <v>1</v>
      </c>
      <c r="V1544">
        <f t="shared" si="364"/>
        <v>1</v>
      </c>
      <c r="W1544">
        <f t="shared" si="365"/>
        <v>0</v>
      </c>
      <c r="X1544">
        <f t="shared" si="374"/>
        <v>0</v>
      </c>
      <c r="Y1544">
        <f t="shared" si="375"/>
        <v>0</v>
      </c>
      <c r="Z1544">
        <f t="shared" si="366"/>
        <v>2</v>
      </c>
      <c r="AA1544">
        <f t="shared" si="367"/>
        <v>2.5</v>
      </c>
      <c r="AB1544">
        <f t="shared" si="368"/>
        <v>1.4285714285714286</v>
      </c>
      <c r="AC1544">
        <f t="shared" si="369"/>
        <v>0</v>
      </c>
      <c r="AD1544" s="1">
        <f t="shared" si="370"/>
        <v>0</v>
      </c>
      <c r="AE1544">
        <f t="shared" si="371"/>
        <v>0</v>
      </c>
      <c r="AF1544">
        <f t="shared" si="372"/>
        <v>0</v>
      </c>
      <c r="AG1544">
        <f t="shared" si="373"/>
        <v>0</v>
      </c>
    </row>
    <row r="1545" spans="1:33" x14ac:dyDescent="0.25">
      <c r="A1545" t="s">
        <v>2558</v>
      </c>
      <c r="B1545" t="s">
        <v>937</v>
      </c>
      <c r="C1545">
        <v>163090</v>
      </c>
      <c r="D1545">
        <v>163090</v>
      </c>
      <c r="E1545">
        <v>30</v>
      </c>
      <c r="F1545">
        <v>20</v>
      </c>
      <c r="G1545">
        <v>20</v>
      </c>
      <c r="O1545">
        <v>70</v>
      </c>
      <c r="S1545">
        <f t="shared" si="362"/>
        <v>4.375</v>
      </c>
      <c r="T1545">
        <f t="shared" si="363"/>
        <v>0</v>
      </c>
      <c r="U1545">
        <f t="shared" si="361"/>
        <v>1</v>
      </c>
      <c r="V1545">
        <f t="shared" si="364"/>
        <v>1</v>
      </c>
      <c r="W1545">
        <f t="shared" si="365"/>
        <v>0</v>
      </c>
      <c r="X1545">
        <f t="shared" si="374"/>
        <v>0</v>
      </c>
      <c r="Y1545">
        <f t="shared" si="375"/>
        <v>0</v>
      </c>
      <c r="Z1545">
        <f t="shared" si="366"/>
        <v>6</v>
      </c>
      <c r="AA1545">
        <f t="shared" si="367"/>
        <v>5</v>
      </c>
      <c r="AB1545">
        <f t="shared" si="368"/>
        <v>2.8571428571428572</v>
      </c>
      <c r="AC1545">
        <f t="shared" si="369"/>
        <v>0</v>
      </c>
      <c r="AD1545" s="1">
        <f t="shared" si="370"/>
        <v>0</v>
      </c>
      <c r="AE1545">
        <f t="shared" si="371"/>
        <v>0</v>
      </c>
      <c r="AF1545">
        <f t="shared" si="372"/>
        <v>0</v>
      </c>
      <c r="AG1545">
        <f t="shared" si="373"/>
        <v>0</v>
      </c>
    </row>
    <row r="1546" spans="1:33" x14ac:dyDescent="0.25">
      <c r="A1546" t="s">
        <v>2559</v>
      </c>
      <c r="B1546" t="s">
        <v>197</v>
      </c>
      <c r="C1546">
        <v>167104</v>
      </c>
      <c r="D1546">
        <v>167104</v>
      </c>
      <c r="S1546">
        <f t="shared" si="362"/>
        <v>0</v>
      </c>
      <c r="T1546">
        <f t="shared" si="363"/>
        <v>0</v>
      </c>
      <c r="U1546">
        <f t="shared" si="361"/>
        <v>0</v>
      </c>
      <c r="V1546">
        <f t="shared" si="364"/>
        <v>0</v>
      </c>
      <c r="W1546">
        <f t="shared" si="365"/>
        <v>0</v>
      </c>
      <c r="X1546">
        <f t="shared" si="374"/>
        <v>0</v>
      </c>
      <c r="Y1546">
        <f t="shared" si="375"/>
        <v>0</v>
      </c>
      <c r="Z1546">
        <f t="shared" si="366"/>
        <v>0</v>
      </c>
      <c r="AA1546">
        <f t="shared" si="367"/>
        <v>0</v>
      </c>
      <c r="AB1546">
        <f t="shared" si="368"/>
        <v>0</v>
      </c>
      <c r="AC1546">
        <f t="shared" si="369"/>
        <v>0</v>
      </c>
      <c r="AD1546" s="1">
        <f t="shared" si="370"/>
        <v>0</v>
      </c>
      <c r="AE1546">
        <f t="shared" si="371"/>
        <v>0</v>
      </c>
      <c r="AF1546">
        <f t="shared" si="372"/>
        <v>0</v>
      </c>
      <c r="AG1546">
        <f t="shared" si="373"/>
        <v>0</v>
      </c>
    </row>
    <row r="1547" spans="1:33" x14ac:dyDescent="0.25">
      <c r="A1547" t="s">
        <v>2560</v>
      </c>
      <c r="B1547" t="s">
        <v>2561</v>
      </c>
      <c r="C1547">
        <v>168136</v>
      </c>
      <c r="D1547">
        <v>168136</v>
      </c>
      <c r="S1547">
        <f t="shared" si="362"/>
        <v>0</v>
      </c>
      <c r="T1547">
        <f t="shared" si="363"/>
        <v>0</v>
      </c>
      <c r="U1547">
        <f t="shared" si="361"/>
        <v>0</v>
      </c>
      <c r="V1547">
        <f t="shared" si="364"/>
        <v>0</v>
      </c>
      <c r="W1547">
        <f t="shared" si="365"/>
        <v>0</v>
      </c>
      <c r="X1547">
        <f t="shared" si="374"/>
        <v>0</v>
      </c>
      <c r="Y1547">
        <f t="shared" si="375"/>
        <v>0</v>
      </c>
      <c r="Z1547">
        <f t="shared" si="366"/>
        <v>0</v>
      </c>
      <c r="AA1547">
        <f t="shared" si="367"/>
        <v>0</v>
      </c>
      <c r="AB1547">
        <f t="shared" si="368"/>
        <v>0</v>
      </c>
      <c r="AC1547">
        <f t="shared" si="369"/>
        <v>0</v>
      </c>
      <c r="AD1547" s="1">
        <f t="shared" si="370"/>
        <v>0</v>
      </c>
      <c r="AE1547">
        <f t="shared" si="371"/>
        <v>0</v>
      </c>
      <c r="AF1547">
        <f t="shared" si="372"/>
        <v>0</v>
      </c>
      <c r="AG1547">
        <f t="shared" si="373"/>
        <v>0</v>
      </c>
    </row>
    <row r="1548" spans="1:33" x14ac:dyDescent="0.25">
      <c r="A1548" t="s">
        <v>2562</v>
      </c>
      <c r="B1548" t="s">
        <v>2563</v>
      </c>
      <c r="C1548">
        <v>163946</v>
      </c>
      <c r="D1548">
        <v>163946</v>
      </c>
      <c r="S1548">
        <f t="shared" si="362"/>
        <v>0</v>
      </c>
      <c r="T1548">
        <f t="shared" si="363"/>
        <v>0</v>
      </c>
      <c r="U1548">
        <f t="shared" si="361"/>
        <v>0</v>
      </c>
      <c r="V1548">
        <f t="shared" si="364"/>
        <v>0</v>
      </c>
      <c r="W1548">
        <f t="shared" si="365"/>
        <v>0</v>
      </c>
      <c r="X1548">
        <f t="shared" si="374"/>
        <v>0</v>
      </c>
      <c r="Y1548">
        <f t="shared" si="375"/>
        <v>0</v>
      </c>
      <c r="Z1548">
        <f t="shared" si="366"/>
        <v>0</v>
      </c>
      <c r="AA1548">
        <f t="shared" si="367"/>
        <v>0</v>
      </c>
      <c r="AB1548">
        <f t="shared" si="368"/>
        <v>0</v>
      </c>
      <c r="AC1548">
        <f t="shared" si="369"/>
        <v>0</v>
      </c>
      <c r="AD1548" s="1">
        <f t="shared" si="370"/>
        <v>0</v>
      </c>
      <c r="AE1548">
        <f t="shared" si="371"/>
        <v>0</v>
      </c>
      <c r="AF1548">
        <f t="shared" si="372"/>
        <v>0</v>
      </c>
      <c r="AG1548">
        <f t="shared" si="373"/>
        <v>0</v>
      </c>
    </row>
    <row r="1549" spans="1:33" x14ac:dyDescent="0.25">
      <c r="A1549" t="s">
        <v>2564</v>
      </c>
      <c r="B1549" t="s">
        <v>2565</v>
      </c>
      <c r="C1549">
        <v>168729</v>
      </c>
      <c r="D1549">
        <v>168729</v>
      </c>
      <c r="S1549">
        <f t="shared" si="362"/>
        <v>0</v>
      </c>
      <c r="T1549">
        <f t="shared" si="363"/>
        <v>0</v>
      </c>
      <c r="U1549">
        <f t="shared" si="361"/>
        <v>0</v>
      </c>
      <c r="V1549">
        <f t="shared" si="364"/>
        <v>0</v>
      </c>
      <c r="W1549">
        <f t="shared" si="365"/>
        <v>0</v>
      </c>
      <c r="X1549">
        <f t="shared" si="374"/>
        <v>0</v>
      </c>
      <c r="Y1549">
        <f t="shared" si="375"/>
        <v>0</v>
      </c>
      <c r="Z1549">
        <f t="shared" si="366"/>
        <v>0</v>
      </c>
      <c r="AA1549">
        <f t="shared" si="367"/>
        <v>0</v>
      </c>
      <c r="AB1549">
        <f t="shared" si="368"/>
        <v>0</v>
      </c>
      <c r="AC1549">
        <f t="shared" si="369"/>
        <v>0</v>
      </c>
      <c r="AD1549" s="1">
        <f t="shared" si="370"/>
        <v>0</v>
      </c>
      <c r="AE1549">
        <f t="shared" si="371"/>
        <v>0</v>
      </c>
      <c r="AF1549">
        <f t="shared" si="372"/>
        <v>0</v>
      </c>
      <c r="AG1549">
        <f t="shared" si="373"/>
        <v>0</v>
      </c>
    </row>
    <row r="1550" spans="1:33" x14ac:dyDescent="0.25">
      <c r="A1550" t="s">
        <v>2566</v>
      </c>
      <c r="B1550" t="s">
        <v>2567</v>
      </c>
      <c r="C1550">
        <v>166103</v>
      </c>
      <c r="D1550">
        <v>166103</v>
      </c>
      <c r="E1550">
        <v>10</v>
      </c>
      <c r="F1550">
        <v>30</v>
      </c>
      <c r="G1550">
        <v>30</v>
      </c>
      <c r="O1550">
        <v>70</v>
      </c>
      <c r="R1550" t="s">
        <v>20</v>
      </c>
      <c r="S1550">
        <f t="shared" si="362"/>
        <v>4.375</v>
      </c>
      <c r="T1550">
        <f t="shared" si="363"/>
        <v>0</v>
      </c>
      <c r="U1550">
        <f t="shared" si="361"/>
        <v>1</v>
      </c>
      <c r="V1550">
        <f t="shared" si="364"/>
        <v>1</v>
      </c>
      <c r="W1550">
        <f t="shared" si="365"/>
        <v>0</v>
      </c>
      <c r="X1550">
        <f t="shared" si="374"/>
        <v>0</v>
      </c>
      <c r="Y1550">
        <f t="shared" si="375"/>
        <v>0</v>
      </c>
      <c r="Z1550">
        <f t="shared" si="366"/>
        <v>2</v>
      </c>
      <c r="AA1550">
        <f t="shared" si="367"/>
        <v>7.5</v>
      </c>
      <c r="AB1550">
        <f t="shared" si="368"/>
        <v>4.2857142857142856</v>
      </c>
      <c r="AC1550">
        <f t="shared" si="369"/>
        <v>0</v>
      </c>
      <c r="AD1550" s="1">
        <f t="shared" si="370"/>
        <v>0</v>
      </c>
      <c r="AE1550">
        <f t="shared" si="371"/>
        <v>0</v>
      </c>
      <c r="AF1550">
        <f t="shared" si="372"/>
        <v>0</v>
      </c>
      <c r="AG1550">
        <f t="shared" si="373"/>
        <v>0</v>
      </c>
    </row>
    <row r="1551" spans="1:33" x14ac:dyDescent="0.25">
      <c r="A1551" t="s">
        <v>2568</v>
      </c>
      <c r="B1551" t="s">
        <v>2569</v>
      </c>
      <c r="C1551">
        <v>168101</v>
      </c>
      <c r="D1551">
        <v>168101</v>
      </c>
      <c r="S1551">
        <f t="shared" si="362"/>
        <v>0</v>
      </c>
      <c r="T1551">
        <f t="shared" si="363"/>
        <v>0</v>
      </c>
      <c r="U1551">
        <f t="shared" si="361"/>
        <v>0</v>
      </c>
      <c r="V1551">
        <f t="shared" si="364"/>
        <v>0</v>
      </c>
      <c r="W1551">
        <f t="shared" si="365"/>
        <v>0</v>
      </c>
      <c r="X1551">
        <f t="shared" si="374"/>
        <v>0</v>
      </c>
      <c r="Y1551">
        <f t="shared" si="375"/>
        <v>0</v>
      </c>
      <c r="Z1551">
        <f t="shared" si="366"/>
        <v>0</v>
      </c>
      <c r="AA1551">
        <f t="shared" si="367"/>
        <v>0</v>
      </c>
      <c r="AB1551">
        <f t="shared" si="368"/>
        <v>0</v>
      </c>
      <c r="AC1551">
        <f t="shared" si="369"/>
        <v>0</v>
      </c>
      <c r="AD1551" s="1">
        <f t="shared" si="370"/>
        <v>0</v>
      </c>
      <c r="AE1551">
        <f t="shared" si="371"/>
        <v>0</v>
      </c>
      <c r="AF1551">
        <f t="shared" si="372"/>
        <v>0</v>
      </c>
      <c r="AG1551">
        <f t="shared" si="373"/>
        <v>0</v>
      </c>
    </row>
    <row r="1552" spans="1:33" x14ac:dyDescent="0.25">
      <c r="A1552" t="s">
        <v>2568</v>
      </c>
      <c r="B1552" t="s">
        <v>2570</v>
      </c>
      <c r="C1552">
        <v>168611</v>
      </c>
      <c r="D1552">
        <v>168611</v>
      </c>
      <c r="H1552">
        <v>10</v>
      </c>
      <c r="I1552">
        <v>10</v>
      </c>
      <c r="J1552">
        <v>0</v>
      </c>
      <c r="K1552">
        <v>0</v>
      </c>
      <c r="M1552">
        <v>20</v>
      </c>
      <c r="R1552">
        <v>10</v>
      </c>
      <c r="S1552">
        <f t="shared" si="362"/>
        <v>0</v>
      </c>
      <c r="T1552">
        <f t="shared" si="363"/>
        <v>1.6666666666666667</v>
      </c>
      <c r="U1552">
        <f t="shared" si="361"/>
        <v>1</v>
      </c>
      <c r="V1552">
        <f t="shared" si="364"/>
        <v>0</v>
      </c>
      <c r="W1552">
        <f t="shared" si="365"/>
        <v>1</v>
      </c>
      <c r="X1552">
        <f t="shared" si="374"/>
        <v>0</v>
      </c>
      <c r="Y1552">
        <f t="shared" si="375"/>
        <v>0</v>
      </c>
      <c r="Z1552">
        <f t="shared" si="366"/>
        <v>0</v>
      </c>
      <c r="AA1552">
        <f t="shared" si="367"/>
        <v>0</v>
      </c>
      <c r="AB1552">
        <f t="shared" si="368"/>
        <v>0</v>
      </c>
      <c r="AC1552">
        <f t="shared" si="369"/>
        <v>5</v>
      </c>
      <c r="AD1552" s="1">
        <f t="shared" si="370"/>
        <v>1.6666666666666667</v>
      </c>
      <c r="AE1552">
        <f t="shared" si="371"/>
        <v>0</v>
      </c>
      <c r="AF1552">
        <f t="shared" si="372"/>
        <v>0</v>
      </c>
      <c r="AG1552">
        <f t="shared" si="373"/>
        <v>0</v>
      </c>
    </row>
    <row r="1553" spans="1:33" x14ac:dyDescent="0.25">
      <c r="A1553" t="s">
        <v>2571</v>
      </c>
      <c r="B1553" t="s">
        <v>2572</v>
      </c>
      <c r="C1553">
        <v>163723</v>
      </c>
      <c r="D1553">
        <v>163723</v>
      </c>
      <c r="E1553">
        <v>50</v>
      </c>
      <c r="F1553">
        <v>30</v>
      </c>
      <c r="G1553">
        <v>50</v>
      </c>
      <c r="O1553">
        <v>130</v>
      </c>
      <c r="S1553">
        <f t="shared" si="362"/>
        <v>8.125</v>
      </c>
      <c r="T1553">
        <f t="shared" si="363"/>
        <v>0</v>
      </c>
      <c r="U1553">
        <f t="shared" si="361"/>
        <v>1</v>
      </c>
      <c r="V1553">
        <f t="shared" si="364"/>
        <v>1</v>
      </c>
      <c r="W1553">
        <f t="shared" si="365"/>
        <v>0</v>
      </c>
      <c r="X1553">
        <f t="shared" si="374"/>
        <v>1</v>
      </c>
      <c r="Y1553">
        <f t="shared" si="375"/>
        <v>0</v>
      </c>
      <c r="Z1553">
        <f t="shared" si="366"/>
        <v>10</v>
      </c>
      <c r="AA1553">
        <f t="shared" si="367"/>
        <v>7.5</v>
      </c>
      <c r="AB1553">
        <f t="shared" si="368"/>
        <v>7.1428571428571432</v>
      </c>
      <c r="AC1553">
        <f t="shared" si="369"/>
        <v>0</v>
      </c>
      <c r="AD1553" s="1">
        <f t="shared" si="370"/>
        <v>0</v>
      </c>
      <c r="AE1553">
        <f t="shared" si="371"/>
        <v>0</v>
      </c>
      <c r="AF1553">
        <f t="shared" si="372"/>
        <v>0</v>
      </c>
      <c r="AG1553">
        <f t="shared" si="373"/>
        <v>0</v>
      </c>
    </row>
    <row r="1554" spans="1:33" x14ac:dyDescent="0.25">
      <c r="A1554" t="s">
        <v>2573</v>
      </c>
      <c r="B1554" t="s">
        <v>2574</v>
      </c>
      <c r="C1554">
        <v>165535</v>
      </c>
      <c r="D1554">
        <v>165535</v>
      </c>
      <c r="E1554">
        <v>10</v>
      </c>
      <c r="F1554">
        <v>20</v>
      </c>
      <c r="G1554">
        <v>10</v>
      </c>
      <c r="O1554">
        <v>40</v>
      </c>
      <c r="S1554">
        <f t="shared" si="362"/>
        <v>2.5</v>
      </c>
      <c r="T1554">
        <f t="shared" si="363"/>
        <v>0</v>
      </c>
      <c r="U1554">
        <f t="shared" si="361"/>
        <v>1</v>
      </c>
      <c r="V1554">
        <f t="shared" si="364"/>
        <v>1</v>
      </c>
      <c r="W1554">
        <f t="shared" si="365"/>
        <v>0</v>
      </c>
      <c r="X1554">
        <f t="shared" si="374"/>
        <v>0</v>
      </c>
      <c r="Y1554">
        <f t="shared" si="375"/>
        <v>0</v>
      </c>
      <c r="Z1554">
        <f t="shared" si="366"/>
        <v>2</v>
      </c>
      <c r="AA1554">
        <f t="shared" si="367"/>
        <v>5</v>
      </c>
      <c r="AB1554">
        <f t="shared" si="368"/>
        <v>1.4285714285714286</v>
      </c>
      <c r="AC1554">
        <f t="shared" si="369"/>
        <v>0</v>
      </c>
      <c r="AD1554" s="1">
        <f t="shared" si="370"/>
        <v>0</v>
      </c>
      <c r="AE1554">
        <f t="shared" si="371"/>
        <v>0</v>
      </c>
      <c r="AF1554">
        <f t="shared" si="372"/>
        <v>0</v>
      </c>
      <c r="AG1554">
        <f t="shared" si="373"/>
        <v>0</v>
      </c>
    </row>
    <row r="1555" spans="1:33" x14ac:dyDescent="0.25">
      <c r="A1555" t="s">
        <v>2575</v>
      </c>
      <c r="B1555" t="s">
        <v>2576</v>
      </c>
      <c r="C1555">
        <v>163373</v>
      </c>
      <c r="D1555">
        <v>163373</v>
      </c>
      <c r="N1555" t="s">
        <v>549</v>
      </c>
      <c r="S1555">
        <f t="shared" si="362"/>
        <v>0</v>
      </c>
      <c r="T1555">
        <f t="shared" si="363"/>
        <v>0</v>
      </c>
      <c r="U1555">
        <f t="shared" si="361"/>
        <v>0</v>
      </c>
      <c r="V1555">
        <f t="shared" si="364"/>
        <v>0</v>
      </c>
      <c r="W1555">
        <f t="shared" si="365"/>
        <v>0</v>
      </c>
      <c r="X1555">
        <f t="shared" si="374"/>
        <v>0</v>
      </c>
      <c r="Y1555">
        <f t="shared" si="375"/>
        <v>0</v>
      </c>
      <c r="Z1555">
        <f t="shared" si="366"/>
        <v>0</v>
      </c>
      <c r="AA1555">
        <f t="shared" si="367"/>
        <v>0</v>
      </c>
      <c r="AB1555">
        <f t="shared" si="368"/>
        <v>0</v>
      </c>
      <c r="AC1555">
        <f t="shared" si="369"/>
        <v>0</v>
      </c>
      <c r="AD1555" s="1">
        <f t="shared" si="370"/>
        <v>0</v>
      </c>
      <c r="AE1555">
        <f t="shared" si="371"/>
        <v>0</v>
      </c>
      <c r="AF1555">
        <f t="shared" si="372"/>
        <v>0</v>
      </c>
      <c r="AG1555">
        <f t="shared" si="373"/>
        <v>0</v>
      </c>
    </row>
    <row r="1556" spans="1:33" x14ac:dyDescent="0.25">
      <c r="A1556" t="s">
        <v>2577</v>
      </c>
      <c r="B1556" t="s">
        <v>2578</v>
      </c>
      <c r="C1556">
        <v>166921</v>
      </c>
      <c r="D1556">
        <v>166921</v>
      </c>
      <c r="H1556">
        <v>20</v>
      </c>
      <c r="I1556">
        <v>40</v>
      </c>
      <c r="J1556">
        <v>10</v>
      </c>
      <c r="K1556">
        <v>10</v>
      </c>
      <c r="L1556">
        <v>0</v>
      </c>
      <c r="M1556">
        <v>80</v>
      </c>
      <c r="S1556">
        <f t="shared" si="362"/>
        <v>0</v>
      </c>
      <c r="T1556">
        <f t="shared" si="363"/>
        <v>6.666666666666667</v>
      </c>
      <c r="U1556">
        <f t="shared" si="361"/>
        <v>1</v>
      </c>
      <c r="V1556">
        <f t="shared" si="364"/>
        <v>0</v>
      </c>
      <c r="W1556">
        <f t="shared" si="365"/>
        <v>1</v>
      </c>
      <c r="X1556">
        <f t="shared" si="374"/>
        <v>0</v>
      </c>
      <c r="Y1556">
        <f t="shared" si="375"/>
        <v>1</v>
      </c>
      <c r="Z1556">
        <f t="shared" si="366"/>
        <v>0</v>
      </c>
      <c r="AA1556">
        <f t="shared" si="367"/>
        <v>0</v>
      </c>
      <c r="AB1556">
        <f t="shared" si="368"/>
        <v>0</v>
      </c>
      <c r="AC1556">
        <f t="shared" si="369"/>
        <v>10</v>
      </c>
      <c r="AD1556" s="1">
        <f t="shared" si="370"/>
        <v>6.666666666666667</v>
      </c>
      <c r="AE1556">
        <f t="shared" si="371"/>
        <v>5</v>
      </c>
      <c r="AF1556">
        <f t="shared" si="372"/>
        <v>10</v>
      </c>
      <c r="AG1556">
        <f t="shared" si="373"/>
        <v>0</v>
      </c>
    </row>
    <row r="1557" spans="1:33" x14ac:dyDescent="0.25">
      <c r="A1557" t="s">
        <v>2579</v>
      </c>
      <c r="B1557" t="s">
        <v>2580</v>
      </c>
      <c r="C1557">
        <v>168325</v>
      </c>
      <c r="D1557">
        <v>168325</v>
      </c>
      <c r="E1557">
        <v>30</v>
      </c>
      <c r="F1557">
        <v>20</v>
      </c>
      <c r="G1557">
        <v>0</v>
      </c>
      <c r="O1557">
        <v>50</v>
      </c>
      <c r="S1557">
        <f t="shared" si="362"/>
        <v>3.125</v>
      </c>
      <c r="T1557">
        <f t="shared" si="363"/>
        <v>0</v>
      </c>
      <c r="U1557">
        <f t="shared" si="361"/>
        <v>1</v>
      </c>
      <c r="V1557">
        <f t="shared" si="364"/>
        <v>1</v>
      </c>
      <c r="W1557">
        <f t="shared" si="365"/>
        <v>0</v>
      </c>
      <c r="X1557">
        <f t="shared" si="374"/>
        <v>0</v>
      </c>
      <c r="Y1557">
        <f t="shared" si="375"/>
        <v>0</v>
      </c>
      <c r="Z1557">
        <f t="shared" si="366"/>
        <v>6</v>
      </c>
      <c r="AA1557">
        <f t="shared" si="367"/>
        <v>5</v>
      </c>
      <c r="AB1557">
        <f t="shared" si="368"/>
        <v>0</v>
      </c>
      <c r="AC1557">
        <f t="shared" si="369"/>
        <v>0</v>
      </c>
      <c r="AD1557" s="1">
        <f t="shared" si="370"/>
        <v>0</v>
      </c>
      <c r="AE1557">
        <f t="shared" si="371"/>
        <v>0</v>
      </c>
      <c r="AF1557">
        <f t="shared" si="372"/>
        <v>0</v>
      </c>
      <c r="AG1557">
        <f t="shared" si="373"/>
        <v>0</v>
      </c>
    </row>
    <row r="1558" spans="1:33" x14ac:dyDescent="0.25">
      <c r="A1558" t="s">
        <v>2581</v>
      </c>
      <c r="B1558" t="s">
        <v>393</v>
      </c>
      <c r="C1558">
        <v>167193</v>
      </c>
      <c r="D1558">
        <v>167193</v>
      </c>
      <c r="H1558">
        <v>10</v>
      </c>
      <c r="I1558">
        <v>30</v>
      </c>
      <c r="J1558">
        <v>0</v>
      </c>
      <c r="K1558">
        <v>10</v>
      </c>
      <c r="L1558">
        <v>10</v>
      </c>
      <c r="M1558">
        <v>60</v>
      </c>
      <c r="S1558">
        <f t="shared" si="362"/>
        <v>0</v>
      </c>
      <c r="T1558">
        <f t="shared" si="363"/>
        <v>5</v>
      </c>
      <c r="U1558">
        <f t="shared" si="361"/>
        <v>1</v>
      </c>
      <c r="V1558">
        <f t="shared" si="364"/>
        <v>0</v>
      </c>
      <c r="W1558">
        <f t="shared" si="365"/>
        <v>1</v>
      </c>
      <c r="X1558">
        <f t="shared" si="374"/>
        <v>0</v>
      </c>
      <c r="Y1558">
        <f t="shared" si="375"/>
        <v>0</v>
      </c>
      <c r="Z1558">
        <f t="shared" si="366"/>
        <v>0</v>
      </c>
      <c r="AA1558">
        <f t="shared" si="367"/>
        <v>0</v>
      </c>
      <c r="AB1558">
        <f t="shared" si="368"/>
        <v>0</v>
      </c>
      <c r="AC1558">
        <f t="shared" si="369"/>
        <v>5</v>
      </c>
      <c r="AD1558" s="1">
        <f t="shared" si="370"/>
        <v>5</v>
      </c>
      <c r="AE1558">
        <f t="shared" si="371"/>
        <v>0</v>
      </c>
      <c r="AF1558">
        <f t="shared" si="372"/>
        <v>10</v>
      </c>
      <c r="AG1558">
        <f t="shared" si="373"/>
        <v>10</v>
      </c>
    </row>
    <row r="1559" spans="1:33" x14ac:dyDescent="0.25">
      <c r="A1559" t="s">
        <v>2582</v>
      </c>
      <c r="B1559" t="s">
        <v>2583</v>
      </c>
      <c r="C1559">
        <v>168102</v>
      </c>
      <c r="D1559">
        <v>168102</v>
      </c>
      <c r="E1559">
        <v>20</v>
      </c>
      <c r="F1559">
        <v>10</v>
      </c>
      <c r="G1559">
        <v>40</v>
      </c>
      <c r="O1559">
        <v>70</v>
      </c>
      <c r="R1559" t="s">
        <v>20</v>
      </c>
      <c r="S1559">
        <f t="shared" si="362"/>
        <v>4.375</v>
      </c>
      <c r="T1559">
        <f t="shared" si="363"/>
        <v>0</v>
      </c>
      <c r="U1559">
        <f t="shared" si="361"/>
        <v>1</v>
      </c>
      <c r="V1559">
        <f t="shared" si="364"/>
        <v>1</v>
      </c>
      <c r="W1559">
        <f t="shared" si="365"/>
        <v>0</v>
      </c>
      <c r="X1559">
        <f t="shared" si="374"/>
        <v>0</v>
      </c>
      <c r="Y1559">
        <f t="shared" si="375"/>
        <v>0</v>
      </c>
      <c r="Z1559">
        <f t="shared" si="366"/>
        <v>4</v>
      </c>
      <c r="AA1559">
        <f t="shared" si="367"/>
        <v>2.5</v>
      </c>
      <c r="AB1559">
        <f t="shared" si="368"/>
        <v>5.7142857142857144</v>
      </c>
      <c r="AC1559">
        <f t="shared" si="369"/>
        <v>0</v>
      </c>
      <c r="AD1559" s="1">
        <f t="shared" si="370"/>
        <v>0</v>
      </c>
      <c r="AE1559">
        <f t="shared" si="371"/>
        <v>0</v>
      </c>
      <c r="AF1559">
        <f t="shared" si="372"/>
        <v>0</v>
      </c>
      <c r="AG1559">
        <f t="shared" si="373"/>
        <v>0</v>
      </c>
    </row>
    <row r="1560" spans="1:33" x14ac:dyDescent="0.25">
      <c r="A1560" t="s">
        <v>2584</v>
      </c>
      <c r="B1560" t="s">
        <v>650</v>
      </c>
      <c r="C1560">
        <v>165742</v>
      </c>
      <c r="D1560">
        <v>165742</v>
      </c>
      <c r="S1560">
        <f t="shared" si="362"/>
        <v>0</v>
      </c>
      <c r="T1560">
        <f t="shared" si="363"/>
        <v>0</v>
      </c>
      <c r="U1560">
        <f t="shared" si="361"/>
        <v>0</v>
      </c>
      <c r="V1560">
        <f t="shared" si="364"/>
        <v>0</v>
      </c>
      <c r="W1560">
        <f t="shared" si="365"/>
        <v>0</v>
      </c>
      <c r="X1560">
        <f t="shared" si="374"/>
        <v>0</v>
      </c>
      <c r="Y1560">
        <f t="shared" si="375"/>
        <v>0</v>
      </c>
      <c r="Z1560">
        <f t="shared" si="366"/>
        <v>0</v>
      </c>
      <c r="AA1560">
        <f t="shared" si="367"/>
        <v>0</v>
      </c>
      <c r="AB1560">
        <f t="shared" si="368"/>
        <v>0</v>
      </c>
      <c r="AC1560">
        <f t="shared" si="369"/>
        <v>0</v>
      </c>
      <c r="AD1560" s="1">
        <f t="shared" si="370"/>
        <v>0</v>
      </c>
      <c r="AE1560">
        <f t="shared" si="371"/>
        <v>0</v>
      </c>
      <c r="AF1560">
        <f t="shared" si="372"/>
        <v>0</v>
      </c>
      <c r="AG1560">
        <f t="shared" si="373"/>
        <v>0</v>
      </c>
    </row>
    <row r="1561" spans="1:33" x14ac:dyDescent="0.25">
      <c r="A1561" t="s">
        <v>2585</v>
      </c>
      <c r="B1561" t="s">
        <v>2586</v>
      </c>
      <c r="C1561">
        <v>165453</v>
      </c>
      <c r="D1561">
        <v>165453</v>
      </c>
      <c r="H1561">
        <v>0</v>
      </c>
      <c r="I1561">
        <v>50</v>
      </c>
      <c r="J1561">
        <v>0</v>
      </c>
      <c r="K1561">
        <v>0</v>
      </c>
      <c r="L1561">
        <v>0</v>
      </c>
      <c r="M1561">
        <v>50</v>
      </c>
      <c r="S1561">
        <f t="shared" si="362"/>
        <v>0</v>
      </c>
      <c r="T1561">
        <f t="shared" si="363"/>
        <v>4.166666666666667</v>
      </c>
      <c r="U1561">
        <f t="shared" si="361"/>
        <v>1</v>
      </c>
      <c r="V1561">
        <f t="shared" si="364"/>
        <v>0</v>
      </c>
      <c r="W1561">
        <f t="shared" si="365"/>
        <v>1</v>
      </c>
      <c r="X1561">
        <f t="shared" si="374"/>
        <v>0</v>
      </c>
      <c r="Y1561">
        <f t="shared" si="375"/>
        <v>0</v>
      </c>
      <c r="Z1561">
        <f t="shared" si="366"/>
        <v>0</v>
      </c>
      <c r="AA1561">
        <f t="shared" si="367"/>
        <v>0</v>
      </c>
      <c r="AB1561">
        <f t="shared" si="368"/>
        <v>0</v>
      </c>
      <c r="AC1561">
        <f t="shared" si="369"/>
        <v>0</v>
      </c>
      <c r="AD1561" s="1">
        <f t="shared" si="370"/>
        <v>8.3333333333333339</v>
      </c>
      <c r="AE1561">
        <f t="shared" si="371"/>
        <v>0</v>
      </c>
      <c r="AF1561">
        <f t="shared" si="372"/>
        <v>0</v>
      </c>
      <c r="AG1561">
        <f t="shared" si="373"/>
        <v>0</v>
      </c>
    </row>
    <row r="1562" spans="1:33" x14ac:dyDescent="0.25">
      <c r="A1562" t="s">
        <v>2587</v>
      </c>
      <c r="B1562" t="s">
        <v>2588</v>
      </c>
      <c r="C1562">
        <v>165809</v>
      </c>
      <c r="D1562">
        <v>165809</v>
      </c>
      <c r="S1562">
        <f t="shared" si="362"/>
        <v>0</v>
      </c>
      <c r="T1562">
        <f t="shared" si="363"/>
        <v>0</v>
      </c>
      <c r="U1562">
        <f t="shared" si="361"/>
        <v>0</v>
      </c>
      <c r="V1562">
        <f t="shared" si="364"/>
        <v>0</v>
      </c>
      <c r="W1562">
        <f t="shared" si="365"/>
        <v>0</v>
      </c>
      <c r="X1562">
        <f t="shared" si="374"/>
        <v>0</v>
      </c>
      <c r="Y1562">
        <f t="shared" si="375"/>
        <v>0</v>
      </c>
      <c r="Z1562">
        <f t="shared" si="366"/>
        <v>0</v>
      </c>
      <c r="AA1562">
        <f t="shared" si="367"/>
        <v>0</v>
      </c>
      <c r="AB1562">
        <f t="shared" si="368"/>
        <v>0</v>
      </c>
      <c r="AC1562">
        <f t="shared" si="369"/>
        <v>0</v>
      </c>
      <c r="AD1562" s="1">
        <f t="shared" si="370"/>
        <v>0</v>
      </c>
      <c r="AE1562">
        <f t="shared" si="371"/>
        <v>0</v>
      </c>
      <c r="AF1562">
        <f t="shared" si="372"/>
        <v>0</v>
      </c>
      <c r="AG1562">
        <f t="shared" si="373"/>
        <v>0</v>
      </c>
    </row>
    <row r="1563" spans="1:33" x14ac:dyDescent="0.25">
      <c r="A1563" t="s">
        <v>2589</v>
      </c>
      <c r="B1563" t="s">
        <v>1210</v>
      </c>
      <c r="C1563">
        <v>166509</v>
      </c>
      <c r="D1563">
        <v>166509</v>
      </c>
      <c r="S1563">
        <f t="shared" si="362"/>
        <v>0</v>
      </c>
      <c r="T1563">
        <f t="shared" si="363"/>
        <v>0</v>
      </c>
      <c r="U1563">
        <f t="shared" si="361"/>
        <v>0</v>
      </c>
      <c r="V1563">
        <f t="shared" si="364"/>
        <v>0</v>
      </c>
      <c r="W1563">
        <f t="shared" si="365"/>
        <v>0</v>
      </c>
      <c r="X1563">
        <f t="shared" si="374"/>
        <v>0</v>
      </c>
      <c r="Y1563">
        <f t="shared" si="375"/>
        <v>0</v>
      </c>
      <c r="Z1563">
        <f t="shared" si="366"/>
        <v>0</v>
      </c>
      <c r="AA1563">
        <f t="shared" si="367"/>
        <v>0</v>
      </c>
      <c r="AB1563">
        <f t="shared" si="368"/>
        <v>0</v>
      </c>
      <c r="AC1563">
        <f t="shared" si="369"/>
        <v>0</v>
      </c>
      <c r="AD1563" s="1">
        <f t="shared" si="370"/>
        <v>0</v>
      </c>
      <c r="AE1563">
        <f t="shared" si="371"/>
        <v>0</v>
      </c>
      <c r="AF1563">
        <f t="shared" si="372"/>
        <v>0</v>
      </c>
      <c r="AG1563">
        <f t="shared" si="373"/>
        <v>0</v>
      </c>
    </row>
    <row r="1564" spans="1:33" x14ac:dyDescent="0.25">
      <c r="A1564" t="s">
        <v>2590</v>
      </c>
      <c r="B1564" t="s">
        <v>2591</v>
      </c>
      <c r="C1564">
        <v>167812</v>
      </c>
      <c r="D1564">
        <v>167812</v>
      </c>
      <c r="E1564">
        <v>50</v>
      </c>
      <c r="F1564">
        <v>30</v>
      </c>
      <c r="G1564">
        <v>40</v>
      </c>
      <c r="O1564">
        <v>120</v>
      </c>
      <c r="S1564">
        <f t="shared" si="362"/>
        <v>7.5</v>
      </c>
      <c r="T1564">
        <f t="shared" si="363"/>
        <v>0</v>
      </c>
      <c r="U1564">
        <f t="shared" si="361"/>
        <v>1</v>
      </c>
      <c r="V1564">
        <f t="shared" si="364"/>
        <v>1</v>
      </c>
      <c r="W1564">
        <f t="shared" si="365"/>
        <v>0</v>
      </c>
      <c r="X1564">
        <f t="shared" si="374"/>
        <v>1</v>
      </c>
      <c r="Y1564">
        <f t="shared" si="375"/>
        <v>0</v>
      </c>
      <c r="Z1564">
        <f t="shared" si="366"/>
        <v>10</v>
      </c>
      <c r="AA1564">
        <f t="shared" si="367"/>
        <v>7.5</v>
      </c>
      <c r="AB1564">
        <f t="shared" si="368"/>
        <v>5.7142857142857144</v>
      </c>
      <c r="AC1564">
        <f t="shared" si="369"/>
        <v>0</v>
      </c>
      <c r="AD1564" s="1">
        <f t="shared" si="370"/>
        <v>0</v>
      </c>
      <c r="AE1564">
        <f t="shared" si="371"/>
        <v>0</v>
      </c>
      <c r="AF1564">
        <f t="shared" si="372"/>
        <v>0</v>
      </c>
      <c r="AG1564">
        <f t="shared" si="373"/>
        <v>0</v>
      </c>
    </row>
    <row r="1565" spans="1:33" x14ac:dyDescent="0.25">
      <c r="A1565" t="s">
        <v>2592</v>
      </c>
      <c r="B1565" t="s">
        <v>551</v>
      </c>
      <c r="C1565">
        <v>167873</v>
      </c>
      <c r="D1565">
        <v>167873</v>
      </c>
      <c r="H1565">
        <v>10</v>
      </c>
      <c r="I1565">
        <v>40</v>
      </c>
      <c r="J1565">
        <v>10</v>
      </c>
      <c r="K1565">
        <v>0</v>
      </c>
      <c r="L1565">
        <v>0</v>
      </c>
      <c r="M1565">
        <v>60</v>
      </c>
      <c r="S1565">
        <f t="shared" si="362"/>
        <v>0</v>
      </c>
      <c r="T1565">
        <f t="shared" si="363"/>
        <v>5</v>
      </c>
      <c r="U1565">
        <f t="shared" si="361"/>
        <v>1</v>
      </c>
      <c r="V1565">
        <f t="shared" si="364"/>
        <v>0</v>
      </c>
      <c r="W1565">
        <f t="shared" si="365"/>
        <v>1</v>
      </c>
      <c r="X1565">
        <f t="shared" si="374"/>
        <v>0</v>
      </c>
      <c r="Y1565">
        <f t="shared" si="375"/>
        <v>0</v>
      </c>
      <c r="Z1565">
        <f t="shared" si="366"/>
        <v>0</v>
      </c>
      <c r="AA1565">
        <f t="shared" si="367"/>
        <v>0</v>
      </c>
      <c r="AB1565">
        <f t="shared" si="368"/>
        <v>0</v>
      </c>
      <c r="AC1565">
        <f t="shared" si="369"/>
        <v>5</v>
      </c>
      <c r="AD1565" s="1">
        <f t="shared" si="370"/>
        <v>6.666666666666667</v>
      </c>
      <c r="AE1565">
        <f t="shared" si="371"/>
        <v>5</v>
      </c>
      <c r="AF1565">
        <f t="shared" si="372"/>
        <v>0</v>
      </c>
      <c r="AG1565">
        <f t="shared" si="373"/>
        <v>0</v>
      </c>
    </row>
    <row r="1566" spans="1:33" x14ac:dyDescent="0.25">
      <c r="A1566" t="s">
        <v>2593</v>
      </c>
      <c r="B1566" t="s">
        <v>2594</v>
      </c>
      <c r="C1566">
        <v>167155</v>
      </c>
      <c r="D1566">
        <v>167155</v>
      </c>
      <c r="E1566">
        <v>30</v>
      </c>
      <c r="O1566">
        <v>30</v>
      </c>
      <c r="S1566">
        <f t="shared" si="362"/>
        <v>1.875</v>
      </c>
      <c r="T1566">
        <f t="shared" si="363"/>
        <v>0</v>
      </c>
      <c r="U1566">
        <f t="shared" si="361"/>
        <v>1</v>
      </c>
      <c r="V1566">
        <f t="shared" si="364"/>
        <v>1</v>
      </c>
      <c r="W1566">
        <f t="shared" si="365"/>
        <v>0</v>
      </c>
      <c r="X1566">
        <f t="shared" si="374"/>
        <v>0</v>
      </c>
      <c r="Y1566">
        <f t="shared" si="375"/>
        <v>0</v>
      </c>
      <c r="Z1566">
        <f t="shared" si="366"/>
        <v>6</v>
      </c>
      <c r="AA1566">
        <f t="shared" si="367"/>
        <v>0</v>
      </c>
      <c r="AB1566">
        <f t="shared" si="368"/>
        <v>0</v>
      </c>
      <c r="AC1566">
        <f t="shared" si="369"/>
        <v>0</v>
      </c>
      <c r="AD1566" s="1">
        <f t="shared" si="370"/>
        <v>0</v>
      </c>
      <c r="AE1566">
        <f t="shared" si="371"/>
        <v>0</v>
      </c>
      <c r="AF1566">
        <f t="shared" si="372"/>
        <v>0</v>
      </c>
      <c r="AG1566">
        <f t="shared" si="373"/>
        <v>0</v>
      </c>
    </row>
    <row r="1567" spans="1:33" x14ac:dyDescent="0.25">
      <c r="A1567" t="s">
        <v>2595</v>
      </c>
      <c r="B1567" t="s">
        <v>218</v>
      </c>
      <c r="C1567">
        <v>167492</v>
      </c>
      <c r="D1567">
        <v>167492</v>
      </c>
      <c r="E1567">
        <v>30</v>
      </c>
      <c r="F1567">
        <v>30</v>
      </c>
      <c r="G1567">
        <v>40</v>
      </c>
      <c r="O1567">
        <v>100</v>
      </c>
      <c r="S1567">
        <f t="shared" si="362"/>
        <v>6.25</v>
      </c>
      <c r="T1567">
        <f t="shared" si="363"/>
        <v>0</v>
      </c>
      <c r="U1567">
        <f t="shared" si="361"/>
        <v>1</v>
      </c>
      <c r="V1567">
        <f t="shared" si="364"/>
        <v>1</v>
      </c>
      <c r="W1567">
        <f t="shared" si="365"/>
        <v>0</v>
      </c>
      <c r="X1567">
        <f t="shared" si="374"/>
        <v>1</v>
      </c>
      <c r="Y1567">
        <f t="shared" si="375"/>
        <v>0</v>
      </c>
      <c r="Z1567">
        <f t="shared" si="366"/>
        <v>6</v>
      </c>
      <c r="AA1567">
        <f t="shared" si="367"/>
        <v>7.5</v>
      </c>
      <c r="AB1567">
        <f t="shared" si="368"/>
        <v>5.7142857142857144</v>
      </c>
      <c r="AC1567">
        <f t="shared" si="369"/>
        <v>0</v>
      </c>
      <c r="AD1567" s="1">
        <f t="shared" si="370"/>
        <v>0</v>
      </c>
      <c r="AE1567">
        <f t="shared" si="371"/>
        <v>0</v>
      </c>
      <c r="AF1567">
        <f t="shared" si="372"/>
        <v>0</v>
      </c>
      <c r="AG1567">
        <f t="shared" si="373"/>
        <v>0</v>
      </c>
    </row>
    <row r="1568" spans="1:33" x14ac:dyDescent="0.25">
      <c r="A1568" t="s">
        <v>2596</v>
      </c>
      <c r="B1568" t="s">
        <v>2597</v>
      </c>
      <c r="C1568">
        <v>167837</v>
      </c>
      <c r="D1568">
        <v>167837</v>
      </c>
      <c r="S1568">
        <f t="shared" si="362"/>
        <v>0</v>
      </c>
      <c r="T1568">
        <f t="shared" si="363"/>
        <v>0</v>
      </c>
      <c r="U1568">
        <f t="shared" si="361"/>
        <v>0</v>
      </c>
      <c r="V1568">
        <f t="shared" si="364"/>
        <v>0</v>
      </c>
      <c r="W1568">
        <f t="shared" si="365"/>
        <v>0</v>
      </c>
      <c r="X1568">
        <f t="shared" si="374"/>
        <v>0</v>
      </c>
      <c r="Y1568">
        <f t="shared" si="375"/>
        <v>0</v>
      </c>
      <c r="Z1568">
        <f t="shared" si="366"/>
        <v>0</v>
      </c>
      <c r="AA1568">
        <f t="shared" si="367"/>
        <v>0</v>
      </c>
      <c r="AB1568">
        <f t="shared" si="368"/>
        <v>0</v>
      </c>
      <c r="AC1568">
        <f t="shared" si="369"/>
        <v>0</v>
      </c>
      <c r="AD1568" s="1">
        <f t="shared" si="370"/>
        <v>0</v>
      </c>
      <c r="AE1568">
        <f t="shared" si="371"/>
        <v>0</v>
      </c>
      <c r="AF1568">
        <f t="shared" si="372"/>
        <v>0</v>
      </c>
      <c r="AG1568">
        <f t="shared" si="373"/>
        <v>0</v>
      </c>
    </row>
    <row r="1569" spans="1:33" x14ac:dyDescent="0.25">
      <c r="A1569" t="s">
        <v>2598</v>
      </c>
      <c r="B1569" t="s">
        <v>126</v>
      </c>
      <c r="C1569">
        <v>167185</v>
      </c>
      <c r="D1569">
        <v>167185</v>
      </c>
      <c r="E1569">
        <v>0</v>
      </c>
      <c r="F1569">
        <v>20</v>
      </c>
      <c r="G1569">
        <v>20</v>
      </c>
      <c r="O1569">
        <v>40</v>
      </c>
      <c r="R1569">
        <v>10</v>
      </c>
      <c r="S1569">
        <f t="shared" si="362"/>
        <v>2.5</v>
      </c>
      <c r="T1569">
        <f t="shared" si="363"/>
        <v>0</v>
      </c>
      <c r="U1569">
        <f t="shared" si="361"/>
        <v>1</v>
      </c>
      <c r="V1569">
        <f t="shared" si="364"/>
        <v>1</v>
      </c>
      <c r="W1569">
        <f t="shared" si="365"/>
        <v>0</v>
      </c>
      <c r="X1569">
        <f t="shared" si="374"/>
        <v>0</v>
      </c>
      <c r="Y1569">
        <f t="shared" si="375"/>
        <v>0</v>
      </c>
      <c r="Z1569">
        <f t="shared" si="366"/>
        <v>0</v>
      </c>
      <c r="AA1569">
        <f t="shared" si="367"/>
        <v>5</v>
      </c>
      <c r="AB1569">
        <f t="shared" si="368"/>
        <v>2.8571428571428572</v>
      </c>
      <c r="AC1569">
        <f t="shared" si="369"/>
        <v>0</v>
      </c>
      <c r="AD1569" s="1">
        <f t="shared" si="370"/>
        <v>0</v>
      </c>
      <c r="AE1569">
        <f t="shared" si="371"/>
        <v>0</v>
      </c>
      <c r="AF1569">
        <f t="shared" si="372"/>
        <v>0</v>
      </c>
      <c r="AG1569">
        <f t="shared" si="373"/>
        <v>0</v>
      </c>
    </row>
    <row r="1570" spans="1:33" x14ac:dyDescent="0.25">
      <c r="A1570" t="s">
        <v>2599</v>
      </c>
      <c r="B1570" t="s">
        <v>2600</v>
      </c>
      <c r="C1570">
        <v>166537</v>
      </c>
      <c r="D1570">
        <v>166537</v>
      </c>
      <c r="H1570">
        <v>0</v>
      </c>
      <c r="I1570">
        <v>0</v>
      </c>
      <c r="J1570">
        <v>20</v>
      </c>
      <c r="K1570">
        <v>10</v>
      </c>
      <c r="L1570">
        <v>10</v>
      </c>
      <c r="M1570">
        <v>40</v>
      </c>
      <c r="S1570">
        <f t="shared" si="362"/>
        <v>0</v>
      </c>
      <c r="T1570">
        <f t="shared" si="363"/>
        <v>3.3333333333333335</v>
      </c>
      <c r="U1570">
        <f t="shared" si="361"/>
        <v>1</v>
      </c>
      <c r="V1570">
        <f t="shared" si="364"/>
        <v>0</v>
      </c>
      <c r="W1570">
        <f t="shared" si="365"/>
        <v>1</v>
      </c>
      <c r="X1570">
        <f t="shared" si="374"/>
        <v>0</v>
      </c>
      <c r="Y1570">
        <f t="shared" si="375"/>
        <v>0</v>
      </c>
      <c r="Z1570">
        <f t="shared" si="366"/>
        <v>0</v>
      </c>
      <c r="AA1570">
        <f t="shared" si="367"/>
        <v>0</v>
      </c>
      <c r="AB1570">
        <f t="shared" si="368"/>
        <v>0</v>
      </c>
      <c r="AC1570">
        <f t="shared" si="369"/>
        <v>0</v>
      </c>
      <c r="AD1570" s="1">
        <f t="shared" si="370"/>
        <v>0</v>
      </c>
      <c r="AE1570">
        <f t="shared" si="371"/>
        <v>10</v>
      </c>
      <c r="AF1570">
        <f t="shared" si="372"/>
        <v>10</v>
      </c>
      <c r="AG1570">
        <f t="shared" si="373"/>
        <v>10</v>
      </c>
    </row>
    <row r="1571" spans="1:33" x14ac:dyDescent="0.25">
      <c r="A1571" t="s">
        <v>2601</v>
      </c>
      <c r="B1571" t="s">
        <v>1543</v>
      </c>
      <c r="C1571">
        <v>166997</v>
      </c>
      <c r="D1571">
        <v>166997</v>
      </c>
      <c r="E1571">
        <v>0</v>
      </c>
      <c r="F1571">
        <v>10</v>
      </c>
      <c r="G1571">
        <v>20</v>
      </c>
      <c r="O1571">
        <v>30</v>
      </c>
      <c r="S1571">
        <f t="shared" si="362"/>
        <v>1.875</v>
      </c>
      <c r="T1571">
        <f t="shared" si="363"/>
        <v>0</v>
      </c>
      <c r="U1571">
        <f t="shared" si="361"/>
        <v>1</v>
      </c>
      <c r="V1571">
        <f t="shared" si="364"/>
        <v>1</v>
      </c>
      <c r="W1571">
        <f t="shared" si="365"/>
        <v>0</v>
      </c>
      <c r="X1571">
        <f t="shared" si="374"/>
        <v>0</v>
      </c>
      <c r="Y1571">
        <f t="shared" si="375"/>
        <v>0</v>
      </c>
      <c r="Z1571">
        <f t="shared" si="366"/>
        <v>0</v>
      </c>
      <c r="AA1571">
        <f t="shared" si="367"/>
        <v>2.5</v>
      </c>
      <c r="AB1571">
        <f t="shared" si="368"/>
        <v>2.8571428571428572</v>
      </c>
      <c r="AC1571">
        <f t="shared" si="369"/>
        <v>0</v>
      </c>
      <c r="AD1571" s="1">
        <f t="shared" si="370"/>
        <v>0</v>
      </c>
      <c r="AE1571">
        <f t="shared" si="371"/>
        <v>0</v>
      </c>
      <c r="AF1571">
        <f t="shared" si="372"/>
        <v>0</v>
      </c>
      <c r="AG1571">
        <f t="shared" si="373"/>
        <v>0</v>
      </c>
    </row>
    <row r="1572" spans="1:33" x14ac:dyDescent="0.25">
      <c r="A1572" t="s">
        <v>2602</v>
      </c>
      <c r="B1572" t="s">
        <v>158</v>
      </c>
      <c r="C1572">
        <v>165617</v>
      </c>
      <c r="D1572">
        <v>165617</v>
      </c>
      <c r="H1572">
        <v>10</v>
      </c>
      <c r="I1572">
        <v>40</v>
      </c>
      <c r="J1572">
        <v>0</v>
      </c>
      <c r="K1572">
        <v>10</v>
      </c>
      <c r="L1572">
        <v>0</v>
      </c>
      <c r="M1572">
        <v>60</v>
      </c>
      <c r="S1572">
        <f t="shared" si="362"/>
        <v>0</v>
      </c>
      <c r="T1572">
        <f t="shared" si="363"/>
        <v>5</v>
      </c>
      <c r="U1572">
        <f t="shared" si="361"/>
        <v>1</v>
      </c>
      <c r="V1572">
        <f t="shared" si="364"/>
        <v>0</v>
      </c>
      <c r="W1572">
        <f t="shared" si="365"/>
        <v>1</v>
      </c>
      <c r="X1572">
        <f t="shared" si="374"/>
        <v>0</v>
      </c>
      <c r="Y1572">
        <f t="shared" si="375"/>
        <v>0</v>
      </c>
      <c r="Z1572">
        <f t="shared" si="366"/>
        <v>0</v>
      </c>
      <c r="AA1572">
        <f t="shared" si="367"/>
        <v>0</v>
      </c>
      <c r="AB1572">
        <f t="shared" si="368"/>
        <v>0</v>
      </c>
      <c r="AC1572">
        <f t="shared" si="369"/>
        <v>5</v>
      </c>
      <c r="AD1572" s="1">
        <f t="shared" si="370"/>
        <v>6.666666666666667</v>
      </c>
      <c r="AE1572">
        <f t="shared" si="371"/>
        <v>0</v>
      </c>
      <c r="AF1572">
        <f t="shared" si="372"/>
        <v>10</v>
      </c>
      <c r="AG1572">
        <f t="shared" si="373"/>
        <v>0</v>
      </c>
    </row>
    <row r="1573" spans="1:33" x14ac:dyDescent="0.25">
      <c r="A1573" t="s">
        <v>2603</v>
      </c>
      <c r="B1573" t="s">
        <v>2604</v>
      </c>
      <c r="C1573">
        <v>167717</v>
      </c>
      <c r="D1573">
        <v>167717</v>
      </c>
      <c r="H1573">
        <v>10</v>
      </c>
      <c r="J1573">
        <v>10</v>
      </c>
      <c r="M1573">
        <v>20</v>
      </c>
      <c r="S1573">
        <f t="shared" si="362"/>
        <v>0</v>
      </c>
      <c r="T1573">
        <f t="shared" si="363"/>
        <v>1.6666666666666667</v>
      </c>
      <c r="U1573">
        <f t="shared" si="361"/>
        <v>1</v>
      </c>
      <c r="V1573">
        <f t="shared" si="364"/>
        <v>0</v>
      </c>
      <c r="W1573">
        <f t="shared" si="365"/>
        <v>1</v>
      </c>
      <c r="X1573">
        <f t="shared" si="374"/>
        <v>0</v>
      </c>
      <c r="Y1573">
        <f t="shared" si="375"/>
        <v>0</v>
      </c>
      <c r="Z1573">
        <f t="shared" si="366"/>
        <v>0</v>
      </c>
      <c r="AA1573">
        <f t="shared" si="367"/>
        <v>0</v>
      </c>
      <c r="AB1573">
        <f t="shared" si="368"/>
        <v>0</v>
      </c>
      <c r="AC1573">
        <f t="shared" si="369"/>
        <v>5</v>
      </c>
      <c r="AD1573" s="1">
        <f>I1573/6</f>
        <v>0</v>
      </c>
      <c r="AE1573">
        <f t="shared" si="371"/>
        <v>5</v>
      </c>
      <c r="AF1573">
        <f t="shared" si="372"/>
        <v>0</v>
      </c>
      <c r="AG1573">
        <f t="shared" si="373"/>
        <v>0</v>
      </c>
    </row>
    <row r="1574" spans="1:33" x14ac:dyDescent="0.25">
      <c r="A1574" t="s">
        <v>2605</v>
      </c>
      <c r="B1574" t="s">
        <v>2606</v>
      </c>
      <c r="C1574">
        <v>168657</v>
      </c>
      <c r="D1574">
        <v>168657</v>
      </c>
      <c r="E1574">
        <v>40</v>
      </c>
      <c r="F1574">
        <v>10</v>
      </c>
      <c r="G1574">
        <v>30</v>
      </c>
      <c r="O1574">
        <v>80</v>
      </c>
      <c r="S1574">
        <f t="shared" si="362"/>
        <v>5</v>
      </c>
      <c r="T1574">
        <f t="shared" si="363"/>
        <v>0</v>
      </c>
      <c r="U1574">
        <f t="shared" si="361"/>
        <v>1</v>
      </c>
      <c r="V1574">
        <f t="shared" si="364"/>
        <v>1</v>
      </c>
      <c r="W1574">
        <f t="shared" si="365"/>
        <v>0</v>
      </c>
      <c r="X1574">
        <f t="shared" si="374"/>
        <v>0</v>
      </c>
      <c r="Y1574">
        <f t="shared" si="375"/>
        <v>0</v>
      </c>
      <c r="Z1574">
        <f t="shared" si="366"/>
        <v>8</v>
      </c>
      <c r="AA1574">
        <f t="shared" si="367"/>
        <v>2.5</v>
      </c>
      <c r="AB1574">
        <f t="shared" si="368"/>
        <v>4.2857142857142856</v>
      </c>
      <c r="AC1574">
        <f t="shared" si="369"/>
        <v>0</v>
      </c>
      <c r="AD1574" s="1">
        <f t="shared" si="370"/>
        <v>0</v>
      </c>
      <c r="AE1574">
        <f t="shared" si="371"/>
        <v>0</v>
      </c>
      <c r="AF1574">
        <f t="shared" si="372"/>
        <v>0</v>
      </c>
      <c r="AG1574">
        <f t="shared" si="373"/>
        <v>0</v>
      </c>
    </row>
    <row r="1575" spans="1:33" x14ac:dyDescent="0.25">
      <c r="A1575" t="s">
        <v>2607</v>
      </c>
      <c r="B1575" t="s">
        <v>2608</v>
      </c>
      <c r="C1575">
        <v>168171</v>
      </c>
      <c r="D1575">
        <v>168171</v>
      </c>
      <c r="H1575">
        <v>20</v>
      </c>
      <c r="I1575">
        <v>60</v>
      </c>
      <c r="J1575">
        <v>10</v>
      </c>
      <c r="M1575">
        <v>90</v>
      </c>
      <c r="S1575">
        <f t="shared" si="362"/>
        <v>0</v>
      </c>
      <c r="T1575">
        <f t="shared" si="363"/>
        <v>7.5</v>
      </c>
      <c r="U1575">
        <f t="shared" si="361"/>
        <v>1</v>
      </c>
      <c r="V1575">
        <f t="shared" si="364"/>
        <v>0</v>
      </c>
      <c r="W1575">
        <f t="shared" si="365"/>
        <v>1</v>
      </c>
      <c r="X1575">
        <f t="shared" si="374"/>
        <v>0</v>
      </c>
      <c r="Y1575">
        <f t="shared" si="375"/>
        <v>1</v>
      </c>
      <c r="Z1575">
        <f t="shared" si="366"/>
        <v>0</v>
      </c>
      <c r="AA1575">
        <f t="shared" si="367"/>
        <v>0</v>
      </c>
      <c r="AB1575">
        <f t="shared" si="368"/>
        <v>0</v>
      </c>
      <c r="AC1575">
        <f t="shared" si="369"/>
        <v>10</v>
      </c>
      <c r="AD1575" s="1">
        <f t="shared" si="370"/>
        <v>10</v>
      </c>
      <c r="AE1575">
        <f t="shared" si="371"/>
        <v>5</v>
      </c>
      <c r="AF1575">
        <f t="shared" si="372"/>
        <v>0</v>
      </c>
      <c r="AG1575">
        <f t="shared" si="373"/>
        <v>0</v>
      </c>
    </row>
    <row r="1576" spans="1:33" x14ac:dyDescent="0.25">
      <c r="A1576" t="s">
        <v>2609</v>
      </c>
      <c r="B1576" t="s">
        <v>489</v>
      </c>
      <c r="C1576">
        <v>165316</v>
      </c>
      <c r="D1576">
        <v>165316</v>
      </c>
      <c r="H1576">
        <v>20</v>
      </c>
      <c r="I1576">
        <v>60</v>
      </c>
      <c r="J1576">
        <v>20</v>
      </c>
      <c r="K1576">
        <v>10</v>
      </c>
      <c r="L1576">
        <v>10</v>
      </c>
      <c r="M1576">
        <v>120</v>
      </c>
      <c r="S1576">
        <f t="shared" si="362"/>
        <v>0</v>
      </c>
      <c r="T1576">
        <f t="shared" si="363"/>
        <v>10</v>
      </c>
      <c r="U1576">
        <f t="shared" si="361"/>
        <v>1</v>
      </c>
      <c r="V1576">
        <f t="shared" si="364"/>
        <v>0</v>
      </c>
      <c r="W1576">
        <f t="shared" si="365"/>
        <v>1</v>
      </c>
      <c r="X1576">
        <f t="shared" si="374"/>
        <v>0</v>
      </c>
      <c r="Y1576">
        <f t="shared" si="375"/>
        <v>1</v>
      </c>
      <c r="Z1576">
        <f t="shared" si="366"/>
        <v>0</v>
      </c>
      <c r="AA1576">
        <f t="shared" si="367"/>
        <v>0</v>
      </c>
      <c r="AB1576">
        <f t="shared" si="368"/>
        <v>0</v>
      </c>
      <c r="AC1576">
        <f t="shared" si="369"/>
        <v>10</v>
      </c>
      <c r="AD1576" s="1">
        <f t="shared" si="370"/>
        <v>10</v>
      </c>
      <c r="AE1576">
        <f t="shared" si="371"/>
        <v>10</v>
      </c>
      <c r="AF1576">
        <f t="shared" si="372"/>
        <v>10</v>
      </c>
      <c r="AG1576">
        <f t="shared" si="373"/>
        <v>10</v>
      </c>
    </row>
    <row r="1577" spans="1:33" x14ac:dyDescent="0.25">
      <c r="A1577" t="s">
        <v>2610</v>
      </c>
      <c r="B1577" t="s">
        <v>596</v>
      </c>
      <c r="C1577">
        <v>167481</v>
      </c>
      <c r="D1577">
        <v>167481</v>
      </c>
      <c r="H1577">
        <v>20</v>
      </c>
      <c r="I1577">
        <v>50</v>
      </c>
      <c r="J1577">
        <v>10</v>
      </c>
      <c r="K1577">
        <v>10</v>
      </c>
      <c r="L1577">
        <v>0</v>
      </c>
      <c r="M1577">
        <v>90</v>
      </c>
      <c r="S1577">
        <f t="shared" si="362"/>
        <v>0</v>
      </c>
      <c r="T1577">
        <f t="shared" si="363"/>
        <v>7.5</v>
      </c>
      <c r="U1577">
        <f t="shared" si="361"/>
        <v>1</v>
      </c>
      <c r="V1577">
        <f t="shared" si="364"/>
        <v>0</v>
      </c>
      <c r="W1577">
        <f t="shared" si="365"/>
        <v>1</v>
      </c>
      <c r="X1577">
        <f t="shared" si="374"/>
        <v>0</v>
      </c>
      <c r="Y1577">
        <f t="shared" si="375"/>
        <v>1</v>
      </c>
      <c r="Z1577">
        <f t="shared" si="366"/>
        <v>0</v>
      </c>
      <c r="AA1577">
        <f t="shared" si="367"/>
        <v>0</v>
      </c>
      <c r="AB1577">
        <f t="shared" si="368"/>
        <v>0</v>
      </c>
      <c r="AC1577">
        <f t="shared" si="369"/>
        <v>10</v>
      </c>
      <c r="AD1577" s="1">
        <f t="shared" si="370"/>
        <v>8.3333333333333339</v>
      </c>
      <c r="AE1577">
        <f t="shared" si="371"/>
        <v>5</v>
      </c>
      <c r="AF1577">
        <f t="shared" si="372"/>
        <v>10</v>
      </c>
      <c r="AG1577">
        <f t="shared" si="373"/>
        <v>0</v>
      </c>
    </row>
    <row r="1578" spans="1:33" x14ac:dyDescent="0.25">
      <c r="A1578" t="s">
        <v>2611</v>
      </c>
      <c r="B1578" t="s">
        <v>2612</v>
      </c>
      <c r="C1578">
        <v>168035</v>
      </c>
      <c r="D1578">
        <v>168035</v>
      </c>
      <c r="H1578">
        <v>0</v>
      </c>
      <c r="I1578">
        <v>40</v>
      </c>
      <c r="J1578">
        <v>10</v>
      </c>
      <c r="K1578">
        <v>0</v>
      </c>
      <c r="L1578">
        <v>10</v>
      </c>
      <c r="M1578">
        <v>60</v>
      </c>
      <c r="S1578">
        <f t="shared" si="362"/>
        <v>0</v>
      </c>
      <c r="T1578">
        <f t="shared" si="363"/>
        <v>5</v>
      </c>
      <c r="U1578">
        <f t="shared" si="361"/>
        <v>1</v>
      </c>
      <c r="V1578">
        <f t="shared" si="364"/>
        <v>0</v>
      </c>
      <c r="W1578">
        <f t="shared" si="365"/>
        <v>1</v>
      </c>
      <c r="X1578">
        <f t="shared" si="374"/>
        <v>0</v>
      </c>
      <c r="Y1578">
        <f t="shared" si="375"/>
        <v>0</v>
      </c>
      <c r="Z1578">
        <f t="shared" si="366"/>
        <v>0</v>
      </c>
      <c r="AA1578">
        <f t="shared" si="367"/>
        <v>0</v>
      </c>
      <c r="AB1578">
        <f t="shared" si="368"/>
        <v>0</v>
      </c>
      <c r="AC1578">
        <f t="shared" si="369"/>
        <v>0</v>
      </c>
      <c r="AD1578" s="1">
        <f t="shared" si="370"/>
        <v>6.666666666666667</v>
      </c>
      <c r="AE1578">
        <f t="shared" si="371"/>
        <v>5</v>
      </c>
      <c r="AF1578">
        <f t="shared" si="372"/>
        <v>0</v>
      </c>
      <c r="AG1578">
        <f t="shared" si="373"/>
        <v>10</v>
      </c>
    </row>
    <row r="1579" spans="1:33" x14ac:dyDescent="0.25">
      <c r="A1579" t="s">
        <v>2613</v>
      </c>
      <c r="B1579" t="s">
        <v>2614</v>
      </c>
      <c r="C1579">
        <v>167260</v>
      </c>
      <c r="D1579">
        <v>167260</v>
      </c>
      <c r="E1579">
        <v>40</v>
      </c>
      <c r="F1579">
        <v>20</v>
      </c>
      <c r="G1579">
        <v>30</v>
      </c>
      <c r="O1579">
        <v>90</v>
      </c>
      <c r="S1579">
        <f t="shared" si="362"/>
        <v>5.625</v>
      </c>
      <c r="T1579">
        <f t="shared" si="363"/>
        <v>0</v>
      </c>
      <c r="U1579">
        <f t="shared" si="361"/>
        <v>1</v>
      </c>
      <c r="V1579">
        <f t="shared" si="364"/>
        <v>1</v>
      </c>
      <c r="W1579">
        <f t="shared" si="365"/>
        <v>0</v>
      </c>
      <c r="X1579">
        <f t="shared" si="374"/>
        <v>0</v>
      </c>
      <c r="Y1579">
        <f t="shared" si="375"/>
        <v>0</v>
      </c>
      <c r="Z1579">
        <f t="shared" si="366"/>
        <v>8</v>
      </c>
      <c r="AA1579">
        <f t="shared" si="367"/>
        <v>5</v>
      </c>
      <c r="AB1579">
        <f t="shared" si="368"/>
        <v>4.2857142857142856</v>
      </c>
      <c r="AC1579">
        <f t="shared" si="369"/>
        <v>0</v>
      </c>
      <c r="AD1579" s="1">
        <f t="shared" si="370"/>
        <v>0</v>
      </c>
      <c r="AE1579">
        <f t="shared" si="371"/>
        <v>0</v>
      </c>
      <c r="AF1579">
        <f t="shared" si="372"/>
        <v>0</v>
      </c>
      <c r="AG1579">
        <f t="shared" si="373"/>
        <v>0</v>
      </c>
    </row>
    <row r="1580" spans="1:33" x14ac:dyDescent="0.25">
      <c r="A1580" t="s">
        <v>2615</v>
      </c>
      <c r="B1580" t="s">
        <v>2616</v>
      </c>
      <c r="C1580">
        <v>167509</v>
      </c>
      <c r="D1580">
        <v>167509</v>
      </c>
      <c r="H1580">
        <v>10</v>
      </c>
      <c r="I1580">
        <v>30</v>
      </c>
      <c r="J1580">
        <v>20</v>
      </c>
      <c r="K1580">
        <v>10</v>
      </c>
      <c r="L1580">
        <v>10</v>
      </c>
      <c r="M1580">
        <v>80</v>
      </c>
      <c r="S1580">
        <f t="shared" si="362"/>
        <v>0</v>
      </c>
      <c r="T1580">
        <f t="shared" si="363"/>
        <v>6.666666666666667</v>
      </c>
      <c r="U1580">
        <f t="shared" si="361"/>
        <v>1</v>
      </c>
      <c r="V1580">
        <f t="shared" si="364"/>
        <v>0</v>
      </c>
      <c r="W1580">
        <f t="shared" si="365"/>
        <v>1</v>
      </c>
      <c r="X1580">
        <f t="shared" si="374"/>
        <v>0</v>
      </c>
      <c r="Y1580">
        <f t="shared" si="375"/>
        <v>1</v>
      </c>
      <c r="Z1580">
        <f t="shared" si="366"/>
        <v>0</v>
      </c>
      <c r="AA1580">
        <f t="shared" si="367"/>
        <v>0</v>
      </c>
      <c r="AB1580">
        <f t="shared" si="368"/>
        <v>0</v>
      </c>
      <c r="AC1580">
        <f t="shared" si="369"/>
        <v>5</v>
      </c>
      <c r="AD1580" s="1">
        <f t="shared" si="370"/>
        <v>5</v>
      </c>
      <c r="AE1580">
        <f t="shared" si="371"/>
        <v>10</v>
      </c>
      <c r="AF1580">
        <f t="shared" si="372"/>
        <v>10</v>
      </c>
      <c r="AG1580">
        <f t="shared" si="373"/>
        <v>10</v>
      </c>
    </row>
    <row r="1581" spans="1:33" x14ac:dyDescent="0.25">
      <c r="A1581" t="s">
        <v>2617</v>
      </c>
      <c r="B1581" t="s">
        <v>2618</v>
      </c>
      <c r="C1581">
        <v>168906</v>
      </c>
      <c r="D1581">
        <v>168906</v>
      </c>
      <c r="E1581">
        <v>30</v>
      </c>
      <c r="F1581">
        <v>40</v>
      </c>
      <c r="G1581">
        <v>20</v>
      </c>
      <c r="O1581">
        <v>90</v>
      </c>
      <c r="S1581">
        <f t="shared" si="362"/>
        <v>5.625</v>
      </c>
      <c r="T1581">
        <f t="shared" si="363"/>
        <v>0</v>
      </c>
      <c r="U1581">
        <f t="shared" si="361"/>
        <v>1</v>
      </c>
      <c r="V1581">
        <f t="shared" si="364"/>
        <v>1</v>
      </c>
      <c r="W1581">
        <f t="shared" si="365"/>
        <v>0</v>
      </c>
      <c r="X1581">
        <f t="shared" si="374"/>
        <v>0</v>
      </c>
      <c r="Y1581">
        <f t="shared" si="375"/>
        <v>0</v>
      </c>
      <c r="Z1581">
        <f t="shared" si="366"/>
        <v>6</v>
      </c>
      <c r="AA1581">
        <f t="shared" si="367"/>
        <v>10</v>
      </c>
      <c r="AB1581">
        <f t="shared" si="368"/>
        <v>2.8571428571428572</v>
      </c>
      <c r="AC1581">
        <f t="shared" si="369"/>
        <v>0</v>
      </c>
      <c r="AD1581" s="1">
        <f t="shared" si="370"/>
        <v>0</v>
      </c>
      <c r="AE1581">
        <f t="shared" si="371"/>
        <v>0</v>
      </c>
      <c r="AF1581">
        <f t="shared" si="372"/>
        <v>0</v>
      </c>
      <c r="AG1581">
        <f t="shared" si="373"/>
        <v>0</v>
      </c>
    </row>
    <row r="1582" spans="1:33" x14ac:dyDescent="0.25">
      <c r="A1582" t="s">
        <v>2619</v>
      </c>
      <c r="B1582" t="s">
        <v>2620</v>
      </c>
      <c r="C1582">
        <v>168447</v>
      </c>
      <c r="D1582">
        <v>168447</v>
      </c>
      <c r="H1582">
        <v>0</v>
      </c>
      <c r="I1582">
        <v>10</v>
      </c>
      <c r="J1582">
        <v>0</v>
      </c>
      <c r="K1582">
        <v>0</v>
      </c>
      <c r="L1582">
        <v>0</v>
      </c>
      <c r="M1582">
        <v>10</v>
      </c>
      <c r="S1582">
        <f t="shared" si="362"/>
        <v>0</v>
      </c>
      <c r="T1582">
        <f t="shared" si="363"/>
        <v>0.83333333333333337</v>
      </c>
      <c r="U1582">
        <f t="shared" si="361"/>
        <v>1</v>
      </c>
      <c r="V1582">
        <f t="shared" si="364"/>
        <v>0</v>
      </c>
      <c r="W1582">
        <f t="shared" si="365"/>
        <v>1</v>
      </c>
      <c r="X1582">
        <f t="shared" si="374"/>
        <v>0</v>
      </c>
      <c r="Y1582">
        <f t="shared" si="375"/>
        <v>0</v>
      </c>
      <c r="Z1582">
        <f t="shared" si="366"/>
        <v>0</v>
      </c>
      <c r="AA1582">
        <f t="shared" si="367"/>
        <v>0</v>
      </c>
      <c r="AB1582">
        <f t="shared" si="368"/>
        <v>0</v>
      </c>
      <c r="AC1582">
        <f t="shared" si="369"/>
        <v>0</v>
      </c>
      <c r="AD1582" s="1">
        <f t="shared" si="370"/>
        <v>1.6666666666666667</v>
      </c>
      <c r="AE1582">
        <f t="shared" si="371"/>
        <v>0</v>
      </c>
      <c r="AF1582">
        <f t="shared" si="372"/>
        <v>0</v>
      </c>
      <c r="AG1582">
        <f t="shared" si="373"/>
        <v>0</v>
      </c>
    </row>
    <row r="1583" spans="1:33" x14ac:dyDescent="0.25">
      <c r="A1583" t="s">
        <v>2621</v>
      </c>
      <c r="B1583" t="s">
        <v>1824</v>
      </c>
      <c r="C1583">
        <v>168513</v>
      </c>
      <c r="D1583">
        <v>168513</v>
      </c>
      <c r="H1583">
        <v>10</v>
      </c>
      <c r="I1583">
        <v>20</v>
      </c>
      <c r="J1583">
        <v>10</v>
      </c>
      <c r="K1583">
        <v>10</v>
      </c>
      <c r="L1583">
        <v>0</v>
      </c>
      <c r="M1583">
        <v>50</v>
      </c>
      <c r="R1583">
        <v>0</v>
      </c>
      <c r="S1583">
        <f t="shared" si="362"/>
        <v>0</v>
      </c>
      <c r="T1583">
        <f t="shared" si="363"/>
        <v>4.166666666666667</v>
      </c>
      <c r="U1583">
        <f t="shared" si="361"/>
        <v>1</v>
      </c>
      <c r="V1583">
        <f t="shared" si="364"/>
        <v>0</v>
      </c>
      <c r="W1583">
        <f t="shared" si="365"/>
        <v>1</v>
      </c>
      <c r="X1583">
        <f t="shared" si="374"/>
        <v>0</v>
      </c>
      <c r="Y1583">
        <f t="shared" si="375"/>
        <v>0</v>
      </c>
      <c r="Z1583">
        <f t="shared" si="366"/>
        <v>0</v>
      </c>
      <c r="AA1583">
        <f t="shared" si="367"/>
        <v>0</v>
      </c>
      <c r="AB1583">
        <f t="shared" si="368"/>
        <v>0</v>
      </c>
      <c r="AC1583">
        <f t="shared" si="369"/>
        <v>5</v>
      </c>
      <c r="AD1583" s="1">
        <f t="shared" si="370"/>
        <v>3.3333333333333335</v>
      </c>
      <c r="AE1583">
        <f t="shared" si="371"/>
        <v>5</v>
      </c>
      <c r="AF1583">
        <f t="shared" si="372"/>
        <v>10</v>
      </c>
      <c r="AG1583">
        <f t="shared" si="373"/>
        <v>0</v>
      </c>
    </row>
    <row r="1584" spans="1:33" x14ac:dyDescent="0.25">
      <c r="A1584" t="s">
        <v>2622</v>
      </c>
      <c r="B1584" t="s">
        <v>2623</v>
      </c>
      <c r="C1584">
        <v>167787</v>
      </c>
      <c r="D1584">
        <v>167787</v>
      </c>
      <c r="H1584">
        <v>10</v>
      </c>
      <c r="I1584">
        <v>20</v>
      </c>
      <c r="J1584">
        <v>10</v>
      </c>
      <c r="K1584">
        <v>10</v>
      </c>
      <c r="L1584">
        <v>10</v>
      </c>
      <c r="M1584">
        <v>60</v>
      </c>
      <c r="S1584">
        <f t="shared" si="362"/>
        <v>0</v>
      </c>
      <c r="T1584">
        <f t="shared" si="363"/>
        <v>5</v>
      </c>
      <c r="U1584">
        <f t="shared" si="361"/>
        <v>1</v>
      </c>
      <c r="V1584">
        <f t="shared" si="364"/>
        <v>0</v>
      </c>
      <c r="W1584">
        <f t="shared" si="365"/>
        <v>1</v>
      </c>
      <c r="X1584">
        <f t="shared" si="374"/>
        <v>0</v>
      </c>
      <c r="Y1584">
        <f t="shared" si="375"/>
        <v>0</v>
      </c>
      <c r="Z1584">
        <f t="shared" si="366"/>
        <v>0</v>
      </c>
      <c r="AA1584">
        <f t="shared" si="367"/>
        <v>0</v>
      </c>
      <c r="AB1584">
        <f t="shared" si="368"/>
        <v>0</v>
      </c>
      <c r="AC1584">
        <f t="shared" si="369"/>
        <v>5</v>
      </c>
      <c r="AD1584" s="1">
        <f t="shared" si="370"/>
        <v>3.3333333333333335</v>
      </c>
      <c r="AE1584">
        <f t="shared" si="371"/>
        <v>5</v>
      </c>
      <c r="AF1584">
        <f t="shared" si="372"/>
        <v>10</v>
      </c>
      <c r="AG1584">
        <f t="shared" si="373"/>
        <v>10</v>
      </c>
    </row>
    <row r="1585" spans="1:33" x14ac:dyDescent="0.25">
      <c r="A1585" t="s">
        <v>2624</v>
      </c>
      <c r="B1585" t="s">
        <v>43</v>
      </c>
      <c r="C1585">
        <v>161568</v>
      </c>
      <c r="D1585">
        <v>161568</v>
      </c>
      <c r="E1585">
        <v>30</v>
      </c>
      <c r="F1585">
        <v>20</v>
      </c>
      <c r="G1585">
        <v>20</v>
      </c>
      <c r="O1585">
        <v>70</v>
      </c>
      <c r="S1585">
        <f t="shared" si="362"/>
        <v>4.375</v>
      </c>
      <c r="T1585">
        <f t="shared" si="363"/>
        <v>0</v>
      </c>
      <c r="U1585">
        <f t="shared" si="361"/>
        <v>1</v>
      </c>
      <c r="V1585">
        <f t="shared" si="364"/>
        <v>1</v>
      </c>
      <c r="W1585">
        <f t="shared" si="365"/>
        <v>0</v>
      </c>
      <c r="X1585">
        <f t="shared" si="374"/>
        <v>0</v>
      </c>
      <c r="Y1585">
        <f t="shared" si="375"/>
        <v>0</v>
      </c>
      <c r="Z1585">
        <f t="shared" si="366"/>
        <v>6</v>
      </c>
      <c r="AA1585">
        <f t="shared" si="367"/>
        <v>5</v>
      </c>
      <c r="AB1585">
        <f t="shared" si="368"/>
        <v>2.8571428571428572</v>
      </c>
      <c r="AC1585">
        <f t="shared" si="369"/>
        <v>0</v>
      </c>
      <c r="AD1585" s="1">
        <f t="shared" si="370"/>
        <v>0</v>
      </c>
      <c r="AE1585">
        <f t="shared" si="371"/>
        <v>0</v>
      </c>
      <c r="AF1585">
        <f t="shared" si="372"/>
        <v>0</v>
      </c>
      <c r="AG1585">
        <f t="shared" si="373"/>
        <v>0</v>
      </c>
    </row>
    <row r="1586" spans="1:33" x14ac:dyDescent="0.25">
      <c r="A1586" t="s">
        <v>2625</v>
      </c>
      <c r="B1586" t="s">
        <v>93</v>
      </c>
      <c r="C1586">
        <v>162458</v>
      </c>
      <c r="D1586">
        <v>162458</v>
      </c>
      <c r="E1586">
        <v>10</v>
      </c>
      <c r="F1586">
        <v>10</v>
      </c>
      <c r="G1586">
        <v>60</v>
      </c>
      <c r="O1586">
        <v>80</v>
      </c>
      <c r="S1586">
        <f t="shared" si="362"/>
        <v>5</v>
      </c>
      <c r="T1586">
        <f t="shared" si="363"/>
        <v>0</v>
      </c>
      <c r="U1586">
        <f t="shared" si="361"/>
        <v>1</v>
      </c>
      <c r="V1586">
        <f t="shared" si="364"/>
        <v>1</v>
      </c>
      <c r="W1586">
        <f t="shared" si="365"/>
        <v>0</v>
      </c>
      <c r="X1586">
        <f t="shared" si="374"/>
        <v>0</v>
      </c>
      <c r="Y1586">
        <f t="shared" si="375"/>
        <v>0</v>
      </c>
      <c r="Z1586">
        <f t="shared" si="366"/>
        <v>2</v>
      </c>
      <c r="AA1586">
        <f t="shared" si="367"/>
        <v>2.5</v>
      </c>
      <c r="AB1586">
        <f t="shared" si="368"/>
        <v>8.5714285714285712</v>
      </c>
      <c r="AC1586">
        <f t="shared" si="369"/>
        <v>0</v>
      </c>
      <c r="AD1586" s="1">
        <f t="shared" si="370"/>
        <v>0</v>
      </c>
      <c r="AE1586">
        <f t="shared" si="371"/>
        <v>0</v>
      </c>
      <c r="AF1586">
        <f t="shared" si="372"/>
        <v>0</v>
      </c>
      <c r="AG1586">
        <f t="shared" si="373"/>
        <v>0</v>
      </c>
    </row>
    <row r="1587" spans="1:33" x14ac:dyDescent="0.25">
      <c r="A1587" t="s">
        <v>2626</v>
      </c>
      <c r="B1587" t="s">
        <v>830</v>
      </c>
      <c r="C1587">
        <v>165442</v>
      </c>
      <c r="D1587">
        <v>165442</v>
      </c>
      <c r="H1587">
        <v>20</v>
      </c>
      <c r="I1587">
        <v>40</v>
      </c>
      <c r="J1587">
        <v>10</v>
      </c>
      <c r="K1587">
        <v>10</v>
      </c>
      <c r="L1587">
        <v>0</v>
      </c>
      <c r="M1587">
        <v>80</v>
      </c>
      <c r="S1587">
        <f t="shared" si="362"/>
        <v>0</v>
      </c>
      <c r="T1587">
        <f t="shared" si="363"/>
        <v>6.666666666666667</v>
      </c>
      <c r="U1587">
        <f t="shared" si="361"/>
        <v>1</v>
      </c>
      <c r="V1587">
        <f t="shared" si="364"/>
        <v>0</v>
      </c>
      <c r="W1587">
        <f t="shared" si="365"/>
        <v>1</v>
      </c>
      <c r="X1587">
        <f t="shared" si="374"/>
        <v>0</v>
      </c>
      <c r="Y1587">
        <f t="shared" si="375"/>
        <v>1</v>
      </c>
      <c r="Z1587">
        <f t="shared" si="366"/>
        <v>0</v>
      </c>
      <c r="AA1587">
        <f t="shared" si="367"/>
        <v>0</v>
      </c>
      <c r="AB1587">
        <f t="shared" si="368"/>
        <v>0</v>
      </c>
      <c r="AC1587">
        <f t="shared" si="369"/>
        <v>10</v>
      </c>
      <c r="AD1587" s="1">
        <f t="shared" si="370"/>
        <v>6.666666666666667</v>
      </c>
      <c r="AE1587">
        <f t="shared" si="371"/>
        <v>5</v>
      </c>
      <c r="AF1587">
        <f t="shared" si="372"/>
        <v>10</v>
      </c>
      <c r="AG1587">
        <f t="shared" si="373"/>
        <v>0</v>
      </c>
    </row>
    <row r="1588" spans="1:33" x14ac:dyDescent="0.25">
      <c r="A1588" t="s">
        <v>2627</v>
      </c>
      <c r="B1588" t="s">
        <v>228</v>
      </c>
      <c r="C1588">
        <v>164277</v>
      </c>
      <c r="D1588">
        <v>164277</v>
      </c>
      <c r="S1588">
        <f t="shared" si="362"/>
        <v>0</v>
      </c>
      <c r="T1588">
        <f t="shared" si="363"/>
        <v>0</v>
      </c>
      <c r="U1588">
        <f t="shared" si="361"/>
        <v>0</v>
      </c>
      <c r="V1588">
        <f t="shared" si="364"/>
        <v>0</v>
      </c>
      <c r="W1588">
        <f t="shared" si="365"/>
        <v>0</v>
      </c>
      <c r="X1588">
        <f t="shared" si="374"/>
        <v>0</v>
      </c>
      <c r="Y1588">
        <f t="shared" si="375"/>
        <v>0</v>
      </c>
      <c r="Z1588">
        <f t="shared" si="366"/>
        <v>0</v>
      </c>
      <c r="AA1588">
        <f t="shared" si="367"/>
        <v>0</v>
      </c>
      <c r="AB1588">
        <f t="shared" si="368"/>
        <v>0</v>
      </c>
      <c r="AC1588">
        <f t="shared" si="369"/>
        <v>0</v>
      </c>
      <c r="AD1588" s="1">
        <f t="shared" si="370"/>
        <v>0</v>
      </c>
      <c r="AE1588">
        <f t="shared" si="371"/>
        <v>0</v>
      </c>
      <c r="AF1588">
        <f t="shared" si="372"/>
        <v>0</v>
      </c>
      <c r="AG1588">
        <f t="shared" si="373"/>
        <v>0</v>
      </c>
    </row>
    <row r="1589" spans="1:33" x14ac:dyDescent="0.25">
      <c r="A1589" t="s">
        <v>2627</v>
      </c>
      <c r="B1589" t="s">
        <v>2074</v>
      </c>
      <c r="C1589">
        <v>156187</v>
      </c>
      <c r="D1589">
        <v>156187</v>
      </c>
      <c r="S1589">
        <f t="shared" si="362"/>
        <v>0</v>
      </c>
      <c r="T1589">
        <f t="shared" si="363"/>
        <v>0</v>
      </c>
      <c r="U1589">
        <f t="shared" si="361"/>
        <v>0</v>
      </c>
      <c r="V1589">
        <f t="shared" si="364"/>
        <v>0</v>
      </c>
      <c r="W1589">
        <f t="shared" si="365"/>
        <v>0</v>
      </c>
      <c r="X1589">
        <f t="shared" si="374"/>
        <v>0</v>
      </c>
      <c r="Y1589">
        <f t="shared" si="375"/>
        <v>0</v>
      </c>
      <c r="Z1589">
        <f t="shared" si="366"/>
        <v>0</v>
      </c>
      <c r="AA1589">
        <f t="shared" si="367"/>
        <v>0</v>
      </c>
      <c r="AB1589">
        <f t="shared" si="368"/>
        <v>0</v>
      </c>
      <c r="AC1589">
        <f t="shared" si="369"/>
        <v>0</v>
      </c>
      <c r="AD1589" s="1">
        <f t="shared" si="370"/>
        <v>0</v>
      </c>
      <c r="AE1589">
        <f t="shared" si="371"/>
        <v>0</v>
      </c>
      <c r="AF1589">
        <f t="shared" si="372"/>
        <v>0</v>
      </c>
      <c r="AG1589">
        <f t="shared" si="373"/>
        <v>0</v>
      </c>
    </row>
    <row r="1590" spans="1:33" x14ac:dyDescent="0.25">
      <c r="A1590" t="s">
        <v>2628</v>
      </c>
      <c r="B1590" t="s">
        <v>344</v>
      </c>
      <c r="C1590">
        <v>168387</v>
      </c>
      <c r="D1590">
        <v>168387</v>
      </c>
      <c r="H1590">
        <v>10</v>
      </c>
      <c r="I1590">
        <v>40</v>
      </c>
      <c r="J1590">
        <v>20</v>
      </c>
      <c r="K1590">
        <v>10</v>
      </c>
      <c r="L1590">
        <v>0</v>
      </c>
      <c r="M1590">
        <v>80</v>
      </c>
      <c r="S1590">
        <f t="shared" si="362"/>
        <v>0</v>
      </c>
      <c r="T1590">
        <f t="shared" si="363"/>
        <v>6.666666666666667</v>
      </c>
      <c r="U1590">
        <f t="shared" si="361"/>
        <v>1</v>
      </c>
      <c r="V1590">
        <f t="shared" si="364"/>
        <v>0</v>
      </c>
      <c r="W1590">
        <f t="shared" si="365"/>
        <v>1</v>
      </c>
      <c r="X1590">
        <f t="shared" si="374"/>
        <v>0</v>
      </c>
      <c r="Y1590">
        <f t="shared" si="375"/>
        <v>1</v>
      </c>
      <c r="Z1590">
        <f t="shared" si="366"/>
        <v>0</v>
      </c>
      <c r="AA1590">
        <f t="shared" si="367"/>
        <v>0</v>
      </c>
      <c r="AB1590">
        <f t="shared" si="368"/>
        <v>0</v>
      </c>
      <c r="AC1590">
        <f t="shared" si="369"/>
        <v>5</v>
      </c>
      <c r="AD1590" s="1">
        <f t="shared" si="370"/>
        <v>6.666666666666667</v>
      </c>
      <c r="AE1590">
        <f t="shared" si="371"/>
        <v>10</v>
      </c>
      <c r="AF1590">
        <f t="shared" si="372"/>
        <v>10</v>
      </c>
      <c r="AG1590">
        <f t="shared" si="373"/>
        <v>0</v>
      </c>
    </row>
    <row r="1591" spans="1:33" x14ac:dyDescent="0.25">
      <c r="A1591" t="s">
        <v>2629</v>
      </c>
      <c r="B1591" t="s">
        <v>548</v>
      </c>
      <c r="C1591">
        <v>165920</v>
      </c>
      <c r="D1591">
        <v>165920</v>
      </c>
      <c r="E1591">
        <v>40</v>
      </c>
      <c r="F1591">
        <v>30</v>
      </c>
      <c r="G1591">
        <v>30</v>
      </c>
      <c r="O1591">
        <v>100</v>
      </c>
      <c r="S1591">
        <f t="shared" si="362"/>
        <v>6.25</v>
      </c>
      <c r="T1591">
        <f t="shared" si="363"/>
        <v>0</v>
      </c>
      <c r="U1591">
        <f t="shared" si="361"/>
        <v>1</v>
      </c>
      <c r="V1591">
        <f t="shared" si="364"/>
        <v>1</v>
      </c>
      <c r="W1591">
        <f t="shared" si="365"/>
        <v>0</v>
      </c>
      <c r="X1591">
        <f t="shared" si="374"/>
        <v>1</v>
      </c>
      <c r="Y1591">
        <f t="shared" si="375"/>
        <v>0</v>
      </c>
      <c r="Z1591">
        <f t="shared" si="366"/>
        <v>8</v>
      </c>
      <c r="AA1591">
        <f t="shared" si="367"/>
        <v>7.5</v>
      </c>
      <c r="AB1591">
        <f t="shared" si="368"/>
        <v>4.2857142857142856</v>
      </c>
      <c r="AC1591">
        <f t="shared" si="369"/>
        <v>0</v>
      </c>
      <c r="AD1591" s="1">
        <f t="shared" si="370"/>
        <v>0</v>
      </c>
      <c r="AE1591">
        <f t="shared" si="371"/>
        <v>0</v>
      </c>
      <c r="AF1591">
        <f t="shared" si="372"/>
        <v>0</v>
      </c>
      <c r="AG1591">
        <f t="shared" si="373"/>
        <v>0</v>
      </c>
    </row>
    <row r="1592" spans="1:33" x14ac:dyDescent="0.25">
      <c r="A1592" t="s">
        <v>2630</v>
      </c>
      <c r="B1592" t="s">
        <v>2631</v>
      </c>
      <c r="C1592">
        <v>168666</v>
      </c>
      <c r="D1592">
        <v>168666</v>
      </c>
      <c r="S1592">
        <f t="shared" si="362"/>
        <v>0</v>
      </c>
      <c r="T1592">
        <f t="shared" si="363"/>
        <v>0</v>
      </c>
      <c r="U1592">
        <f t="shared" si="361"/>
        <v>0</v>
      </c>
      <c r="V1592">
        <f t="shared" si="364"/>
        <v>0</v>
      </c>
      <c r="W1592">
        <f t="shared" si="365"/>
        <v>0</v>
      </c>
      <c r="X1592">
        <f t="shared" si="374"/>
        <v>0</v>
      </c>
      <c r="Y1592">
        <f t="shared" si="375"/>
        <v>0</v>
      </c>
      <c r="Z1592">
        <f t="shared" si="366"/>
        <v>0</v>
      </c>
      <c r="AA1592">
        <f t="shared" si="367"/>
        <v>0</v>
      </c>
      <c r="AB1592">
        <f t="shared" si="368"/>
        <v>0</v>
      </c>
      <c r="AC1592">
        <f t="shared" si="369"/>
        <v>0</v>
      </c>
      <c r="AD1592" s="1">
        <f t="shared" si="370"/>
        <v>0</v>
      </c>
      <c r="AE1592">
        <f t="shared" si="371"/>
        <v>0</v>
      </c>
      <c r="AF1592">
        <f t="shared" si="372"/>
        <v>0</v>
      </c>
      <c r="AG1592">
        <f t="shared" si="373"/>
        <v>0</v>
      </c>
    </row>
    <row r="1593" spans="1:33" x14ac:dyDescent="0.25">
      <c r="A1593" t="s">
        <v>2632</v>
      </c>
      <c r="B1593" t="s">
        <v>512</v>
      </c>
      <c r="C1593">
        <v>168071</v>
      </c>
      <c r="D1593">
        <v>168071</v>
      </c>
      <c r="H1593">
        <v>0</v>
      </c>
      <c r="I1593">
        <v>20</v>
      </c>
      <c r="J1593">
        <v>20</v>
      </c>
      <c r="K1593">
        <v>10</v>
      </c>
      <c r="L1593">
        <v>0</v>
      </c>
      <c r="M1593">
        <v>50</v>
      </c>
      <c r="N1593" t="s">
        <v>20</v>
      </c>
      <c r="S1593">
        <f t="shared" si="362"/>
        <v>0</v>
      </c>
      <c r="T1593">
        <f t="shared" si="363"/>
        <v>4.166666666666667</v>
      </c>
      <c r="U1593">
        <f t="shared" si="361"/>
        <v>1</v>
      </c>
      <c r="V1593">
        <f t="shared" si="364"/>
        <v>0</v>
      </c>
      <c r="W1593">
        <f t="shared" si="365"/>
        <v>1</v>
      </c>
      <c r="X1593">
        <f t="shared" si="374"/>
        <v>0</v>
      </c>
      <c r="Y1593">
        <f t="shared" si="375"/>
        <v>0</v>
      </c>
      <c r="Z1593">
        <f t="shared" si="366"/>
        <v>0</v>
      </c>
      <c r="AA1593">
        <f t="shared" si="367"/>
        <v>0</v>
      </c>
      <c r="AB1593">
        <f t="shared" si="368"/>
        <v>0</v>
      </c>
      <c r="AC1593">
        <f t="shared" si="369"/>
        <v>0</v>
      </c>
      <c r="AD1593" s="1">
        <f t="shared" si="370"/>
        <v>3.3333333333333335</v>
      </c>
      <c r="AE1593">
        <f t="shared" si="371"/>
        <v>10</v>
      </c>
      <c r="AF1593">
        <f t="shared" si="372"/>
        <v>10</v>
      </c>
      <c r="AG1593">
        <f t="shared" si="373"/>
        <v>0</v>
      </c>
    </row>
    <row r="1594" spans="1:33" x14ac:dyDescent="0.25">
      <c r="A1594" t="s">
        <v>2633</v>
      </c>
      <c r="B1594" t="s">
        <v>729</v>
      </c>
      <c r="C1594">
        <v>166457</v>
      </c>
      <c r="D1594">
        <v>166457</v>
      </c>
      <c r="S1594">
        <f t="shared" si="362"/>
        <v>0</v>
      </c>
      <c r="T1594">
        <f t="shared" si="363"/>
        <v>0</v>
      </c>
      <c r="U1594">
        <f t="shared" si="361"/>
        <v>0</v>
      </c>
      <c r="V1594">
        <f t="shared" si="364"/>
        <v>0</v>
      </c>
      <c r="W1594">
        <f t="shared" si="365"/>
        <v>0</v>
      </c>
      <c r="X1594">
        <f t="shared" si="374"/>
        <v>0</v>
      </c>
      <c r="Y1594">
        <f t="shared" si="375"/>
        <v>0</v>
      </c>
      <c r="Z1594">
        <f t="shared" si="366"/>
        <v>0</v>
      </c>
      <c r="AA1594">
        <f t="shared" si="367"/>
        <v>0</v>
      </c>
      <c r="AB1594">
        <f t="shared" si="368"/>
        <v>0</v>
      </c>
      <c r="AC1594">
        <f t="shared" si="369"/>
        <v>0</v>
      </c>
      <c r="AD1594" s="1">
        <f t="shared" si="370"/>
        <v>0</v>
      </c>
      <c r="AE1594">
        <f t="shared" si="371"/>
        <v>0</v>
      </c>
      <c r="AF1594">
        <f t="shared" si="372"/>
        <v>0</v>
      </c>
      <c r="AG1594">
        <f t="shared" si="373"/>
        <v>0</v>
      </c>
    </row>
    <row r="1595" spans="1:33" x14ac:dyDescent="0.25">
      <c r="A1595" t="s">
        <v>2634</v>
      </c>
      <c r="B1595" t="s">
        <v>1818</v>
      </c>
      <c r="C1595">
        <v>165483</v>
      </c>
      <c r="D1595">
        <v>165483</v>
      </c>
      <c r="E1595">
        <v>10</v>
      </c>
      <c r="F1595">
        <v>0</v>
      </c>
      <c r="G1595">
        <v>70</v>
      </c>
      <c r="O1595">
        <v>80</v>
      </c>
      <c r="R1595">
        <v>10</v>
      </c>
      <c r="S1595">
        <f t="shared" si="362"/>
        <v>5</v>
      </c>
      <c r="T1595">
        <f t="shared" si="363"/>
        <v>0</v>
      </c>
      <c r="U1595">
        <f t="shared" si="361"/>
        <v>1</v>
      </c>
      <c r="V1595">
        <f t="shared" si="364"/>
        <v>1</v>
      </c>
      <c r="W1595">
        <f t="shared" si="365"/>
        <v>0</v>
      </c>
      <c r="X1595">
        <f t="shared" si="374"/>
        <v>0</v>
      </c>
      <c r="Y1595">
        <f t="shared" si="375"/>
        <v>0</v>
      </c>
      <c r="Z1595">
        <f t="shared" si="366"/>
        <v>2</v>
      </c>
      <c r="AA1595">
        <f t="shared" si="367"/>
        <v>0</v>
      </c>
      <c r="AB1595">
        <f t="shared" si="368"/>
        <v>10</v>
      </c>
      <c r="AC1595">
        <f t="shared" si="369"/>
        <v>0</v>
      </c>
      <c r="AD1595" s="1">
        <f t="shared" si="370"/>
        <v>0</v>
      </c>
      <c r="AE1595">
        <f t="shared" si="371"/>
        <v>0</v>
      </c>
      <c r="AF1595">
        <f t="shared" si="372"/>
        <v>0</v>
      </c>
      <c r="AG1595">
        <f t="shared" si="373"/>
        <v>0</v>
      </c>
    </row>
    <row r="1596" spans="1:33" x14ac:dyDescent="0.25">
      <c r="A1596" t="s">
        <v>2635</v>
      </c>
      <c r="B1596" t="s">
        <v>130</v>
      </c>
      <c r="C1596">
        <v>165440</v>
      </c>
      <c r="D1596">
        <v>165440</v>
      </c>
      <c r="E1596">
        <v>40</v>
      </c>
      <c r="F1596">
        <v>20</v>
      </c>
      <c r="G1596">
        <v>10</v>
      </c>
      <c r="O1596">
        <v>70</v>
      </c>
      <c r="S1596">
        <f t="shared" si="362"/>
        <v>4.375</v>
      </c>
      <c r="T1596">
        <f t="shared" si="363"/>
        <v>0</v>
      </c>
      <c r="U1596">
        <f t="shared" si="361"/>
        <v>1</v>
      </c>
      <c r="V1596">
        <f t="shared" si="364"/>
        <v>1</v>
      </c>
      <c r="W1596">
        <f t="shared" si="365"/>
        <v>0</v>
      </c>
      <c r="X1596">
        <f t="shared" si="374"/>
        <v>0</v>
      </c>
      <c r="Y1596">
        <f t="shared" si="375"/>
        <v>0</v>
      </c>
      <c r="Z1596">
        <f t="shared" si="366"/>
        <v>8</v>
      </c>
      <c r="AA1596">
        <f t="shared" si="367"/>
        <v>5</v>
      </c>
      <c r="AB1596">
        <f t="shared" si="368"/>
        <v>1.4285714285714286</v>
      </c>
      <c r="AC1596">
        <f t="shared" si="369"/>
        <v>0</v>
      </c>
      <c r="AD1596" s="1">
        <f t="shared" si="370"/>
        <v>0</v>
      </c>
      <c r="AE1596">
        <f t="shared" si="371"/>
        <v>0</v>
      </c>
      <c r="AF1596">
        <f t="shared" si="372"/>
        <v>0</v>
      </c>
      <c r="AG1596">
        <f t="shared" si="373"/>
        <v>0</v>
      </c>
    </row>
    <row r="1597" spans="1:33" x14ac:dyDescent="0.25">
      <c r="A1597" t="s">
        <v>2636</v>
      </c>
      <c r="B1597" t="s">
        <v>963</v>
      </c>
      <c r="C1597">
        <v>168623</v>
      </c>
      <c r="D1597">
        <v>168623</v>
      </c>
      <c r="E1597">
        <v>50</v>
      </c>
      <c r="F1597">
        <v>40</v>
      </c>
      <c r="G1597">
        <v>40</v>
      </c>
      <c r="O1597">
        <v>130</v>
      </c>
      <c r="S1597">
        <f t="shared" si="362"/>
        <v>8.125</v>
      </c>
      <c r="T1597">
        <f t="shared" si="363"/>
        <v>0</v>
      </c>
      <c r="U1597">
        <f t="shared" si="361"/>
        <v>1</v>
      </c>
      <c r="V1597">
        <f t="shared" si="364"/>
        <v>1</v>
      </c>
      <c r="W1597">
        <f t="shared" si="365"/>
        <v>0</v>
      </c>
      <c r="X1597">
        <f t="shared" si="374"/>
        <v>1</v>
      </c>
      <c r="Y1597">
        <f t="shared" si="375"/>
        <v>0</v>
      </c>
      <c r="Z1597">
        <f t="shared" si="366"/>
        <v>10</v>
      </c>
      <c r="AA1597">
        <f t="shared" si="367"/>
        <v>10</v>
      </c>
      <c r="AB1597">
        <f t="shared" si="368"/>
        <v>5.7142857142857144</v>
      </c>
      <c r="AC1597">
        <f t="shared" si="369"/>
        <v>0</v>
      </c>
      <c r="AD1597" s="1">
        <f t="shared" si="370"/>
        <v>0</v>
      </c>
      <c r="AE1597">
        <f t="shared" si="371"/>
        <v>0</v>
      </c>
      <c r="AF1597">
        <f t="shared" si="372"/>
        <v>0</v>
      </c>
      <c r="AG1597">
        <f t="shared" si="373"/>
        <v>0</v>
      </c>
    </row>
    <row r="1598" spans="1:33" x14ac:dyDescent="0.25">
      <c r="A1598" t="s">
        <v>2637</v>
      </c>
      <c r="B1598" t="s">
        <v>2638</v>
      </c>
      <c r="C1598">
        <v>167063</v>
      </c>
      <c r="D1598">
        <v>167063</v>
      </c>
      <c r="E1598">
        <v>0</v>
      </c>
      <c r="O1598">
        <v>0</v>
      </c>
      <c r="R1598" t="s">
        <v>20</v>
      </c>
      <c r="S1598">
        <f t="shared" si="362"/>
        <v>0</v>
      </c>
      <c r="T1598">
        <f t="shared" si="363"/>
        <v>0</v>
      </c>
      <c r="U1598">
        <f t="shared" si="361"/>
        <v>1</v>
      </c>
      <c r="V1598">
        <f t="shared" si="364"/>
        <v>1</v>
      </c>
      <c r="W1598">
        <f t="shared" si="365"/>
        <v>0</v>
      </c>
      <c r="X1598">
        <f t="shared" si="374"/>
        <v>0</v>
      </c>
      <c r="Y1598">
        <f t="shared" si="375"/>
        <v>0</v>
      </c>
      <c r="Z1598">
        <f t="shared" si="366"/>
        <v>0</v>
      </c>
      <c r="AA1598">
        <f t="shared" si="367"/>
        <v>0</v>
      </c>
      <c r="AB1598">
        <f t="shared" si="368"/>
        <v>0</v>
      </c>
      <c r="AC1598">
        <f t="shared" si="369"/>
        <v>0</v>
      </c>
      <c r="AD1598" s="1">
        <f t="shared" si="370"/>
        <v>0</v>
      </c>
      <c r="AE1598">
        <f t="shared" si="371"/>
        <v>0</v>
      </c>
      <c r="AF1598">
        <f t="shared" si="372"/>
        <v>0</v>
      </c>
      <c r="AG1598">
        <f t="shared" si="373"/>
        <v>0</v>
      </c>
    </row>
    <row r="1599" spans="1:33" x14ac:dyDescent="0.25">
      <c r="A1599" t="s">
        <v>2639</v>
      </c>
      <c r="B1599" t="s">
        <v>2640</v>
      </c>
      <c r="C1599">
        <v>167779</v>
      </c>
      <c r="D1599">
        <v>167779</v>
      </c>
      <c r="E1599">
        <v>40</v>
      </c>
      <c r="F1599">
        <v>10</v>
      </c>
      <c r="G1599">
        <v>30</v>
      </c>
      <c r="O1599">
        <v>80</v>
      </c>
      <c r="S1599">
        <f t="shared" si="362"/>
        <v>5</v>
      </c>
      <c r="T1599">
        <f t="shared" si="363"/>
        <v>0</v>
      </c>
      <c r="U1599">
        <f t="shared" si="361"/>
        <v>1</v>
      </c>
      <c r="V1599">
        <f t="shared" si="364"/>
        <v>1</v>
      </c>
      <c r="W1599">
        <f t="shared" si="365"/>
        <v>0</v>
      </c>
      <c r="X1599">
        <f t="shared" si="374"/>
        <v>0</v>
      </c>
      <c r="Y1599">
        <f t="shared" si="375"/>
        <v>0</v>
      </c>
      <c r="Z1599">
        <f t="shared" si="366"/>
        <v>8</v>
      </c>
      <c r="AA1599">
        <f t="shared" si="367"/>
        <v>2.5</v>
      </c>
      <c r="AB1599">
        <f t="shared" si="368"/>
        <v>4.2857142857142856</v>
      </c>
      <c r="AC1599">
        <f t="shared" si="369"/>
        <v>0</v>
      </c>
      <c r="AD1599" s="1">
        <f t="shared" si="370"/>
        <v>0</v>
      </c>
      <c r="AE1599">
        <f t="shared" si="371"/>
        <v>0</v>
      </c>
      <c r="AF1599">
        <f t="shared" si="372"/>
        <v>0</v>
      </c>
      <c r="AG1599">
        <f t="shared" si="373"/>
        <v>0</v>
      </c>
    </row>
    <row r="1600" spans="1:33" x14ac:dyDescent="0.25">
      <c r="A1600" t="s">
        <v>2641</v>
      </c>
      <c r="B1600" t="s">
        <v>2642</v>
      </c>
      <c r="C1600">
        <v>165507</v>
      </c>
      <c r="D1600">
        <v>165507</v>
      </c>
      <c r="S1600">
        <f t="shared" si="362"/>
        <v>0</v>
      </c>
      <c r="T1600">
        <f t="shared" si="363"/>
        <v>0</v>
      </c>
      <c r="U1600">
        <f t="shared" si="361"/>
        <v>0</v>
      </c>
      <c r="V1600">
        <f t="shared" si="364"/>
        <v>0</v>
      </c>
      <c r="W1600">
        <f t="shared" si="365"/>
        <v>0</v>
      </c>
      <c r="X1600">
        <f t="shared" si="374"/>
        <v>0</v>
      </c>
      <c r="Y1600">
        <f t="shared" si="375"/>
        <v>0</v>
      </c>
      <c r="Z1600">
        <f t="shared" si="366"/>
        <v>0</v>
      </c>
      <c r="AA1600">
        <f t="shared" si="367"/>
        <v>0</v>
      </c>
      <c r="AB1600">
        <f t="shared" si="368"/>
        <v>0</v>
      </c>
      <c r="AC1600">
        <f t="shared" si="369"/>
        <v>0</v>
      </c>
      <c r="AD1600" s="1">
        <f t="shared" si="370"/>
        <v>0</v>
      </c>
      <c r="AE1600">
        <f t="shared" si="371"/>
        <v>0</v>
      </c>
      <c r="AF1600">
        <f t="shared" si="372"/>
        <v>0</v>
      </c>
      <c r="AG1600">
        <f t="shared" si="373"/>
        <v>0</v>
      </c>
    </row>
    <row r="1601" spans="1:33" x14ac:dyDescent="0.25">
      <c r="A1601" t="s">
        <v>2643</v>
      </c>
      <c r="B1601" t="s">
        <v>2644</v>
      </c>
      <c r="C1601">
        <v>167616</v>
      </c>
      <c r="D1601">
        <v>167616</v>
      </c>
      <c r="E1601">
        <v>20</v>
      </c>
      <c r="F1601">
        <v>20</v>
      </c>
      <c r="G1601">
        <v>40</v>
      </c>
      <c r="O1601">
        <v>80</v>
      </c>
      <c r="S1601">
        <f t="shared" si="362"/>
        <v>5</v>
      </c>
      <c r="T1601">
        <f t="shared" si="363"/>
        <v>0</v>
      </c>
      <c r="U1601">
        <f t="shared" si="361"/>
        <v>1</v>
      </c>
      <c r="V1601">
        <f t="shared" si="364"/>
        <v>1</v>
      </c>
      <c r="W1601">
        <f t="shared" si="365"/>
        <v>0</v>
      </c>
      <c r="X1601">
        <f t="shared" si="374"/>
        <v>0</v>
      </c>
      <c r="Y1601">
        <f t="shared" si="375"/>
        <v>0</v>
      </c>
      <c r="Z1601">
        <f t="shared" si="366"/>
        <v>4</v>
      </c>
      <c r="AA1601">
        <f t="shared" si="367"/>
        <v>5</v>
      </c>
      <c r="AB1601">
        <f t="shared" si="368"/>
        <v>5.7142857142857144</v>
      </c>
      <c r="AC1601">
        <f t="shared" si="369"/>
        <v>0</v>
      </c>
      <c r="AD1601" s="1">
        <f t="shared" si="370"/>
        <v>0</v>
      </c>
      <c r="AE1601">
        <f t="shared" si="371"/>
        <v>0</v>
      </c>
      <c r="AF1601">
        <f t="shared" si="372"/>
        <v>0</v>
      </c>
      <c r="AG1601">
        <f t="shared" si="373"/>
        <v>0</v>
      </c>
    </row>
    <row r="1602" spans="1:33" x14ac:dyDescent="0.25">
      <c r="A1602" t="s">
        <v>2645</v>
      </c>
      <c r="B1602" t="s">
        <v>944</v>
      </c>
      <c r="C1602">
        <v>168823</v>
      </c>
      <c r="D1602">
        <v>168823</v>
      </c>
      <c r="H1602">
        <v>20</v>
      </c>
      <c r="I1602">
        <v>40</v>
      </c>
      <c r="J1602">
        <v>0</v>
      </c>
      <c r="K1602">
        <v>10</v>
      </c>
      <c r="L1602">
        <v>10</v>
      </c>
      <c r="M1602">
        <v>80</v>
      </c>
      <c r="S1602">
        <f t="shared" si="362"/>
        <v>0</v>
      </c>
      <c r="T1602">
        <f t="shared" si="363"/>
        <v>6.666666666666667</v>
      </c>
      <c r="U1602">
        <f t="shared" ref="U1602:U1665" si="376">IF(AND(E1602="",F1602="",G1602="",H1602="",I1602="",J1602="",K1602="",L1602="",M1602=""),0,1)</f>
        <v>1</v>
      </c>
      <c r="V1602">
        <f t="shared" si="364"/>
        <v>0</v>
      </c>
      <c r="W1602">
        <f t="shared" si="365"/>
        <v>1</v>
      </c>
      <c r="X1602">
        <f t="shared" si="374"/>
        <v>0</v>
      </c>
      <c r="Y1602">
        <f t="shared" si="375"/>
        <v>1</v>
      </c>
      <c r="Z1602">
        <f t="shared" si="366"/>
        <v>0</v>
      </c>
      <c r="AA1602">
        <f t="shared" si="367"/>
        <v>0</v>
      </c>
      <c r="AB1602">
        <f t="shared" si="368"/>
        <v>0</v>
      </c>
      <c r="AC1602">
        <f t="shared" si="369"/>
        <v>10</v>
      </c>
      <c r="AD1602" s="1">
        <f t="shared" si="370"/>
        <v>6.666666666666667</v>
      </c>
      <c r="AE1602">
        <f t="shared" si="371"/>
        <v>0</v>
      </c>
      <c r="AF1602">
        <f t="shared" si="372"/>
        <v>10</v>
      </c>
      <c r="AG1602">
        <f t="shared" si="373"/>
        <v>10</v>
      </c>
    </row>
    <row r="1603" spans="1:33" x14ac:dyDescent="0.25">
      <c r="A1603" t="s">
        <v>2646</v>
      </c>
      <c r="B1603" t="s">
        <v>674</v>
      </c>
      <c r="C1603">
        <v>165547</v>
      </c>
      <c r="D1603">
        <v>165547</v>
      </c>
      <c r="E1603">
        <v>40</v>
      </c>
      <c r="F1603">
        <v>30</v>
      </c>
      <c r="G1603">
        <v>20</v>
      </c>
      <c r="O1603">
        <v>90</v>
      </c>
      <c r="S1603">
        <f t="shared" ref="S1603:S1666" si="377">O1603/16</f>
        <v>5.625</v>
      </c>
      <c r="T1603">
        <f t="shared" ref="T1603:T1666" si="378">M1603/12</f>
        <v>0</v>
      </c>
      <c r="U1603">
        <f t="shared" si="376"/>
        <v>1</v>
      </c>
      <c r="V1603">
        <f t="shared" ref="V1603:V1666" si="379">IF(O1603="",0,1)</f>
        <v>1</v>
      </c>
      <c r="W1603">
        <f t="shared" ref="W1603:W1666" si="380">IF(M1603="",0,1)</f>
        <v>0</v>
      </c>
      <c r="X1603">
        <f t="shared" si="374"/>
        <v>0</v>
      </c>
      <c r="Y1603">
        <f t="shared" si="375"/>
        <v>0</v>
      </c>
      <c r="Z1603">
        <f t="shared" ref="Z1603:Z1666" si="381">E1603/5</f>
        <v>8</v>
      </c>
      <c r="AA1603">
        <f t="shared" ref="AA1603:AA1666" si="382">F1603/4</f>
        <v>7.5</v>
      </c>
      <c r="AB1603">
        <f t="shared" ref="AB1603:AB1666" si="383">G1603/7</f>
        <v>2.8571428571428572</v>
      </c>
      <c r="AC1603">
        <f t="shared" ref="AC1603:AC1666" si="384">H1603/2</f>
        <v>0</v>
      </c>
      <c r="AD1603" s="1">
        <f t="shared" ref="AD1603:AD1666" si="385">I1603/6</f>
        <v>0</v>
      </c>
      <c r="AE1603">
        <f t="shared" ref="AE1603:AE1666" si="386">J1603/2</f>
        <v>0</v>
      </c>
      <c r="AF1603">
        <f t="shared" ref="AF1603:AF1666" si="387">K1603</f>
        <v>0</v>
      </c>
      <c r="AG1603">
        <f t="shared" ref="AG1603:AG1666" si="388">L1603</f>
        <v>0</v>
      </c>
    </row>
    <row r="1604" spans="1:33" x14ac:dyDescent="0.25">
      <c r="A1604" t="s">
        <v>2647</v>
      </c>
      <c r="B1604" t="s">
        <v>2648</v>
      </c>
      <c r="C1604">
        <v>165025</v>
      </c>
      <c r="D1604">
        <v>165025</v>
      </c>
      <c r="E1604">
        <v>40</v>
      </c>
      <c r="F1604">
        <v>40</v>
      </c>
      <c r="G1604">
        <v>40</v>
      </c>
      <c r="O1604">
        <v>120</v>
      </c>
      <c r="S1604">
        <f t="shared" si="377"/>
        <v>7.5</v>
      </c>
      <c r="T1604">
        <f t="shared" si="378"/>
        <v>0</v>
      </c>
      <c r="U1604">
        <f t="shared" si="376"/>
        <v>1</v>
      </c>
      <c r="V1604">
        <f t="shared" si="379"/>
        <v>1</v>
      </c>
      <c r="W1604">
        <f t="shared" si="380"/>
        <v>0</v>
      </c>
      <c r="X1604">
        <f t="shared" si="374"/>
        <v>1</v>
      </c>
      <c r="Y1604">
        <f t="shared" si="375"/>
        <v>0</v>
      </c>
      <c r="Z1604">
        <f t="shared" si="381"/>
        <v>8</v>
      </c>
      <c r="AA1604">
        <f t="shared" si="382"/>
        <v>10</v>
      </c>
      <c r="AB1604">
        <f t="shared" si="383"/>
        <v>5.7142857142857144</v>
      </c>
      <c r="AC1604">
        <f t="shared" si="384"/>
        <v>0</v>
      </c>
      <c r="AD1604" s="1">
        <f t="shared" si="385"/>
        <v>0</v>
      </c>
      <c r="AE1604">
        <f t="shared" si="386"/>
        <v>0</v>
      </c>
      <c r="AF1604">
        <f t="shared" si="387"/>
        <v>0</v>
      </c>
      <c r="AG1604">
        <f t="shared" si="388"/>
        <v>0</v>
      </c>
    </row>
    <row r="1605" spans="1:33" x14ac:dyDescent="0.25">
      <c r="A1605" t="s">
        <v>2649</v>
      </c>
      <c r="B1605" t="s">
        <v>130</v>
      </c>
      <c r="C1605">
        <v>167033</v>
      </c>
      <c r="D1605">
        <v>167033</v>
      </c>
      <c r="E1605">
        <v>20</v>
      </c>
      <c r="F1605">
        <v>20</v>
      </c>
      <c r="G1605">
        <v>30</v>
      </c>
      <c r="O1605">
        <v>70</v>
      </c>
      <c r="S1605">
        <f t="shared" si="377"/>
        <v>4.375</v>
      </c>
      <c r="T1605">
        <f t="shared" si="378"/>
        <v>0</v>
      </c>
      <c r="U1605">
        <f t="shared" si="376"/>
        <v>1</v>
      </c>
      <c r="V1605">
        <f t="shared" si="379"/>
        <v>1</v>
      </c>
      <c r="W1605">
        <f t="shared" si="380"/>
        <v>0</v>
      </c>
      <c r="X1605">
        <f t="shared" ref="X1605:X1668" si="389">IF(AND(V1605=1,S1605&gt;6),1,0)</f>
        <v>0</v>
      </c>
      <c r="Y1605">
        <f t="shared" ref="Y1605:Y1668" si="390">IF(AND(W1605=1,T1605&gt;6),1,0)</f>
        <v>0</v>
      </c>
      <c r="Z1605">
        <f t="shared" si="381"/>
        <v>4</v>
      </c>
      <c r="AA1605">
        <f t="shared" si="382"/>
        <v>5</v>
      </c>
      <c r="AB1605">
        <f t="shared" si="383"/>
        <v>4.2857142857142856</v>
      </c>
      <c r="AC1605">
        <f t="shared" si="384"/>
        <v>0</v>
      </c>
      <c r="AD1605" s="1">
        <f t="shared" si="385"/>
        <v>0</v>
      </c>
      <c r="AE1605">
        <f t="shared" si="386"/>
        <v>0</v>
      </c>
      <c r="AF1605">
        <f t="shared" si="387"/>
        <v>0</v>
      </c>
      <c r="AG1605">
        <f t="shared" si="388"/>
        <v>0</v>
      </c>
    </row>
    <row r="1606" spans="1:33" x14ac:dyDescent="0.25">
      <c r="A1606" t="s">
        <v>2650</v>
      </c>
      <c r="B1606" t="s">
        <v>367</v>
      </c>
      <c r="C1606">
        <v>165749</v>
      </c>
      <c r="D1606">
        <v>165749</v>
      </c>
      <c r="H1606">
        <v>10</v>
      </c>
      <c r="I1606">
        <v>50</v>
      </c>
      <c r="J1606">
        <v>10</v>
      </c>
      <c r="K1606">
        <v>10</v>
      </c>
      <c r="L1606">
        <v>10</v>
      </c>
      <c r="M1606">
        <v>90</v>
      </c>
      <c r="S1606">
        <f t="shared" si="377"/>
        <v>0</v>
      </c>
      <c r="T1606">
        <f t="shared" si="378"/>
        <v>7.5</v>
      </c>
      <c r="U1606">
        <f t="shared" si="376"/>
        <v>1</v>
      </c>
      <c r="V1606">
        <f t="shared" si="379"/>
        <v>0</v>
      </c>
      <c r="W1606">
        <f t="shared" si="380"/>
        <v>1</v>
      </c>
      <c r="X1606">
        <f t="shared" si="389"/>
        <v>0</v>
      </c>
      <c r="Y1606">
        <f t="shared" si="390"/>
        <v>1</v>
      </c>
      <c r="Z1606">
        <f t="shared" si="381"/>
        <v>0</v>
      </c>
      <c r="AA1606">
        <f t="shared" si="382"/>
        <v>0</v>
      </c>
      <c r="AB1606">
        <f t="shared" si="383"/>
        <v>0</v>
      </c>
      <c r="AC1606">
        <f t="shared" si="384"/>
        <v>5</v>
      </c>
      <c r="AD1606" s="1">
        <f t="shared" si="385"/>
        <v>8.3333333333333339</v>
      </c>
      <c r="AE1606">
        <f t="shared" si="386"/>
        <v>5</v>
      </c>
      <c r="AF1606">
        <f t="shared" si="387"/>
        <v>10</v>
      </c>
      <c r="AG1606">
        <f t="shared" si="388"/>
        <v>10</v>
      </c>
    </row>
    <row r="1607" spans="1:33" x14ac:dyDescent="0.25">
      <c r="A1607" t="s">
        <v>2651</v>
      </c>
      <c r="B1607" t="s">
        <v>340</v>
      </c>
      <c r="C1607">
        <v>167256</v>
      </c>
      <c r="D1607">
        <v>167256</v>
      </c>
      <c r="H1607">
        <v>10</v>
      </c>
      <c r="I1607">
        <v>40</v>
      </c>
      <c r="J1607">
        <v>10</v>
      </c>
      <c r="K1607">
        <v>0</v>
      </c>
      <c r="M1607">
        <v>60</v>
      </c>
      <c r="S1607">
        <f t="shared" si="377"/>
        <v>0</v>
      </c>
      <c r="T1607">
        <f t="shared" si="378"/>
        <v>5</v>
      </c>
      <c r="U1607">
        <f t="shared" si="376"/>
        <v>1</v>
      </c>
      <c r="V1607">
        <f t="shared" si="379"/>
        <v>0</v>
      </c>
      <c r="W1607">
        <f t="shared" si="380"/>
        <v>1</v>
      </c>
      <c r="X1607">
        <f t="shared" si="389"/>
        <v>0</v>
      </c>
      <c r="Y1607">
        <f t="shared" si="390"/>
        <v>0</v>
      </c>
      <c r="Z1607">
        <f t="shared" si="381"/>
        <v>0</v>
      </c>
      <c r="AA1607">
        <f t="shared" si="382"/>
        <v>0</v>
      </c>
      <c r="AB1607">
        <f t="shared" si="383"/>
        <v>0</v>
      </c>
      <c r="AC1607">
        <f t="shared" si="384"/>
        <v>5</v>
      </c>
      <c r="AD1607" s="1">
        <f t="shared" si="385"/>
        <v>6.666666666666667</v>
      </c>
      <c r="AE1607">
        <f t="shared" si="386"/>
        <v>5</v>
      </c>
      <c r="AF1607">
        <f t="shared" si="387"/>
        <v>0</v>
      </c>
      <c r="AG1607">
        <f t="shared" si="388"/>
        <v>0</v>
      </c>
    </row>
    <row r="1608" spans="1:33" x14ac:dyDescent="0.25">
      <c r="A1608" t="s">
        <v>2652</v>
      </c>
      <c r="B1608" t="s">
        <v>1649</v>
      </c>
      <c r="C1608">
        <v>166072</v>
      </c>
      <c r="D1608">
        <v>166072</v>
      </c>
      <c r="H1608">
        <v>10</v>
      </c>
      <c r="I1608">
        <v>40</v>
      </c>
      <c r="J1608">
        <v>10</v>
      </c>
      <c r="K1608">
        <v>10</v>
      </c>
      <c r="L1608">
        <v>10</v>
      </c>
      <c r="M1608">
        <v>80</v>
      </c>
      <c r="S1608">
        <f t="shared" si="377"/>
        <v>0</v>
      </c>
      <c r="T1608">
        <f t="shared" si="378"/>
        <v>6.666666666666667</v>
      </c>
      <c r="U1608">
        <f t="shared" si="376"/>
        <v>1</v>
      </c>
      <c r="V1608">
        <f t="shared" si="379"/>
        <v>0</v>
      </c>
      <c r="W1608">
        <f t="shared" si="380"/>
        <v>1</v>
      </c>
      <c r="X1608">
        <f t="shared" si="389"/>
        <v>0</v>
      </c>
      <c r="Y1608">
        <f t="shared" si="390"/>
        <v>1</v>
      </c>
      <c r="Z1608">
        <f t="shared" si="381"/>
        <v>0</v>
      </c>
      <c r="AA1608">
        <f t="shared" si="382"/>
        <v>0</v>
      </c>
      <c r="AB1608">
        <f t="shared" si="383"/>
        <v>0</v>
      </c>
      <c r="AC1608">
        <f t="shared" si="384"/>
        <v>5</v>
      </c>
      <c r="AD1608" s="1">
        <f t="shared" si="385"/>
        <v>6.666666666666667</v>
      </c>
      <c r="AE1608">
        <f t="shared" si="386"/>
        <v>5</v>
      </c>
      <c r="AF1608">
        <f t="shared" si="387"/>
        <v>10</v>
      </c>
      <c r="AG1608">
        <f t="shared" si="388"/>
        <v>10</v>
      </c>
    </row>
    <row r="1609" spans="1:33" x14ac:dyDescent="0.25">
      <c r="A1609" t="s">
        <v>2653</v>
      </c>
      <c r="B1609" t="s">
        <v>2654</v>
      </c>
      <c r="C1609">
        <v>167743</v>
      </c>
      <c r="D1609">
        <v>167743</v>
      </c>
      <c r="H1609">
        <v>20</v>
      </c>
      <c r="I1609">
        <v>30</v>
      </c>
      <c r="J1609">
        <v>10</v>
      </c>
      <c r="K1609">
        <v>10</v>
      </c>
      <c r="L1609">
        <v>10</v>
      </c>
      <c r="M1609">
        <v>80</v>
      </c>
      <c r="S1609">
        <f t="shared" si="377"/>
        <v>0</v>
      </c>
      <c r="T1609">
        <f t="shared" si="378"/>
        <v>6.666666666666667</v>
      </c>
      <c r="U1609">
        <f t="shared" si="376"/>
        <v>1</v>
      </c>
      <c r="V1609">
        <f t="shared" si="379"/>
        <v>0</v>
      </c>
      <c r="W1609">
        <f t="shared" si="380"/>
        <v>1</v>
      </c>
      <c r="X1609">
        <f t="shared" si="389"/>
        <v>0</v>
      </c>
      <c r="Y1609">
        <f t="shared" si="390"/>
        <v>1</v>
      </c>
      <c r="Z1609">
        <f t="shared" si="381"/>
        <v>0</v>
      </c>
      <c r="AA1609">
        <f t="shared" si="382"/>
        <v>0</v>
      </c>
      <c r="AB1609">
        <f t="shared" si="383"/>
        <v>0</v>
      </c>
      <c r="AC1609">
        <f t="shared" si="384"/>
        <v>10</v>
      </c>
      <c r="AD1609" s="1">
        <f t="shared" si="385"/>
        <v>5</v>
      </c>
      <c r="AE1609">
        <f t="shared" si="386"/>
        <v>5</v>
      </c>
      <c r="AF1609">
        <f t="shared" si="387"/>
        <v>10</v>
      </c>
      <c r="AG1609">
        <f t="shared" si="388"/>
        <v>10</v>
      </c>
    </row>
    <row r="1610" spans="1:33" x14ac:dyDescent="0.25">
      <c r="A1610" t="s">
        <v>2655</v>
      </c>
      <c r="B1610" t="s">
        <v>904</v>
      </c>
      <c r="C1610">
        <v>163079</v>
      </c>
      <c r="D1610">
        <v>163079</v>
      </c>
      <c r="S1610">
        <f t="shared" si="377"/>
        <v>0</v>
      </c>
      <c r="T1610">
        <f t="shared" si="378"/>
        <v>0</v>
      </c>
      <c r="U1610">
        <f t="shared" si="376"/>
        <v>0</v>
      </c>
      <c r="V1610">
        <f t="shared" si="379"/>
        <v>0</v>
      </c>
      <c r="W1610">
        <f t="shared" si="380"/>
        <v>0</v>
      </c>
      <c r="X1610">
        <f t="shared" si="389"/>
        <v>0</v>
      </c>
      <c r="Y1610">
        <f t="shared" si="390"/>
        <v>0</v>
      </c>
      <c r="Z1610">
        <f t="shared" si="381"/>
        <v>0</v>
      </c>
      <c r="AA1610">
        <f t="shared" si="382"/>
        <v>0</v>
      </c>
      <c r="AB1610">
        <f t="shared" si="383"/>
        <v>0</v>
      </c>
      <c r="AC1610">
        <f t="shared" si="384"/>
        <v>0</v>
      </c>
      <c r="AD1610" s="1">
        <f t="shared" si="385"/>
        <v>0</v>
      </c>
      <c r="AE1610">
        <f t="shared" si="386"/>
        <v>0</v>
      </c>
      <c r="AF1610">
        <f t="shared" si="387"/>
        <v>0</v>
      </c>
      <c r="AG1610">
        <f t="shared" si="388"/>
        <v>0</v>
      </c>
    </row>
    <row r="1611" spans="1:33" x14ac:dyDescent="0.25">
      <c r="A1611" t="s">
        <v>2656</v>
      </c>
      <c r="B1611" t="s">
        <v>228</v>
      </c>
      <c r="C1611">
        <v>168409</v>
      </c>
      <c r="D1611">
        <v>168409</v>
      </c>
      <c r="S1611">
        <f t="shared" si="377"/>
        <v>0</v>
      </c>
      <c r="T1611">
        <f t="shared" si="378"/>
        <v>0</v>
      </c>
      <c r="U1611">
        <f t="shared" si="376"/>
        <v>0</v>
      </c>
      <c r="V1611">
        <f t="shared" si="379"/>
        <v>0</v>
      </c>
      <c r="W1611">
        <f t="shared" si="380"/>
        <v>0</v>
      </c>
      <c r="X1611">
        <f t="shared" si="389"/>
        <v>0</v>
      </c>
      <c r="Y1611">
        <f t="shared" si="390"/>
        <v>0</v>
      </c>
      <c r="Z1611">
        <f t="shared" si="381"/>
        <v>0</v>
      </c>
      <c r="AA1611">
        <f t="shared" si="382"/>
        <v>0</v>
      </c>
      <c r="AB1611">
        <f t="shared" si="383"/>
        <v>0</v>
      </c>
      <c r="AC1611">
        <f t="shared" si="384"/>
        <v>0</v>
      </c>
      <c r="AD1611" s="1">
        <f t="shared" si="385"/>
        <v>0</v>
      </c>
      <c r="AE1611">
        <f t="shared" si="386"/>
        <v>0</v>
      </c>
      <c r="AF1611">
        <f t="shared" si="387"/>
        <v>0</v>
      </c>
      <c r="AG1611">
        <f t="shared" si="388"/>
        <v>0</v>
      </c>
    </row>
    <row r="1612" spans="1:33" x14ac:dyDescent="0.25">
      <c r="A1612" t="s">
        <v>2657</v>
      </c>
      <c r="B1612" t="s">
        <v>2658</v>
      </c>
      <c r="C1612">
        <v>167666</v>
      </c>
      <c r="D1612">
        <v>167666</v>
      </c>
      <c r="E1612">
        <v>30</v>
      </c>
      <c r="F1612">
        <v>30</v>
      </c>
      <c r="G1612">
        <v>30</v>
      </c>
      <c r="O1612">
        <v>90</v>
      </c>
      <c r="S1612">
        <f t="shared" si="377"/>
        <v>5.625</v>
      </c>
      <c r="T1612">
        <f t="shared" si="378"/>
        <v>0</v>
      </c>
      <c r="U1612">
        <f t="shared" si="376"/>
        <v>1</v>
      </c>
      <c r="V1612">
        <f t="shared" si="379"/>
        <v>1</v>
      </c>
      <c r="W1612">
        <f t="shared" si="380"/>
        <v>0</v>
      </c>
      <c r="X1612">
        <f t="shared" si="389"/>
        <v>0</v>
      </c>
      <c r="Y1612">
        <f t="shared" si="390"/>
        <v>0</v>
      </c>
      <c r="Z1612">
        <f t="shared" si="381"/>
        <v>6</v>
      </c>
      <c r="AA1612">
        <f t="shared" si="382"/>
        <v>7.5</v>
      </c>
      <c r="AB1612">
        <f t="shared" si="383"/>
        <v>4.2857142857142856</v>
      </c>
      <c r="AC1612">
        <f t="shared" si="384"/>
        <v>0</v>
      </c>
      <c r="AD1612" s="1">
        <f t="shared" si="385"/>
        <v>0</v>
      </c>
      <c r="AE1612">
        <f t="shared" si="386"/>
        <v>0</v>
      </c>
      <c r="AF1612">
        <f t="shared" si="387"/>
        <v>0</v>
      </c>
      <c r="AG1612">
        <f t="shared" si="388"/>
        <v>0</v>
      </c>
    </row>
    <row r="1613" spans="1:33" x14ac:dyDescent="0.25">
      <c r="A1613" t="s">
        <v>2659</v>
      </c>
      <c r="B1613" t="s">
        <v>67</v>
      </c>
      <c r="C1613">
        <v>166390</v>
      </c>
      <c r="D1613">
        <v>166390</v>
      </c>
      <c r="E1613">
        <v>40</v>
      </c>
      <c r="F1613">
        <v>20</v>
      </c>
      <c r="G1613">
        <v>40</v>
      </c>
      <c r="O1613">
        <v>100</v>
      </c>
      <c r="R1613" t="s">
        <v>20</v>
      </c>
      <c r="S1613">
        <f t="shared" si="377"/>
        <v>6.25</v>
      </c>
      <c r="T1613">
        <f t="shared" si="378"/>
        <v>0</v>
      </c>
      <c r="U1613">
        <f t="shared" si="376"/>
        <v>1</v>
      </c>
      <c r="V1613">
        <f t="shared" si="379"/>
        <v>1</v>
      </c>
      <c r="W1613">
        <f t="shared" si="380"/>
        <v>0</v>
      </c>
      <c r="X1613">
        <f t="shared" si="389"/>
        <v>1</v>
      </c>
      <c r="Y1613">
        <f t="shared" si="390"/>
        <v>0</v>
      </c>
      <c r="Z1613">
        <f t="shared" si="381"/>
        <v>8</v>
      </c>
      <c r="AA1613">
        <f t="shared" si="382"/>
        <v>5</v>
      </c>
      <c r="AB1613">
        <f t="shared" si="383"/>
        <v>5.7142857142857144</v>
      </c>
      <c r="AC1613">
        <f t="shared" si="384"/>
        <v>0</v>
      </c>
      <c r="AD1613" s="1">
        <f t="shared" si="385"/>
        <v>0</v>
      </c>
      <c r="AE1613">
        <f t="shared" si="386"/>
        <v>0</v>
      </c>
      <c r="AF1613">
        <f t="shared" si="387"/>
        <v>0</v>
      </c>
      <c r="AG1613">
        <f t="shared" si="388"/>
        <v>0</v>
      </c>
    </row>
    <row r="1614" spans="1:33" x14ac:dyDescent="0.25">
      <c r="A1614" t="s">
        <v>2660</v>
      </c>
      <c r="B1614" t="s">
        <v>43</v>
      </c>
      <c r="C1614">
        <v>165917</v>
      </c>
      <c r="D1614">
        <v>165917</v>
      </c>
      <c r="E1614">
        <v>30</v>
      </c>
      <c r="F1614">
        <v>20</v>
      </c>
      <c r="G1614">
        <v>60</v>
      </c>
      <c r="O1614">
        <v>110</v>
      </c>
      <c r="S1614">
        <f t="shared" si="377"/>
        <v>6.875</v>
      </c>
      <c r="T1614">
        <f t="shared" si="378"/>
        <v>0</v>
      </c>
      <c r="U1614">
        <f t="shared" si="376"/>
        <v>1</v>
      </c>
      <c r="V1614">
        <f t="shared" si="379"/>
        <v>1</v>
      </c>
      <c r="W1614">
        <f t="shared" si="380"/>
        <v>0</v>
      </c>
      <c r="X1614">
        <f t="shared" si="389"/>
        <v>1</v>
      </c>
      <c r="Y1614">
        <f t="shared" si="390"/>
        <v>0</v>
      </c>
      <c r="Z1614">
        <f t="shared" si="381"/>
        <v>6</v>
      </c>
      <c r="AA1614">
        <f t="shared" si="382"/>
        <v>5</v>
      </c>
      <c r="AB1614">
        <f t="shared" si="383"/>
        <v>8.5714285714285712</v>
      </c>
      <c r="AC1614">
        <f t="shared" si="384"/>
        <v>0</v>
      </c>
      <c r="AD1614" s="1">
        <f t="shared" si="385"/>
        <v>0</v>
      </c>
      <c r="AE1614">
        <f t="shared" si="386"/>
        <v>0</v>
      </c>
      <c r="AF1614">
        <f t="shared" si="387"/>
        <v>0</v>
      </c>
      <c r="AG1614">
        <f t="shared" si="388"/>
        <v>0</v>
      </c>
    </row>
    <row r="1615" spans="1:33" x14ac:dyDescent="0.25">
      <c r="A1615" t="s">
        <v>2661</v>
      </c>
      <c r="B1615" t="s">
        <v>2662</v>
      </c>
      <c r="C1615">
        <v>165619</v>
      </c>
      <c r="D1615">
        <v>165619</v>
      </c>
      <c r="H1615">
        <v>10</v>
      </c>
      <c r="I1615">
        <v>60</v>
      </c>
      <c r="J1615">
        <v>10</v>
      </c>
      <c r="K1615">
        <v>10</v>
      </c>
      <c r="L1615">
        <v>10</v>
      </c>
      <c r="M1615">
        <v>100</v>
      </c>
      <c r="S1615">
        <f t="shared" si="377"/>
        <v>0</v>
      </c>
      <c r="T1615">
        <f t="shared" si="378"/>
        <v>8.3333333333333339</v>
      </c>
      <c r="U1615">
        <f t="shared" si="376"/>
        <v>1</v>
      </c>
      <c r="V1615">
        <f t="shared" si="379"/>
        <v>0</v>
      </c>
      <c r="W1615">
        <f t="shared" si="380"/>
        <v>1</v>
      </c>
      <c r="X1615">
        <f t="shared" si="389"/>
        <v>0</v>
      </c>
      <c r="Y1615">
        <f t="shared" si="390"/>
        <v>1</v>
      </c>
      <c r="Z1615">
        <f t="shared" si="381"/>
        <v>0</v>
      </c>
      <c r="AA1615">
        <f t="shared" si="382"/>
        <v>0</v>
      </c>
      <c r="AB1615">
        <f t="shared" si="383"/>
        <v>0</v>
      </c>
      <c r="AC1615">
        <f t="shared" si="384"/>
        <v>5</v>
      </c>
      <c r="AD1615" s="1">
        <f t="shared" si="385"/>
        <v>10</v>
      </c>
      <c r="AE1615">
        <f t="shared" si="386"/>
        <v>5</v>
      </c>
      <c r="AF1615">
        <f t="shared" si="387"/>
        <v>10</v>
      </c>
      <c r="AG1615">
        <f t="shared" si="388"/>
        <v>10</v>
      </c>
    </row>
    <row r="1616" spans="1:33" x14ac:dyDescent="0.25">
      <c r="A1616" t="s">
        <v>2663</v>
      </c>
      <c r="B1616" t="s">
        <v>330</v>
      </c>
      <c r="C1616">
        <v>168112</v>
      </c>
      <c r="D1616">
        <v>168112</v>
      </c>
      <c r="R1616" t="s">
        <v>20</v>
      </c>
      <c r="S1616">
        <f t="shared" si="377"/>
        <v>0</v>
      </c>
      <c r="T1616">
        <f t="shared" si="378"/>
        <v>0</v>
      </c>
      <c r="U1616">
        <f t="shared" si="376"/>
        <v>0</v>
      </c>
      <c r="V1616">
        <f t="shared" si="379"/>
        <v>0</v>
      </c>
      <c r="W1616">
        <f t="shared" si="380"/>
        <v>0</v>
      </c>
      <c r="X1616">
        <f t="shared" si="389"/>
        <v>0</v>
      </c>
      <c r="Y1616">
        <f t="shared" si="390"/>
        <v>0</v>
      </c>
      <c r="Z1616">
        <f t="shared" si="381"/>
        <v>0</v>
      </c>
      <c r="AA1616">
        <f t="shared" si="382"/>
        <v>0</v>
      </c>
      <c r="AB1616">
        <f t="shared" si="383"/>
        <v>0</v>
      </c>
      <c r="AC1616">
        <f t="shared" si="384"/>
        <v>0</v>
      </c>
      <c r="AD1616" s="1">
        <f t="shared" si="385"/>
        <v>0</v>
      </c>
      <c r="AE1616">
        <f t="shared" si="386"/>
        <v>0</v>
      </c>
      <c r="AF1616">
        <f t="shared" si="387"/>
        <v>0</v>
      </c>
      <c r="AG1616">
        <f t="shared" si="388"/>
        <v>0</v>
      </c>
    </row>
    <row r="1617" spans="1:33" x14ac:dyDescent="0.25">
      <c r="A1617" t="s">
        <v>2664</v>
      </c>
      <c r="B1617" t="s">
        <v>2665</v>
      </c>
      <c r="C1617">
        <v>167186</v>
      </c>
      <c r="D1617">
        <v>167186</v>
      </c>
      <c r="H1617">
        <v>10</v>
      </c>
      <c r="I1617">
        <v>0</v>
      </c>
      <c r="J1617">
        <v>20</v>
      </c>
      <c r="K1617">
        <v>0</v>
      </c>
      <c r="L1617">
        <v>0</v>
      </c>
      <c r="M1617">
        <v>30</v>
      </c>
      <c r="S1617">
        <f t="shared" si="377"/>
        <v>0</v>
      </c>
      <c r="T1617">
        <f t="shared" si="378"/>
        <v>2.5</v>
      </c>
      <c r="U1617">
        <f t="shared" si="376"/>
        <v>1</v>
      </c>
      <c r="V1617">
        <f t="shared" si="379"/>
        <v>0</v>
      </c>
      <c r="W1617">
        <f t="shared" si="380"/>
        <v>1</v>
      </c>
      <c r="X1617">
        <f t="shared" si="389"/>
        <v>0</v>
      </c>
      <c r="Y1617">
        <f t="shared" si="390"/>
        <v>0</v>
      </c>
      <c r="Z1617">
        <f t="shared" si="381"/>
        <v>0</v>
      </c>
      <c r="AA1617">
        <f t="shared" si="382"/>
        <v>0</v>
      </c>
      <c r="AB1617">
        <f t="shared" si="383"/>
        <v>0</v>
      </c>
      <c r="AC1617">
        <f t="shared" si="384"/>
        <v>5</v>
      </c>
      <c r="AD1617" s="1">
        <f t="shared" si="385"/>
        <v>0</v>
      </c>
      <c r="AE1617">
        <f t="shared" si="386"/>
        <v>10</v>
      </c>
      <c r="AF1617">
        <f t="shared" si="387"/>
        <v>0</v>
      </c>
      <c r="AG1617">
        <f t="shared" si="388"/>
        <v>0</v>
      </c>
    </row>
    <row r="1618" spans="1:33" x14ac:dyDescent="0.25">
      <c r="A1618" t="s">
        <v>2666</v>
      </c>
      <c r="B1618" t="s">
        <v>944</v>
      </c>
      <c r="C1618">
        <v>166898</v>
      </c>
      <c r="D1618">
        <v>166898</v>
      </c>
      <c r="H1618">
        <v>20</v>
      </c>
      <c r="I1618">
        <v>50</v>
      </c>
      <c r="J1618">
        <v>20</v>
      </c>
      <c r="K1618">
        <v>10</v>
      </c>
      <c r="L1618">
        <v>0</v>
      </c>
      <c r="M1618">
        <v>100</v>
      </c>
      <c r="S1618">
        <f t="shared" si="377"/>
        <v>0</v>
      </c>
      <c r="T1618">
        <f t="shared" si="378"/>
        <v>8.3333333333333339</v>
      </c>
      <c r="U1618">
        <f t="shared" si="376"/>
        <v>1</v>
      </c>
      <c r="V1618">
        <f t="shared" si="379"/>
        <v>0</v>
      </c>
      <c r="W1618">
        <f t="shared" si="380"/>
        <v>1</v>
      </c>
      <c r="X1618">
        <f t="shared" si="389"/>
        <v>0</v>
      </c>
      <c r="Y1618">
        <f t="shared" si="390"/>
        <v>1</v>
      </c>
      <c r="Z1618">
        <f t="shared" si="381"/>
        <v>0</v>
      </c>
      <c r="AA1618">
        <f t="shared" si="382"/>
        <v>0</v>
      </c>
      <c r="AB1618">
        <f t="shared" si="383"/>
        <v>0</v>
      </c>
      <c r="AC1618">
        <f t="shared" si="384"/>
        <v>10</v>
      </c>
      <c r="AD1618" s="1">
        <f t="shared" si="385"/>
        <v>8.3333333333333339</v>
      </c>
      <c r="AE1618">
        <f t="shared" si="386"/>
        <v>10</v>
      </c>
      <c r="AF1618">
        <f t="shared" si="387"/>
        <v>10</v>
      </c>
      <c r="AG1618">
        <f t="shared" si="388"/>
        <v>0</v>
      </c>
    </row>
    <row r="1619" spans="1:33" x14ac:dyDescent="0.25">
      <c r="A1619" t="s">
        <v>2667</v>
      </c>
      <c r="B1619" t="s">
        <v>1240</v>
      </c>
      <c r="C1619">
        <v>162028</v>
      </c>
      <c r="D1619">
        <v>162028</v>
      </c>
      <c r="E1619">
        <v>30</v>
      </c>
      <c r="F1619">
        <v>30</v>
      </c>
      <c r="G1619">
        <v>40</v>
      </c>
      <c r="O1619">
        <v>100</v>
      </c>
      <c r="S1619">
        <f t="shared" si="377"/>
        <v>6.25</v>
      </c>
      <c r="T1619">
        <f t="shared" si="378"/>
        <v>0</v>
      </c>
      <c r="U1619">
        <f t="shared" si="376"/>
        <v>1</v>
      </c>
      <c r="V1619">
        <f t="shared" si="379"/>
        <v>1</v>
      </c>
      <c r="W1619">
        <f t="shared" si="380"/>
        <v>0</v>
      </c>
      <c r="X1619">
        <f t="shared" si="389"/>
        <v>1</v>
      </c>
      <c r="Y1619">
        <f t="shared" si="390"/>
        <v>0</v>
      </c>
      <c r="Z1619">
        <f t="shared" si="381"/>
        <v>6</v>
      </c>
      <c r="AA1619">
        <f t="shared" si="382"/>
        <v>7.5</v>
      </c>
      <c r="AB1619">
        <f t="shared" si="383"/>
        <v>5.7142857142857144</v>
      </c>
      <c r="AC1619">
        <f t="shared" si="384"/>
        <v>0</v>
      </c>
      <c r="AD1619" s="1">
        <f t="shared" si="385"/>
        <v>0</v>
      </c>
      <c r="AE1619">
        <f t="shared" si="386"/>
        <v>0</v>
      </c>
      <c r="AF1619">
        <f t="shared" si="387"/>
        <v>0</v>
      </c>
      <c r="AG1619">
        <f t="shared" si="388"/>
        <v>0</v>
      </c>
    </row>
    <row r="1620" spans="1:33" x14ac:dyDescent="0.25">
      <c r="A1620" t="s">
        <v>2668</v>
      </c>
      <c r="B1620" t="s">
        <v>2669</v>
      </c>
      <c r="C1620">
        <v>168355</v>
      </c>
      <c r="D1620">
        <v>168355</v>
      </c>
      <c r="H1620">
        <v>0</v>
      </c>
      <c r="I1620">
        <v>20</v>
      </c>
      <c r="J1620">
        <v>10</v>
      </c>
      <c r="K1620">
        <v>0</v>
      </c>
      <c r="L1620">
        <v>10</v>
      </c>
      <c r="M1620">
        <v>40</v>
      </c>
      <c r="N1620" t="s">
        <v>20</v>
      </c>
      <c r="S1620">
        <f t="shared" si="377"/>
        <v>0</v>
      </c>
      <c r="T1620">
        <f t="shared" si="378"/>
        <v>3.3333333333333335</v>
      </c>
      <c r="U1620">
        <f t="shared" si="376"/>
        <v>1</v>
      </c>
      <c r="V1620">
        <f t="shared" si="379"/>
        <v>0</v>
      </c>
      <c r="W1620">
        <f t="shared" si="380"/>
        <v>1</v>
      </c>
      <c r="X1620">
        <f t="shared" si="389"/>
        <v>0</v>
      </c>
      <c r="Y1620">
        <f t="shared" si="390"/>
        <v>0</v>
      </c>
      <c r="Z1620">
        <f t="shared" si="381"/>
        <v>0</v>
      </c>
      <c r="AA1620">
        <f t="shared" si="382"/>
        <v>0</v>
      </c>
      <c r="AB1620">
        <f t="shared" si="383"/>
        <v>0</v>
      </c>
      <c r="AC1620">
        <f t="shared" si="384"/>
        <v>0</v>
      </c>
      <c r="AD1620" s="1">
        <f t="shared" si="385"/>
        <v>3.3333333333333335</v>
      </c>
      <c r="AE1620">
        <f t="shared" si="386"/>
        <v>5</v>
      </c>
      <c r="AF1620">
        <f t="shared" si="387"/>
        <v>0</v>
      </c>
      <c r="AG1620">
        <f t="shared" si="388"/>
        <v>10</v>
      </c>
    </row>
    <row r="1621" spans="1:33" x14ac:dyDescent="0.25">
      <c r="A1621" t="s">
        <v>2670</v>
      </c>
      <c r="B1621" t="s">
        <v>2671</v>
      </c>
      <c r="C1621">
        <v>166334</v>
      </c>
      <c r="D1621">
        <v>166334</v>
      </c>
      <c r="E1621">
        <v>0</v>
      </c>
      <c r="F1621">
        <v>10</v>
      </c>
      <c r="G1621">
        <v>10</v>
      </c>
      <c r="O1621">
        <v>20</v>
      </c>
      <c r="S1621">
        <f t="shared" si="377"/>
        <v>1.25</v>
      </c>
      <c r="T1621">
        <f t="shared" si="378"/>
        <v>0</v>
      </c>
      <c r="U1621">
        <f t="shared" si="376"/>
        <v>1</v>
      </c>
      <c r="V1621">
        <f t="shared" si="379"/>
        <v>1</v>
      </c>
      <c r="W1621">
        <f t="shared" si="380"/>
        <v>0</v>
      </c>
      <c r="X1621">
        <f t="shared" si="389"/>
        <v>0</v>
      </c>
      <c r="Y1621">
        <f t="shared" si="390"/>
        <v>0</v>
      </c>
      <c r="Z1621">
        <f t="shared" si="381"/>
        <v>0</v>
      </c>
      <c r="AA1621">
        <f t="shared" si="382"/>
        <v>2.5</v>
      </c>
      <c r="AB1621">
        <f t="shared" si="383"/>
        <v>1.4285714285714286</v>
      </c>
      <c r="AC1621">
        <f t="shared" si="384"/>
        <v>0</v>
      </c>
      <c r="AD1621" s="1">
        <f t="shared" si="385"/>
        <v>0</v>
      </c>
      <c r="AE1621">
        <f t="shared" si="386"/>
        <v>0</v>
      </c>
      <c r="AF1621">
        <f t="shared" si="387"/>
        <v>0</v>
      </c>
      <c r="AG1621">
        <f t="shared" si="388"/>
        <v>0</v>
      </c>
    </row>
    <row r="1622" spans="1:33" x14ac:dyDescent="0.25">
      <c r="A1622" t="s">
        <v>2672</v>
      </c>
      <c r="B1622" t="s">
        <v>2673</v>
      </c>
      <c r="C1622">
        <v>168191</v>
      </c>
      <c r="D1622">
        <v>168191</v>
      </c>
      <c r="E1622">
        <v>20</v>
      </c>
      <c r="F1622">
        <v>20</v>
      </c>
      <c r="G1622">
        <v>0</v>
      </c>
      <c r="O1622">
        <v>40</v>
      </c>
      <c r="S1622">
        <f t="shared" si="377"/>
        <v>2.5</v>
      </c>
      <c r="T1622">
        <f t="shared" si="378"/>
        <v>0</v>
      </c>
      <c r="U1622">
        <f t="shared" si="376"/>
        <v>1</v>
      </c>
      <c r="V1622">
        <f t="shared" si="379"/>
        <v>1</v>
      </c>
      <c r="W1622">
        <f t="shared" si="380"/>
        <v>0</v>
      </c>
      <c r="X1622">
        <f t="shared" si="389"/>
        <v>0</v>
      </c>
      <c r="Y1622">
        <f t="shared" si="390"/>
        <v>0</v>
      </c>
      <c r="Z1622">
        <f t="shared" si="381"/>
        <v>4</v>
      </c>
      <c r="AA1622">
        <f t="shared" si="382"/>
        <v>5</v>
      </c>
      <c r="AB1622">
        <f t="shared" si="383"/>
        <v>0</v>
      </c>
      <c r="AC1622">
        <f t="shared" si="384"/>
        <v>0</v>
      </c>
      <c r="AD1622" s="1">
        <f t="shared" si="385"/>
        <v>0</v>
      </c>
      <c r="AE1622">
        <f t="shared" si="386"/>
        <v>0</v>
      </c>
      <c r="AF1622">
        <f t="shared" si="387"/>
        <v>0</v>
      </c>
      <c r="AG1622">
        <f t="shared" si="388"/>
        <v>0</v>
      </c>
    </row>
    <row r="1623" spans="1:33" x14ac:dyDescent="0.25">
      <c r="A1623" t="s">
        <v>2674</v>
      </c>
      <c r="B1623" t="s">
        <v>2675</v>
      </c>
      <c r="C1623">
        <v>163915</v>
      </c>
      <c r="D1623">
        <v>163915</v>
      </c>
      <c r="S1623">
        <f t="shared" si="377"/>
        <v>0</v>
      </c>
      <c r="T1623">
        <f t="shared" si="378"/>
        <v>0</v>
      </c>
      <c r="U1623">
        <f t="shared" si="376"/>
        <v>0</v>
      </c>
      <c r="V1623">
        <f t="shared" si="379"/>
        <v>0</v>
      </c>
      <c r="W1623">
        <f t="shared" si="380"/>
        <v>0</v>
      </c>
      <c r="X1623">
        <f t="shared" si="389"/>
        <v>0</v>
      </c>
      <c r="Y1623">
        <f t="shared" si="390"/>
        <v>0</v>
      </c>
      <c r="Z1623">
        <f t="shared" si="381"/>
        <v>0</v>
      </c>
      <c r="AA1623">
        <f t="shared" si="382"/>
        <v>0</v>
      </c>
      <c r="AB1623">
        <f t="shared" si="383"/>
        <v>0</v>
      </c>
      <c r="AC1623">
        <f t="shared" si="384"/>
        <v>0</v>
      </c>
      <c r="AD1623" s="1">
        <f t="shared" si="385"/>
        <v>0</v>
      </c>
      <c r="AE1623">
        <f t="shared" si="386"/>
        <v>0</v>
      </c>
      <c r="AF1623">
        <f t="shared" si="387"/>
        <v>0</v>
      </c>
      <c r="AG1623">
        <f t="shared" si="388"/>
        <v>0</v>
      </c>
    </row>
    <row r="1624" spans="1:33" x14ac:dyDescent="0.25">
      <c r="A1624" t="s">
        <v>2676</v>
      </c>
      <c r="B1624" t="s">
        <v>958</v>
      </c>
      <c r="C1624">
        <v>168560</v>
      </c>
      <c r="D1624">
        <v>168560</v>
      </c>
      <c r="E1624">
        <v>30</v>
      </c>
      <c r="F1624">
        <v>40</v>
      </c>
      <c r="G1624">
        <v>40</v>
      </c>
      <c r="O1624">
        <v>110</v>
      </c>
      <c r="S1624">
        <f t="shared" si="377"/>
        <v>6.875</v>
      </c>
      <c r="T1624">
        <f t="shared" si="378"/>
        <v>0</v>
      </c>
      <c r="U1624">
        <f t="shared" si="376"/>
        <v>1</v>
      </c>
      <c r="V1624">
        <f t="shared" si="379"/>
        <v>1</v>
      </c>
      <c r="W1624">
        <f t="shared" si="380"/>
        <v>0</v>
      </c>
      <c r="X1624">
        <f t="shared" si="389"/>
        <v>1</v>
      </c>
      <c r="Y1624">
        <f t="shared" si="390"/>
        <v>0</v>
      </c>
      <c r="Z1624">
        <f t="shared" si="381"/>
        <v>6</v>
      </c>
      <c r="AA1624">
        <f t="shared" si="382"/>
        <v>10</v>
      </c>
      <c r="AB1624">
        <f t="shared" si="383"/>
        <v>5.7142857142857144</v>
      </c>
      <c r="AC1624">
        <f t="shared" si="384"/>
        <v>0</v>
      </c>
      <c r="AD1624" s="1">
        <f t="shared" si="385"/>
        <v>0</v>
      </c>
      <c r="AE1624">
        <f t="shared" si="386"/>
        <v>0</v>
      </c>
      <c r="AF1624">
        <f t="shared" si="387"/>
        <v>0</v>
      </c>
      <c r="AG1624">
        <f t="shared" si="388"/>
        <v>0</v>
      </c>
    </row>
    <row r="1625" spans="1:33" x14ac:dyDescent="0.25">
      <c r="A1625" t="s">
        <v>2677</v>
      </c>
      <c r="B1625" t="s">
        <v>2678</v>
      </c>
      <c r="C1625">
        <v>168805</v>
      </c>
      <c r="D1625">
        <v>168805</v>
      </c>
      <c r="E1625">
        <v>20</v>
      </c>
      <c r="F1625">
        <v>10</v>
      </c>
      <c r="G1625">
        <v>50</v>
      </c>
      <c r="O1625">
        <v>80</v>
      </c>
      <c r="S1625">
        <f t="shared" si="377"/>
        <v>5</v>
      </c>
      <c r="T1625">
        <f t="shared" si="378"/>
        <v>0</v>
      </c>
      <c r="U1625">
        <f t="shared" si="376"/>
        <v>1</v>
      </c>
      <c r="V1625">
        <f t="shared" si="379"/>
        <v>1</v>
      </c>
      <c r="W1625">
        <f t="shared" si="380"/>
        <v>0</v>
      </c>
      <c r="X1625">
        <f t="shared" si="389"/>
        <v>0</v>
      </c>
      <c r="Y1625">
        <f t="shared" si="390"/>
        <v>0</v>
      </c>
      <c r="Z1625">
        <f t="shared" si="381"/>
        <v>4</v>
      </c>
      <c r="AA1625">
        <f t="shared" si="382"/>
        <v>2.5</v>
      </c>
      <c r="AB1625">
        <f t="shared" si="383"/>
        <v>7.1428571428571432</v>
      </c>
      <c r="AC1625">
        <f t="shared" si="384"/>
        <v>0</v>
      </c>
      <c r="AD1625" s="1">
        <f t="shared" si="385"/>
        <v>0</v>
      </c>
      <c r="AE1625">
        <f t="shared" si="386"/>
        <v>0</v>
      </c>
      <c r="AF1625">
        <f t="shared" si="387"/>
        <v>0</v>
      </c>
      <c r="AG1625">
        <f t="shared" si="388"/>
        <v>0</v>
      </c>
    </row>
    <row r="1626" spans="1:33" x14ac:dyDescent="0.25">
      <c r="A1626" t="s">
        <v>2679</v>
      </c>
      <c r="B1626" t="s">
        <v>2680</v>
      </c>
      <c r="C1626">
        <v>167105</v>
      </c>
      <c r="D1626">
        <v>167105</v>
      </c>
      <c r="H1626">
        <v>10</v>
      </c>
      <c r="I1626">
        <v>40</v>
      </c>
      <c r="J1626">
        <v>20</v>
      </c>
      <c r="K1626">
        <v>10</v>
      </c>
      <c r="L1626">
        <v>10</v>
      </c>
      <c r="M1626">
        <v>90</v>
      </c>
      <c r="R1626" t="s">
        <v>20</v>
      </c>
      <c r="S1626">
        <f t="shared" si="377"/>
        <v>0</v>
      </c>
      <c r="T1626">
        <f t="shared" si="378"/>
        <v>7.5</v>
      </c>
      <c r="U1626">
        <f t="shared" si="376"/>
        <v>1</v>
      </c>
      <c r="V1626">
        <f t="shared" si="379"/>
        <v>0</v>
      </c>
      <c r="W1626">
        <f t="shared" si="380"/>
        <v>1</v>
      </c>
      <c r="X1626">
        <f t="shared" si="389"/>
        <v>0</v>
      </c>
      <c r="Y1626">
        <f t="shared" si="390"/>
        <v>1</v>
      </c>
      <c r="Z1626">
        <f t="shared" si="381"/>
        <v>0</v>
      </c>
      <c r="AA1626">
        <f t="shared" si="382"/>
        <v>0</v>
      </c>
      <c r="AB1626">
        <f t="shared" si="383"/>
        <v>0</v>
      </c>
      <c r="AC1626">
        <f t="shared" si="384"/>
        <v>5</v>
      </c>
      <c r="AD1626" s="1">
        <f t="shared" si="385"/>
        <v>6.666666666666667</v>
      </c>
      <c r="AE1626">
        <f t="shared" si="386"/>
        <v>10</v>
      </c>
      <c r="AF1626">
        <f t="shared" si="387"/>
        <v>10</v>
      </c>
      <c r="AG1626">
        <f t="shared" si="388"/>
        <v>10</v>
      </c>
    </row>
    <row r="1627" spans="1:33" x14ac:dyDescent="0.25">
      <c r="A1627" t="s">
        <v>2681</v>
      </c>
      <c r="B1627" t="s">
        <v>2682</v>
      </c>
      <c r="C1627">
        <v>168683</v>
      </c>
      <c r="D1627">
        <v>168683</v>
      </c>
      <c r="E1627">
        <v>10</v>
      </c>
      <c r="F1627">
        <v>10</v>
      </c>
      <c r="G1627">
        <v>30</v>
      </c>
      <c r="O1627">
        <v>50</v>
      </c>
      <c r="S1627">
        <f t="shared" si="377"/>
        <v>3.125</v>
      </c>
      <c r="T1627">
        <f t="shared" si="378"/>
        <v>0</v>
      </c>
      <c r="U1627">
        <f t="shared" si="376"/>
        <v>1</v>
      </c>
      <c r="V1627">
        <f t="shared" si="379"/>
        <v>1</v>
      </c>
      <c r="W1627">
        <f t="shared" si="380"/>
        <v>0</v>
      </c>
      <c r="X1627">
        <f t="shared" si="389"/>
        <v>0</v>
      </c>
      <c r="Y1627">
        <f t="shared" si="390"/>
        <v>0</v>
      </c>
      <c r="Z1627">
        <f t="shared" si="381"/>
        <v>2</v>
      </c>
      <c r="AA1627">
        <f t="shared" si="382"/>
        <v>2.5</v>
      </c>
      <c r="AB1627">
        <f t="shared" si="383"/>
        <v>4.2857142857142856</v>
      </c>
      <c r="AC1627">
        <f t="shared" si="384"/>
        <v>0</v>
      </c>
      <c r="AD1627" s="1">
        <f t="shared" si="385"/>
        <v>0</v>
      </c>
      <c r="AE1627">
        <f t="shared" si="386"/>
        <v>0</v>
      </c>
      <c r="AF1627">
        <f t="shared" si="387"/>
        <v>0</v>
      </c>
      <c r="AG1627">
        <f t="shared" si="388"/>
        <v>0</v>
      </c>
    </row>
    <row r="1628" spans="1:33" x14ac:dyDescent="0.25">
      <c r="A1628" t="s">
        <v>2683</v>
      </c>
      <c r="B1628" t="s">
        <v>2684</v>
      </c>
      <c r="C1628">
        <v>165984</v>
      </c>
      <c r="D1628">
        <v>165984</v>
      </c>
      <c r="E1628">
        <v>40</v>
      </c>
      <c r="F1628">
        <v>40</v>
      </c>
      <c r="G1628">
        <v>20</v>
      </c>
      <c r="O1628">
        <v>100</v>
      </c>
      <c r="S1628">
        <f t="shared" si="377"/>
        <v>6.25</v>
      </c>
      <c r="T1628">
        <f t="shared" si="378"/>
        <v>0</v>
      </c>
      <c r="U1628">
        <f t="shared" si="376"/>
        <v>1</v>
      </c>
      <c r="V1628">
        <f t="shared" si="379"/>
        <v>1</v>
      </c>
      <c r="W1628">
        <f t="shared" si="380"/>
        <v>0</v>
      </c>
      <c r="X1628">
        <f t="shared" si="389"/>
        <v>1</v>
      </c>
      <c r="Y1628">
        <f t="shared" si="390"/>
        <v>0</v>
      </c>
      <c r="Z1628">
        <f t="shared" si="381"/>
        <v>8</v>
      </c>
      <c r="AA1628">
        <f t="shared" si="382"/>
        <v>10</v>
      </c>
      <c r="AB1628">
        <f t="shared" si="383"/>
        <v>2.8571428571428572</v>
      </c>
      <c r="AC1628">
        <f t="shared" si="384"/>
        <v>0</v>
      </c>
      <c r="AD1628" s="1">
        <f t="shared" si="385"/>
        <v>0</v>
      </c>
      <c r="AE1628">
        <f t="shared" si="386"/>
        <v>0</v>
      </c>
      <c r="AF1628">
        <f t="shared" si="387"/>
        <v>0</v>
      </c>
      <c r="AG1628">
        <f t="shared" si="388"/>
        <v>0</v>
      </c>
    </row>
    <row r="1629" spans="1:33" x14ac:dyDescent="0.25">
      <c r="A1629" t="s">
        <v>2685</v>
      </c>
      <c r="B1629" t="s">
        <v>2686</v>
      </c>
      <c r="C1629">
        <v>165261</v>
      </c>
      <c r="D1629">
        <v>165261</v>
      </c>
      <c r="E1629">
        <v>30</v>
      </c>
      <c r="F1629">
        <v>30</v>
      </c>
      <c r="G1629">
        <v>30</v>
      </c>
      <c r="O1629">
        <v>90</v>
      </c>
      <c r="S1629">
        <f t="shared" si="377"/>
        <v>5.625</v>
      </c>
      <c r="T1629">
        <f t="shared" si="378"/>
        <v>0</v>
      </c>
      <c r="U1629">
        <f t="shared" si="376"/>
        <v>1</v>
      </c>
      <c r="V1629">
        <f t="shared" si="379"/>
        <v>1</v>
      </c>
      <c r="W1629">
        <f t="shared" si="380"/>
        <v>0</v>
      </c>
      <c r="X1629">
        <f t="shared" si="389"/>
        <v>0</v>
      </c>
      <c r="Y1629">
        <f t="shared" si="390"/>
        <v>0</v>
      </c>
      <c r="Z1629">
        <f t="shared" si="381"/>
        <v>6</v>
      </c>
      <c r="AA1629">
        <f t="shared" si="382"/>
        <v>7.5</v>
      </c>
      <c r="AB1629">
        <f t="shared" si="383"/>
        <v>4.2857142857142856</v>
      </c>
      <c r="AC1629">
        <f t="shared" si="384"/>
        <v>0</v>
      </c>
      <c r="AD1629" s="1">
        <f t="shared" si="385"/>
        <v>0</v>
      </c>
      <c r="AE1629">
        <f t="shared" si="386"/>
        <v>0</v>
      </c>
      <c r="AF1629">
        <f t="shared" si="387"/>
        <v>0</v>
      </c>
      <c r="AG1629">
        <f t="shared" si="388"/>
        <v>0</v>
      </c>
    </row>
    <row r="1630" spans="1:33" x14ac:dyDescent="0.25">
      <c r="A1630" t="s">
        <v>2687</v>
      </c>
      <c r="B1630" t="s">
        <v>232</v>
      </c>
      <c r="C1630">
        <v>166932</v>
      </c>
      <c r="D1630">
        <v>166932</v>
      </c>
      <c r="S1630">
        <f t="shared" si="377"/>
        <v>0</v>
      </c>
      <c r="T1630">
        <f t="shared" si="378"/>
        <v>0</v>
      </c>
      <c r="U1630">
        <f t="shared" si="376"/>
        <v>0</v>
      </c>
      <c r="V1630">
        <f t="shared" si="379"/>
        <v>0</v>
      </c>
      <c r="W1630">
        <f t="shared" si="380"/>
        <v>0</v>
      </c>
      <c r="X1630">
        <f t="shared" si="389"/>
        <v>0</v>
      </c>
      <c r="Y1630">
        <f t="shared" si="390"/>
        <v>0</v>
      </c>
      <c r="Z1630">
        <f t="shared" si="381"/>
        <v>0</v>
      </c>
      <c r="AA1630">
        <f t="shared" si="382"/>
        <v>0</v>
      </c>
      <c r="AB1630">
        <f t="shared" si="383"/>
        <v>0</v>
      </c>
      <c r="AC1630">
        <f t="shared" si="384"/>
        <v>0</v>
      </c>
      <c r="AD1630" s="1">
        <f t="shared" si="385"/>
        <v>0</v>
      </c>
      <c r="AE1630">
        <f t="shared" si="386"/>
        <v>0</v>
      </c>
      <c r="AF1630">
        <f t="shared" si="387"/>
        <v>0</v>
      </c>
      <c r="AG1630">
        <f t="shared" si="388"/>
        <v>0</v>
      </c>
    </row>
    <row r="1631" spans="1:33" x14ac:dyDescent="0.25">
      <c r="A1631" t="s">
        <v>2688</v>
      </c>
      <c r="B1631" t="s">
        <v>286</v>
      </c>
      <c r="C1631">
        <v>164385</v>
      </c>
      <c r="D1631">
        <v>164385</v>
      </c>
      <c r="E1631">
        <v>20</v>
      </c>
      <c r="F1631">
        <v>30</v>
      </c>
      <c r="G1631">
        <v>40</v>
      </c>
      <c r="O1631">
        <v>90</v>
      </c>
      <c r="S1631">
        <f t="shared" si="377"/>
        <v>5.625</v>
      </c>
      <c r="T1631">
        <f t="shared" si="378"/>
        <v>0</v>
      </c>
      <c r="U1631">
        <f t="shared" si="376"/>
        <v>1</v>
      </c>
      <c r="V1631">
        <f t="shared" si="379"/>
        <v>1</v>
      </c>
      <c r="W1631">
        <f t="shared" si="380"/>
        <v>0</v>
      </c>
      <c r="X1631">
        <f t="shared" si="389"/>
        <v>0</v>
      </c>
      <c r="Y1631">
        <f t="shared" si="390"/>
        <v>0</v>
      </c>
      <c r="Z1631">
        <f t="shared" si="381"/>
        <v>4</v>
      </c>
      <c r="AA1631">
        <f t="shared" si="382"/>
        <v>7.5</v>
      </c>
      <c r="AB1631">
        <f t="shared" si="383"/>
        <v>5.7142857142857144</v>
      </c>
      <c r="AC1631">
        <f t="shared" si="384"/>
        <v>0</v>
      </c>
      <c r="AD1631" s="1">
        <f t="shared" si="385"/>
        <v>0</v>
      </c>
      <c r="AE1631">
        <f t="shared" si="386"/>
        <v>0</v>
      </c>
      <c r="AF1631">
        <f t="shared" si="387"/>
        <v>0</v>
      </c>
      <c r="AG1631">
        <f t="shared" si="388"/>
        <v>0</v>
      </c>
    </row>
    <row r="1632" spans="1:33" x14ac:dyDescent="0.25">
      <c r="A1632" t="s">
        <v>2689</v>
      </c>
      <c r="B1632" t="s">
        <v>158</v>
      </c>
      <c r="C1632">
        <v>165300</v>
      </c>
      <c r="D1632">
        <v>165300</v>
      </c>
      <c r="E1632">
        <v>0</v>
      </c>
      <c r="F1632">
        <v>20</v>
      </c>
      <c r="G1632">
        <v>20</v>
      </c>
      <c r="O1632">
        <v>40</v>
      </c>
      <c r="S1632">
        <f t="shared" si="377"/>
        <v>2.5</v>
      </c>
      <c r="T1632">
        <f t="shared" si="378"/>
        <v>0</v>
      </c>
      <c r="U1632">
        <f t="shared" si="376"/>
        <v>1</v>
      </c>
      <c r="V1632">
        <f t="shared" si="379"/>
        <v>1</v>
      </c>
      <c r="W1632">
        <f t="shared" si="380"/>
        <v>0</v>
      </c>
      <c r="X1632">
        <f t="shared" si="389"/>
        <v>0</v>
      </c>
      <c r="Y1632">
        <f t="shared" si="390"/>
        <v>0</v>
      </c>
      <c r="Z1632">
        <f t="shared" si="381"/>
        <v>0</v>
      </c>
      <c r="AA1632">
        <f t="shared" si="382"/>
        <v>5</v>
      </c>
      <c r="AB1632">
        <f t="shared" si="383"/>
        <v>2.8571428571428572</v>
      </c>
      <c r="AC1632">
        <f t="shared" si="384"/>
        <v>0</v>
      </c>
      <c r="AD1632" s="1">
        <f t="shared" si="385"/>
        <v>0</v>
      </c>
      <c r="AE1632">
        <f t="shared" si="386"/>
        <v>0</v>
      </c>
      <c r="AF1632">
        <f t="shared" si="387"/>
        <v>0</v>
      </c>
      <c r="AG1632">
        <f t="shared" si="388"/>
        <v>0</v>
      </c>
    </row>
    <row r="1633" spans="1:33" x14ac:dyDescent="0.25">
      <c r="A1633" t="s">
        <v>2690</v>
      </c>
      <c r="B1633" t="s">
        <v>2691</v>
      </c>
      <c r="C1633">
        <v>168761</v>
      </c>
      <c r="D1633">
        <v>168761</v>
      </c>
      <c r="E1633">
        <v>10</v>
      </c>
      <c r="F1633">
        <v>20</v>
      </c>
      <c r="G1633">
        <v>20</v>
      </c>
      <c r="O1633">
        <v>50</v>
      </c>
      <c r="S1633">
        <f t="shared" si="377"/>
        <v>3.125</v>
      </c>
      <c r="T1633">
        <f t="shared" si="378"/>
        <v>0</v>
      </c>
      <c r="U1633">
        <f t="shared" si="376"/>
        <v>1</v>
      </c>
      <c r="V1633">
        <f t="shared" si="379"/>
        <v>1</v>
      </c>
      <c r="W1633">
        <f t="shared" si="380"/>
        <v>0</v>
      </c>
      <c r="X1633">
        <f t="shared" si="389"/>
        <v>0</v>
      </c>
      <c r="Y1633">
        <f t="shared" si="390"/>
        <v>0</v>
      </c>
      <c r="Z1633">
        <f t="shared" si="381"/>
        <v>2</v>
      </c>
      <c r="AA1633">
        <f t="shared" si="382"/>
        <v>5</v>
      </c>
      <c r="AB1633">
        <f t="shared" si="383"/>
        <v>2.8571428571428572</v>
      </c>
      <c r="AC1633">
        <f t="shared" si="384"/>
        <v>0</v>
      </c>
      <c r="AD1633" s="1">
        <f t="shared" si="385"/>
        <v>0</v>
      </c>
      <c r="AE1633">
        <f t="shared" si="386"/>
        <v>0</v>
      </c>
      <c r="AF1633">
        <f t="shared" si="387"/>
        <v>0</v>
      </c>
      <c r="AG1633">
        <f t="shared" si="388"/>
        <v>0</v>
      </c>
    </row>
    <row r="1634" spans="1:33" x14ac:dyDescent="0.25">
      <c r="A1634" t="s">
        <v>2692</v>
      </c>
      <c r="B1634" t="s">
        <v>1499</v>
      </c>
      <c r="C1634">
        <v>166098</v>
      </c>
      <c r="D1634">
        <v>166098</v>
      </c>
      <c r="H1634">
        <v>10</v>
      </c>
      <c r="I1634">
        <v>40</v>
      </c>
      <c r="J1634">
        <v>10</v>
      </c>
      <c r="K1634">
        <v>10</v>
      </c>
      <c r="L1634">
        <v>10</v>
      </c>
      <c r="M1634">
        <v>80</v>
      </c>
      <c r="S1634">
        <f t="shared" si="377"/>
        <v>0</v>
      </c>
      <c r="T1634">
        <f t="shared" si="378"/>
        <v>6.666666666666667</v>
      </c>
      <c r="U1634">
        <f t="shared" si="376"/>
        <v>1</v>
      </c>
      <c r="V1634">
        <f t="shared" si="379"/>
        <v>0</v>
      </c>
      <c r="W1634">
        <f t="shared" si="380"/>
        <v>1</v>
      </c>
      <c r="X1634">
        <f t="shared" si="389"/>
        <v>0</v>
      </c>
      <c r="Y1634">
        <f t="shared" si="390"/>
        <v>1</v>
      </c>
      <c r="Z1634">
        <f t="shared" si="381"/>
        <v>0</v>
      </c>
      <c r="AA1634">
        <f t="shared" si="382"/>
        <v>0</v>
      </c>
      <c r="AB1634">
        <f t="shared" si="383"/>
        <v>0</v>
      </c>
      <c r="AC1634">
        <f t="shared" si="384"/>
        <v>5</v>
      </c>
      <c r="AD1634" s="1">
        <f t="shared" si="385"/>
        <v>6.666666666666667</v>
      </c>
      <c r="AE1634">
        <f t="shared" si="386"/>
        <v>5</v>
      </c>
      <c r="AF1634">
        <f t="shared" si="387"/>
        <v>10</v>
      </c>
      <c r="AG1634">
        <f t="shared" si="388"/>
        <v>10</v>
      </c>
    </row>
    <row r="1635" spans="1:33" x14ac:dyDescent="0.25">
      <c r="A1635" t="s">
        <v>2693</v>
      </c>
      <c r="B1635" t="s">
        <v>828</v>
      </c>
      <c r="C1635">
        <v>168095</v>
      </c>
      <c r="D1635">
        <v>168095</v>
      </c>
      <c r="S1635">
        <f t="shared" si="377"/>
        <v>0</v>
      </c>
      <c r="T1635">
        <f t="shared" si="378"/>
        <v>0</v>
      </c>
      <c r="U1635">
        <f t="shared" si="376"/>
        <v>0</v>
      </c>
      <c r="V1635">
        <f t="shared" si="379"/>
        <v>0</v>
      </c>
      <c r="W1635">
        <f t="shared" si="380"/>
        <v>0</v>
      </c>
      <c r="X1635">
        <f t="shared" si="389"/>
        <v>0</v>
      </c>
      <c r="Y1635">
        <f t="shared" si="390"/>
        <v>0</v>
      </c>
      <c r="Z1635">
        <f t="shared" si="381"/>
        <v>0</v>
      </c>
      <c r="AA1635">
        <f t="shared" si="382"/>
        <v>0</v>
      </c>
      <c r="AB1635">
        <f t="shared" si="383"/>
        <v>0</v>
      </c>
      <c r="AC1635">
        <f t="shared" si="384"/>
        <v>0</v>
      </c>
      <c r="AD1635" s="1">
        <f t="shared" si="385"/>
        <v>0</v>
      </c>
      <c r="AE1635">
        <f t="shared" si="386"/>
        <v>0</v>
      </c>
      <c r="AF1635">
        <f t="shared" si="387"/>
        <v>0</v>
      </c>
      <c r="AG1635">
        <f t="shared" si="388"/>
        <v>0</v>
      </c>
    </row>
    <row r="1636" spans="1:33" x14ac:dyDescent="0.25">
      <c r="A1636" t="s">
        <v>2694</v>
      </c>
      <c r="B1636" t="s">
        <v>551</v>
      </c>
      <c r="C1636">
        <v>165620</v>
      </c>
      <c r="D1636">
        <v>165620</v>
      </c>
      <c r="E1636">
        <v>30</v>
      </c>
      <c r="F1636">
        <v>20</v>
      </c>
      <c r="G1636">
        <v>50</v>
      </c>
      <c r="O1636">
        <v>100</v>
      </c>
      <c r="S1636">
        <f t="shared" si="377"/>
        <v>6.25</v>
      </c>
      <c r="T1636">
        <f t="shared" si="378"/>
        <v>0</v>
      </c>
      <c r="U1636">
        <f t="shared" si="376"/>
        <v>1</v>
      </c>
      <c r="V1636">
        <f t="shared" si="379"/>
        <v>1</v>
      </c>
      <c r="W1636">
        <f t="shared" si="380"/>
        <v>0</v>
      </c>
      <c r="X1636">
        <f t="shared" si="389"/>
        <v>1</v>
      </c>
      <c r="Y1636">
        <f t="shared" si="390"/>
        <v>0</v>
      </c>
      <c r="Z1636">
        <f t="shared" si="381"/>
        <v>6</v>
      </c>
      <c r="AA1636">
        <f t="shared" si="382"/>
        <v>5</v>
      </c>
      <c r="AB1636">
        <f t="shared" si="383"/>
        <v>7.1428571428571432</v>
      </c>
      <c r="AC1636">
        <f t="shared" si="384"/>
        <v>0</v>
      </c>
      <c r="AD1636" s="1">
        <f t="shared" si="385"/>
        <v>0</v>
      </c>
      <c r="AE1636">
        <f t="shared" si="386"/>
        <v>0</v>
      </c>
      <c r="AF1636">
        <f t="shared" si="387"/>
        <v>0</v>
      </c>
      <c r="AG1636">
        <f t="shared" si="388"/>
        <v>0</v>
      </c>
    </row>
    <row r="1637" spans="1:33" x14ac:dyDescent="0.25">
      <c r="A1637" t="s">
        <v>2695</v>
      </c>
      <c r="B1637" t="s">
        <v>2696</v>
      </c>
      <c r="C1637">
        <v>167544</v>
      </c>
      <c r="D1637">
        <v>167544</v>
      </c>
      <c r="H1637">
        <v>0</v>
      </c>
      <c r="I1637">
        <v>40</v>
      </c>
      <c r="J1637">
        <v>0</v>
      </c>
      <c r="K1637">
        <v>10</v>
      </c>
      <c r="L1637">
        <v>0</v>
      </c>
      <c r="M1637">
        <v>50</v>
      </c>
      <c r="S1637">
        <f t="shared" si="377"/>
        <v>0</v>
      </c>
      <c r="T1637">
        <f t="shared" si="378"/>
        <v>4.166666666666667</v>
      </c>
      <c r="U1637">
        <f t="shared" si="376"/>
        <v>1</v>
      </c>
      <c r="V1637">
        <f t="shared" si="379"/>
        <v>0</v>
      </c>
      <c r="W1637">
        <f t="shared" si="380"/>
        <v>1</v>
      </c>
      <c r="X1637">
        <f t="shared" si="389"/>
        <v>0</v>
      </c>
      <c r="Y1637">
        <f t="shared" si="390"/>
        <v>0</v>
      </c>
      <c r="Z1637">
        <f t="shared" si="381"/>
        <v>0</v>
      </c>
      <c r="AA1637">
        <f t="shared" si="382"/>
        <v>0</v>
      </c>
      <c r="AB1637">
        <f t="shared" si="383"/>
        <v>0</v>
      </c>
      <c r="AC1637">
        <f t="shared" si="384"/>
        <v>0</v>
      </c>
      <c r="AD1637" s="1">
        <f t="shared" si="385"/>
        <v>6.666666666666667</v>
      </c>
      <c r="AE1637">
        <f t="shared" si="386"/>
        <v>0</v>
      </c>
      <c r="AF1637">
        <f t="shared" si="387"/>
        <v>10</v>
      </c>
      <c r="AG1637">
        <f t="shared" si="388"/>
        <v>0</v>
      </c>
    </row>
    <row r="1638" spans="1:33" x14ac:dyDescent="0.25">
      <c r="A1638" t="s">
        <v>2697</v>
      </c>
      <c r="B1638" t="s">
        <v>529</v>
      </c>
      <c r="C1638">
        <v>166010</v>
      </c>
      <c r="D1638">
        <v>166010</v>
      </c>
      <c r="H1638">
        <v>20</v>
      </c>
      <c r="I1638">
        <v>0</v>
      </c>
      <c r="J1638">
        <v>10</v>
      </c>
      <c r="K1638">
        <v>10</v>
      </c>
      <c r="L1638">
        <v>10</v>
      </c>
      <c r="M1638">
        <v>50</v>
      </c>
      <c r="S1638">
        <f t="shared" si="377"/>
        <v>0</v>
      </c>
      <c r="T1638">
        <f t="shared" si="378"/>
        <v>4.166666666666667</v>
      </c>
      <c r="U1638">
        <f t="shared" si="376"/>
        <v>1</v>
      </c>
      <c r="V1638">
        <f t="shared" si="379"/>
        <v>0</v>
      </c>
      <c r="W1638">
        <f t="shared" si="380"/>
        <v>1</v>
      </c>
      <c r="X1638">
        <f t="shared" si="389"/>
        <v>0</v>
      </c>
      <c r="Y1638">
        <f t="shared" si="390"/>
        <v>0</v>
      </c>
      <c r="Z1638">
        <f t="shared" si="381"/>
        <v>0</v>
      </c>
      <c r="AA1638">
        <f t="shared" si="382"/>
        <v>0</v>
      </c>
      <c r="AB1638">
        <f t="shared" si="383"/>
        <v>0</v>
      </c>
      <c r="AC1638">
        <f t="shared" si="384"/>
        <v>10</v>
      </c>
      <c r="AD1638" s="1">
        <f t="shared" si="385"/>
        <v>0</v>
      </c>
      <c r="AE1638">
        <f t="shared" si="386"/>
        <v>5</v>
      </c>
      <c r="AF1638">
        <f t="shared" si="387"/>
        <v>10</v>
      </c>
      <c r="AG1638">
        <f t="shared" si="388"/>
        <v>10</v>
      </c>
    </row>
    <row r="1639" spans="1:33" x14ac:dyDescent="0.25">
      <c r="A1639" t="s">
        <v>2698</v>
      </c>
      <c r="B1639" t="s">
        <v>2699</v>
      </c>
      <c r="C1639">
        <v>163556</v>
      </c>
      <c r="D1639">
        <v>163556</v>
      </c>
      <c r="S1639">
        <f t="shared" si="377"/>
        <v>0</v>
      </c>
      <c r="T1639">
        <f t="shared" si="378"/>
        <v>0</v>
      </c>
      <c r="U1639">
        <f t="shared" si="376"/>
        <v>0</v>
      </c>
      <c r="V1639">
        <f t="shared" si="379"/>
        <v>0</v>
      </c>
      <c r="W1639">
        <f t="shared" si="380"/>
        <v>0</v>
      </c>
      <c r="X1639">
        <f t="shared" si="389"/>
        <v>0</v>
      </c>
      <c r="Y1639">
        <f t="shared" si="390"/>
        <v>0</v>
      </c>
      <c r="Z1639">
        <f t="shared" si="381"/>
        <v>0</v>
      </c>
      <c r="AA1639">
        <f t="shared" si="382"/>
        <v>0</v>
      </c>
      <c r="AB1639">
        <f t="shared" si="383"/>
        <v>0</v>
      </c>
      <c r="AC1639">
        <f t="shared" si="384"/>
        <v>0</v>
      </c>
      <c r="AD1639" s="1">
        <f t="shared" si="385"/>
        <v>0</v>
      </c>
      <c r="AE1639">
        <f t="shared" si="386"/>
        <v>0</v>
      </c>
      <c r="AF1639">
        <f t="shared" si="387"/>
        <v>0</v>
      </c>
      <c r="AG1639">
        <f t="shared" si="388"/>
        <v>0</v>
      </c>
    </row>
    <row r="1640" spans="1:33" x14ac:dyDescent="0.25">
      <c r="A1640" t="s">
        <v>2700</v>
      </c>
      <c r="B1640" t="s">
        <v>2518</v>
      </c>
      <c r="C1640">
        <v>168068</v>
      </c>
      <c r="D1640">
        <v>168068</v>
      </c>
      <c r="E1640">
        <v>30</v>
      </c>
      <c r="F1640">
        <v>20</v>
      </c>
      <c r="G1640">
        <v>10</v>
      </c>
      <c r="O1640">
        <v>60</v>
      </c>
      <c r="S1640">
        <f t="shared" si="377"/>
        <v>3.75</v>
      </c>
      <c r="T1640">
        <f t="shared" si="378"/>
        <v>0</v>
      </c>
      <c r="U1640">
        <f t="shared" si="376"/>
        <v>1</v>
      </c>
      <c r="V1640">
        <f t="shared" si="379"/>
        <v>1</v>
      </c>
      <c r="W1640">
        <f t="shared" si="380"/>
        <v>0</v>
      </c>
      <c r="X1640">
        <f t="shared" si="389"/>
        <v>0</v>
      </c>
      <c r="Y1640">
        <f t="shared" si="390"/>
        <v>0</v>
      </c>
      <c r="Z1640">
        <f t="shared" si="381"/>
        <v>6</v>
      </c>
      <c r="AA1640">
        <f t="shared" si="382"/>
        <v>5</v>
      </c>
      <c r="AB1640">
        <f t="shared" si="383"/>
        <v>1.4285714285714286</v>
      </c>
      <c r="AC1640">
        <f t="shared" si="384"/>
        <v>0</v>
      </c>
      <c r="AD1640" s="1">
        <f t="shared" si="385"/>
        <v>0</v>
      </c>
      <c r="AE1640">
        <f t="shared" si="386"/>
        <v>0</v>
      </c>
      <c r="AF1640">
        <f t="shared" si="387"/>
        <v>0</v>
      </c>
      <c r="AG1640">
        <f t="shared" si="388"/>
        <v>0</v>
      </c>
    </row>
    <row r="1641" spans="1:33" x14ac:dyDescent="0.25">
      <c r="A1641" t="s">
        <v>2701</v>
      </c>
      <c r="B1641" t="s">
        <v>130</v>
      </c>
      <c r="C1641">
        <v>165947</v>
      </c>
      <c r="D1641">
        <v>165947</v>
      </c>
      <c r="H1641">
        <v>10</v>
      </c>
      <c r="I1641">
        <v>50</v>
      </c>
      <c r="J1641">
        <v>10</v>
      </c>
      <c r="K1641">
        <v>10</v>
      </c>
      <c r="L1641">
        <v>0</v>
      </c>
      <c r="M1641">
        <v>80</v>
      </c>
      <c r="S1641">
        <f t="shared" si="377"/>
        <v>0</v>
      </c>
      <c r="T1641">
        <f t="shared" si="378"/>
        <v>6.666666666666667</v>
      </c>
      <c r="U1641">
        <f t="shared" si="376"/>
        <v>1</v>
      </c>
      <c r="V1641">
        <f t="shared" si="379"/>
        <v>0</v>
      </c>
      <c r="W1641">
        <f t="shared" si="380"/>
        <v>1</v>
      </c>
      <c r="X1641">
        <f t="shared" si="389"/>
        <v>0</v>
      </c>
      <c r="Y1641">
        <f t="shared" si="390"/>
        <v>1</v>
      </c>
      <c r="Z1641">
        <f t="shared" si="381"/>
        <v>0</v>
      </c>
      <c r="AA1641">
        <f t="shared" si="382"/>
        <v>0</v>
      </c>
      <c r="AB1641">
        <f t="shared" si="383"/>
        <v>0</v>
      </c>
      <c r="AC1641">
        <f t="shared" si="384"/>
        <v>5</v>
      </c>
      <c r="AD1641" s="1">
        <f t="shared" si="385"/>
        <v>8.3333333333333339</v>
      </c>
      <c r="AE1641">
        <f t="shared" si="386"/>
        <v>5</v>
      </c>
      <c r="AF1641">
        <f t="shared" si="387"/>
        <v>10</v>
      </c>
      <c r="AG1641">
        <f t="shared" si="388"/>
        <v>0</v>
      </c>
    </row>
    <row r="1642" spans="1:33" x14ac:dyDescent="0.25">
      <c r="A1642" t="s">
        <v>2702</v>
      </c>
      <c r="B1642" t="s">
        <v>2703</v>
      </c>
      <c r="C1642">
        <v>167402</v>
      </c>
      <c r="D1642">
        <v>167402</v>
      </c>
      <c r="H1642">
        <v>10</v>
      </c>
      <c r="I1642">
        <v>40</v>
      </c>
      <c r="J1642">
        <v>10</v>
      </c>
      <c r="K1642">
        <v>10</v>
      </c>
      <c r="L1642">
        <v>10</v>
      </c>
      <c r="M1642">
        <v>80</v>
      </c>
      <c r="S1642">
        <f t="shared" si="377"/>
        <v>0</v>
      </c>
      <c r="T1642">
        <f t="shared" si="378"/>
        <v>6.666666666666667</v>
      </c>
      <c r="U1642">
        <f t="shared" si="376"/>
        <v>1</v>
      </c>
      <c r="V1642">
        <f t="shared" si="379"/>
        <v>0</v>
      </c>
      <c r="W1642">
        <f t="shared" si="380"/>
        <v>1</v>
      </c>
      <c r="X1642">
        <f t="shared" si="389"/>
        <v>0</v>
      </c>
      <c r="Y1642">
        <f t="shared" si="390"/>
        <v>1</v>
      </c>
      <c r="Z1642">
        <f t="shared" si="381"/>
        <v>0</v>
      </c>
      <c r="AA1642">
        <f t="shared" si="382"/>
        <v>0</v>
      </c>
      <c r="AB1642">
        <f t="shared" si="383"/>
        <v>0</v>
      </c>
      <c r="AC1642">
        <f t="shared" si="384"/>
        <v>5</v>
      </c>
      <c r="AD1642" s="1">
        <f t="shared" si="385"/>
        <v>6.666666666666667</v>
      </c>
      <c r="AE1642">
        <f t="shared" si="386"/>
        <v>5</v>
      </c>
      <c r="AF1642">
        <f t="shared" si="387"/>
        <v>10</v>
      </c>
      <c r="AG1642">
        <f t="shared" si="388"/>
        <v>10</v>
      </c>
    </row>
    <row r="1643" spans="1:33" x14ac:dyDescent="0.25">
      <c r="A1643" t="s">
        <v>2704</v>
      </c>
      <c r="B1643" t="s">
        <v>1513</v>
      </c>
      <c r="C1643">
        <v>164855</v>
      </c>
      <c r="D1643">
        <v>164855</v>
      </c>
      <c r="S1643">
        <f t="shared" si="377"/>
        <v>0</v>
      </c>
      <c r="T1643">
        <f t="shared" si="378"/>
        <v>0</v>
      </c>
      <c r="U1643">
        <f t="shared" si="376"/>
        <v>0</v>
      </c>
      <c r="V1643">
        <f t="shared" si="379"/>
        <v>0</v>
      </c>
      <c r="W1643">
        <f t="shared" si="380"/>
        <v>0</v>
      </c>
      <c r="X1643">
        <f t="shared" si="389"/>
        <v>0</v>
      </c>
      <c r="Y1643">
        <f t="shared" si="390"/>
        <v>0</v>
      </c>
      <c r="Z1643">
        <f t="shared" si="381"/>
        <v>0</v>
      </c>
      <c r="AA1643">
        <f t="shared" si="382"/>
        <v>0</v>
      </c>
      <c r="AB1643">
        <f t="shared" si="383"/>
        <v>0</v>
      </c>
      <c r="AC1643">
        <f t="shared" si="384"/>
        <v>0</v>
      </c>
      <c r="AD1643" s="1">
        <f t="shared" si="385"/>
        <v>0</v>
      </c>
      <c r="AE1643">
        <f t="shared" si="386"/>
        <v>0</v>
      </c>
      <c r="AF1643">
        <f t="shared" si="387"/>
        <v>0</v>
      </c>
      <c r="AG1643">
        <f t="shared" si="388"/>
        <v>0</v>
      </c>
    </row>
    <row r="1644" spans="1:33" x14ac:dyDescent="0.25">
      <c r="A1644" t="s">
        <v>2705</v>
      </c>
      <c r="B1644" t="s">
        <v>2706</v>
      </c>
      <c r="C1644">
        <v>167470</v>
      </c>
      <c r="D1644">
        <v>167470</v>
      </c>
      <c r="E1644">
        <v>40</v>
      </c>
      <c r="F1644">
        <v>30</v>
      </c>
      <c r="G1644">
        <v>60</v>
      </c>
      <c r="O1644">
        <v>130</v>
      </c>
      <c r="S1644">
        <f t="shared" si="377"/>
        <v>8.125</v>
      </c>
      <c r="T1644">
        <f t="shared" si="378"/>
        <v>0</v>
      </c>
      <c r="U1644">
        <f t="shared" si="376"/>
        <v>1</v>
      </c>
      <c r="V1644">
        <f t="shared" si="379"/>
        <v>1</v>
      </c>
      <c r="W1644">
        <f t="shared" si="380"/>
        <v>0</v>
      </c>
      <c r="X1644">
        <f t="shared" si="389"/>
        <v>1</v>
      </c>
      <c r="Y1644">
        <f t="shared" si="390"/>
        <v>0</v>
      </c>
      <c r="Z1644">
        <f t="shared" si="381"/>
        <v>8</v>
      </c>
      <c r="AA1644">
        <f t="shared" si="382"/>
        <v>7.5</v>
      </c>
      <c r="AB1644">
        <f t="shared" si="383"/>
        <v>8.5714285714285712</v>
      </c>
      <c r="AC1644">
        <f t="shared" si="384"/>
        <v>0</v>
      </c>
      <c r="AD1644" s="1">
        <f t="shared" si="385"/>
        <v>0</v>
      </c>
      <c r="AE1644">
        <f t="shared" si="386"/>
        <v>0</v>
      </c>
      <c r="AF1644">
        <f t="shared" si="387"/>
        <v>0</v>
      </c>
      <c r="AG1644">
        <f t="shared" si="388"/>
        <v>0</v>
      </c>
    </row>
    <row r="1645" spans="1:33" x14ac:dyDescent="0.25">
      <c r="A1645" t="s">
        <v>2707</v>
      </c>
      <c r="B1645" t="s">
        <v>818</v>
      </c>
      <c r="C1645">
        <v>162101</v>
      </c>
      <c r="D1645">
        <v>162101</v>
      </c>
      <c r="S1645">
        <f t="shared" si="377"/>
        <v>0</v>
      </c>
      <c r="T1645">
        <f t="shared" si="378"/>
        <v>0</v>
      </c>
      <c r="U1645">
        <f t="shared" si="376"/>
        <v>0</v>
      </c>
      <c r="V1645">
        <f t="shared" si="379"/>
        <v>0</v>
      </c>
      <c r="W1645">
        <f t="shared" si="380"/>
        <v>0</v>
      </c>
      <c r="X1645">
        <f t="shared" si="389"/>
        <v>0</v>
      </c>
      <c r="Y1645">
        <f t="shared" si="390"/>
        <v>0</v>
      </c>
      <c r="Z1645">
        <f t="shared" si="381"/>
        <v>0</v>
      </c>
      <c r="AA1645">
        <f t="shared" si="382"/>
        <v>0</v>
      </c>
      <c r="AB1645">
        <f t="shared" si="383"/>
        <v>0</v>
      </c>
      <c r="AC1645">
        <f t="shared" si="384"/>
        <v>0</v>
      </c>
      <c r="AD1645" s="1">
        <f t="shared" si="385"/>
        <v>0</v>
      </c>
      <c r="AE1645">
        <f t="shared" si="386"/>
        <v>0</v>
      </c>
      <c r="AF1645">
        <f t="shared" si="387"/>
        <v>0</v>
      </c>
      <c r="AG1645">
        <f t="shared" si="388"/>
        <v>0</v>
      </c>
    </row>
    <row r="1646" spans="1:33" x14ac:dyDescent="0.25">
      <c r="A1646" t="s">
        <v>2708</v>
      </c>
      <c r="B1646" t="s">
        <v>2709</v>
      </c>
      <c r="C1646">
        <v>167729</v>
      </c>
      <c r="D1646">
        <v>167729</v>
      </c>
      <c r="H1646">
        <v>0</v>
      </c>
      <c r="I1646">
        <v>20</v>
      </c>
      <c r="J1646">
        <v>20</v>
      </c>
      <c r="K1646">
        <v>0</v>
      </c>
      <c r="L1646">
        <v>0</v>
      </c>
      <c r="M1646">
        <v>40</v>
      </c>
      <c r="S1646">
        <f t="shared" si="377"/>
        <v>0</v>
      </c>
      <c r="T1646">
        <f t="shared" si="378"/>
        <v>3.3333333333333335</v>
      </c>
      <c r="U1646">
        <f t="shared" si="376"/>
        <v>1</v>
      </c>
      <c r="V1646">
        <f t="shared" si="379"/>
        <v>0</v>
      </c>
      <c r="W1646">
        <f t="shared" si="380"/>
        <v>1</v>
      </c>
      <c r="X1646">
        <f t="shared" si="389"/>
        <v>0</v>
      </c>
      <c r="Y1646">
        <f t="shared" si="390"/>
        <v>0</v>
      </c>
      <c r="Z1646">
        <f t="shared" si="381"/>
        <v>0</v>
      </c>
      <c r="AA1646">
        <f t="shared" si="382"/>
        <v>0</v>
      </c>
      <c r="AB1646">
        <f t="shared" si="383"/>
        <v>0</v>
      </c>
      <c r="AC1646">
        <f t="shared" si="384"/>
        <v>0</v>
      </c>
      <c r="AD1646" s="1">
        <f t="shared" si="385"/>
        <v>3.3333333333333335</v>
      </c>
      <c r="AE1646">
        <f t="shared" si="386"/>
        <v>10</v>
      </c>
      <c r="AF1646">
        <f t="shared" si="387"/>
        <v>0</v>
      </c>
      <c r="AG1646">
        <f t="shared" si="388"/>
        <v>0</v>
      </c>
    </row>
    <row r="1647" spans="1:33" x14ac:dyDescent="0.25">
      <c r="A1647" t="s">
        <v>2710</v>
      </c>
      <c r="B1647" t="s">
        <v>83</v>
      </c>
      <c r="C1647">
        <v>166741</v>
      </c>
      <c r="D1647">
        <v>166741</v>
      </c>
      <c r="H1647">
        <v>0</v>
      </c>
      <c r="I1647">
        <v>40</v>
      </c>
      <c r="J1647">
        <v>20</v>
      </c>
      <c r="K1647">
        <v>0</v>
      </c>
      <c r="L1647">
        <v>10</v>
      </c>
      <c r="M1647">
        <v>70</v>
      </c>
      <c r="S1647">
        <f t="shared" si="377"/>
        <v>0</v>
      </c>
      <c r="T1647">
        <f t="shared" si="378"/>
        <v>5.833333333333333</v>
      </c>
      <c r="U1647">
        <f t="shared" si="376"/>
        <v>1</v>
      </c>
      <c r="V1647">
        <f t="shared" si="379"/>
        <v>0</v>
      </c>
      <c r="W1647">
        <f t="shared" si="380"/>
        <v>1</v>
      </c>
      <c r="X1647">
        <f t="shared" si="389"/>
        <v>0</v>
      </c>
      <c r="Y1647">
        <f t="shared" si="390"/>
        <v>0</v>
      </c>
      <c r="Z1647">
        <f t="shared" si="381"/>
        <v>0</v>
      </c>
      <c r="AA1647">
        <f t="shared" si="382"/>
        <v>0</v>
      </c>
      <c r="AB1647">
        <f t="shared" si="383"/>
        <v>0</v>
      </c>
      <c r="AC1647">
        <f t="shared" si="384"/>
        <v>0</v>
      </c>
      <c r="AD1647" s="1">
        <f t="shared" si="385"/>
        <v>6.666666666666667</v>
      </c>
      <c r="AE1647">
        <f t="shared" si="386"/>
        <v>10</v>
      </c>
      <c r="AF1647">
        <f t="shared" si="387"/>
        <v>0</v>
      </c>
      <c r="AG1647">
        <f t="shared" si="388"/>
        <v>10</v>
      </c>
    </row>
    <row r="1648" spans="1:33" x14ac:dyDescent="0.25">
      <c r="A1648" t="s">
        <v>2711</v>
      </c>
      <c r="B1648" t="s">
        <v>2712</v>
      </c>
      <c r="C1648">
        <v>164898</v>
      </c>
      <c r="D1648">
        <v>164898</v>
      </c>
      <c r="S1648">
        <f t="shared" si="377"/>
        <v>0</v>
      </c>
      <c r="T1648">
        <f t="shared" si="378"/>
        <v>0</v>
      </c>
      <c r="U1648">
        <f t="shared" si="376"/>
        <v>0</v>
      </c>
      <c r="V1648">
        <f t="shared" si="379"/>
        <v>0</v>
      </c>
      <c r="W1648">
        <f t="shared" si="380"/>
        <v>0</v>
      </c>
      <c r="X1648">
        <f t="shared" si="389"/>
        <v>0</v>
      </c>
      <c r="Y1648">
        <f t="shared" si="390"/>
        <v>0</v>
      </c>
      <c r="Z1648">
        <f t="shared" si="381"/>
        <v>0</v>
      </c>
      <c r="AA1648">
        <f t="shared" si="382"/>
        <v>0</v>
      </c>
      <c r="AB1648">
        <f t="shared" si="383"/>
        <v>0</v>
      </c>
      <c r="AC1648">
        <f t="shared" si="384"/>
        <v>0</v>
      </c>
      <c r="AD1648" s="1">
        <f t="shared" si="385"/>
        <v>0</v>
      </c>
      <c r="AE1648">
        <f t="shared" si="386"/>
        <v>0</v>
      </c>
      <c r="AF1648">
        <f t="shared" si="387"/>
        <v>0</v>
      </c>
      <c r="AG1648">
        <f t="shared" si="388"/>
        <v>0</v>
      </c>
    </row>
    <row r="1649" spans="1:33" x14ac:dyDescent="0.25">
      <c r="A1649" t="s">
        <v>2713</v>
      </c>
      <c r="B1649" t="s">
        <v>2714</v>
      </c>
      <c r="C1649">
        <v>166095</v>
      </c>
      <c r="D1649">
        <v>166095</v>
      </c>
      <c r="H1649">
        <v>10</v>
      </c>
      <c r="I1649">
        <v>40</v>
      </c>
      <c r="J1649">
        <v>0</v>
      </c>
      <c r="K1649">
        <v>0</v>
      </c>
      <c r="L1649">
        <v>10</v>
      </c>
      <c r="M1649">
        <v>60</v>
      </c>
      <c r="S1649">
        <f t="shared" si="377"/>
        <v>0</v>
      </c>
      <c r="T1649">
        <f t="shared" si="378"/>
        <v>5</v>
      </c>
      <c r="U1649">
        <f t="shared" si="376"/>
        <v>1</v>
      </c>
      <c r="V1649">
        <f t="shared" si="379"/>
        <v>0</v>
      </c>
      <c r="W1649">
        <f t="shared" si="380"/>
        <v>1</v>
      </c>
      <c r="X1649">
        <f t="shared" si="389"/>
        <v>0</v>
      </c>
      <c r="Y1649">
        <f t="shared" si="390"/>
        <v>0</v>
      </c>
      <c r="Z1649">
        <f t="shared" si="381"/>
        <v>0</v>
      </c>
      <c r="AA1649">
        <f t="shared" si="382"/>
        <v>0</v>
      </c>
      <c r="AB1649">
        <f t="shared" si="383"/>
        <v>0</v>
      </c>
      <c r="AC1649">
        <f t="shared" si="384"/>
        <v>5</v>
      </c>
      <c r="AD1649" s="1">
        <f t="shared" si="385"/>
        <v>6.666666666666667</v>
      </c>
      <c r="AE1649">
        <f t="shared" si="386"/>
        <v>0</v>
      </c>
      <c r="AF1649">
        <f t="shared" si="387"/>
        <v>0</v>
      </c>
      <c r="AG1649">
        <f t="shared" si="388"/>
        <v>10</v>
      </c>
    </row>
    <row r="1650" spans="1:33" x14ac:dyDescent="0.25">
      <c r="A1650" t="s">
        <v>2715</v>
      </c>
      <c r="B1650" t="s">
        <v>45</v>
      </c>
      <c r="C1650">
        <v>168851</v>
      </c>
      <c r="D1650">
        <v>168851</v>
      </c>
      <c r="H1650">
        <v>0</v>
      </c>
      <c r="I1650">
        <v>40</v>
      </c>
      <c r="J1650">
        <v>20</v>
      </c>
      <c r="K1650">
        <v>10</v>
      </c>
      <c r="L1650">
        <v>10</v>
      </c>
      <c r="M1650">
        <v>80</v>
      </c>
      <c r="S1650">
        <f t="shared" si="377"/>
        <v>0</v>
      </c>
      <c r="T1650">
        <f t="shared" si="378"/>
        <v>6.666666666666667</v>
      </c>
      <c r="U1650">
        <f t="shared" si="376"/>
        <v>1</v>
      </c>
      <c r="V1650">
        <f t="shared" si="379"/>
        <v>0</v>
      </c>
      <c r="W1650">
        <f t="shared" si="380"/>
        <v>1</v>
      </c>
      <c r="X1650">
        <f t="shared" si="389"/>
        <v>0</v>
      </c>
      <c r="Y1650">
        <f t="shared" si="390"/>
        <v>1</v>
      </c>
      <c r="Z1650">
        <f t="shared" si="381"/>
        <v>0</v>
      </c>
      <c r="AA1650">
        <f t="shared" si="382"/>
        <v>0</v>
      </c>
      <c r="AB1650">
        <f t="shared" si="383"/>
        <v>0</v>
      </c>
      <c r="AC1650">
        <f t="shared" si="384"/>
        <v>0</v>
      </c>
      <c r="AD1650" s="1">
        <f t="shared" si="385"/>
        <v>6.666666666666667</v>
      </c>
      <c r="AE1650">
        <f t="shared" si="386"/>
        <v>10</v>
      </c>
      <c r="AF1650">
        <f t="shared" si="387"/>
        <v>10</v>
      </c>
      <c r="AG1650">
        <f t="shared" si="388"/>
        <v>10</v>
      </c>
    </row>
    <row r="1651" spans="1:33" x14ac:dyDescent="0.25">
      <c r="A1651" t="s">
        <v>2716</v>
      </c>
      <c r="B1651" t="s">
        <v>510</v>
      </c>
      <c r="C1651">
        <v>166377</v>
      </c>
      <c r="D1651">
        <v>166377</v>
      </c>
      <c r="E1651">
        <v>30</v>
      </c>
      <c r="F1651">
        <v>30</v>
      </c>
      <c r="G1651">
        <v>40</v>
      </c>
      <c r="O1651">
        <v>100</v>
      </c>
      <c r="S1651">
        <f t="shared" si="377"/>
        <v>6.25</v>
      </c>
      <c r="T1651">
        <f t="shared" si="378"/>
        <v>0</v>
      </c>
      <c r="U1651">
        <f t="shared" si="376"/>
        <v>1</v>
      </c>
      <c r="V1651">
        <f t="shared" si="379"/>
        <v>1</v>
      </c>
      <c r="W1651">
        <f t="shared" si="380"/>
        <v>0</v>
      </c>
      <c r="X1651">
        <f t="shared" si="389"/>
        <v>1</v>
      </c>
      <c r="Y1651">
        <f t="shared" si="390"/>
        <v>0</v>
      </c>
      <c r="Z1651">
        <f t="shared" si="381"/>
        <v>6</v>
      </c>
      <c r="AA1651">
        <f t="shared" si="382"/>
        <v>7.5</v>
      </c>
      <c r="AB1651">
        <f t="shared" si="383"/>
        <v>5.7142857142857144</v>
      </c>
      <c r="AC1651">
        <f t="shared" si="384"/>
        <v>0</v>
      </c>
      <c r="AD1651" s="1">
        <f t="shared" si="385"/>
        <v>0</v>
      </c>
      <c r="AE1651">
        <f t="shared" si="386"/>
        <v>0</v>
      </c>
      <c r="AF1651">
        <f t="shared" si="387"/>
        <v>0</v>
      </c>
      <c r="AG1651">
        <f t="shared" si="388"/>
        <v>0</v>
      </c>
    </row>
    <row r="1652" spans="1:33" x14ac:dyDescent="0.25">
      <c r="A1652" t="s">
        <v>2717</v>
      </c>
      <c r="B1652" t="s">
        <v>2718</v>
      </c>
      <c r="C1652">
        <v>166949</v>
      </c>
      <c r="D1652">
        <v>166949</v>
      </c>
      <c r="H1652">
        <v>10</v>
      </c>
      <c r="I1652">
        <v>30</v>
      </c>
      <c r="J1652">
        <v>10</v>
      </c>
      <c r="K1652">
        <v>10</v>
      </c>
      <c r="L1652">
        <v>10</v>
      </c>
      <c r="M1652">
        <v>70</v>
      </c>
      <c r="S1652">
        <f t="shared" si="377"/>
        <v>0</v>
      </c>
      <c r="T1652">
        <f t="shared" si="378"/>
        <v>5.833333333333333</v>
      </c>
      <c r="U1652">
        <f t="shared" si="376"/>
        <v>1</v>
      </c>
      <c r="V1652">
        <f t="shared" si="379"/>
        <v>0</v>
      </c>
      <c r="W1652">
        <f t="shared" si="380"/>
        <v>1</v>
      </c>
      <c r="X1652">
        <f t="shared" si="389"/>
        <v>0</v>
      </c>
      <c r="Y1652">
        <f t="shared" si="390"/>
        <v>0</v>
      </c>
      <c r="Z1652">
        <f t="shared" si="381"/>
        <v>0</v>
      </c>
      <c r="AA1652">
        <f t="shared" si="382"/>
        <v>0</v>
      </c>
      <c r="AB1652">
        <f t="shared" si="383"/>
        <v>0</v>
      </c>
      <c r="AC1652">
        <f t="shared" si="384"/>
        <v>5</v>
      </c>
      <c r="AD1652" s="1">
        <f t="shared" si="385"/>
        <v>5</v>
      </c>
      <c r="AE1652">
        <f t="shared" si="386"/>
        <v>5</v>
      </c>
      <c r="AF1652">
        <f t="shared" si="387"/>
        <v>10</v>
      </c>
      <c r="AG1652">
        <f t="shared" si="388"/>
        <v>10</v>
      </c>
    </row>
    <row r="1653" spans="1:33" x14ac:dyDescent="0.25">
      <c r="A1653" t="s">
        <v>2719</v>
      </c>
      <c r="B1653" t="s">
        <v>2720</v>
      </c>
      <c r="C1653">
        <v>168466</v>
      </c>
      <c r="D1653">
        <v>168466</v>
      </c>
      <c r="H1653">
        <v>0</v>
      </c>
      <c r="I1653">
        <v>30</v>
      </c>
      <c r="J1653">
        <v>10</v>
      </c>
      <c r="K1653">
        <v>10</v>
      </c>
      <c r="L1653">
        <v>10</v>
      </c>
      <c r="M1653">
        <v>60</v>
      </c>
      <c r="S1653">
        <f t="shared" si="377"/>
        <v>0</v>
      </c>
      <c r="T1653">
        <f t="shared" si="378"/>
        <v>5</v>
      </c>
      <c r="U1653">
        <f t="shared" si="376"/>
        <v>1</v>
      </c>
      <c r="V1653">
        <f t="shared" si="379"/>
        <v>0</v>
      </c>
      <c r="W1653">
        <f t="shared" si="380"/>
        <v>1</v>
      </c>
      <c r="X1653">
        <f t="shared" si="389"/>
        <v>0</v>
      </c>
      <c r="Y1653">
        <f t="shared" si="390"/>
        <v>0</v>
      </c>
      <c r="Z1653">
        <f t="shared" si="381"/>
        <v>0</v>
      </c>
      <c r="AA1653">
        <f t="shared" si="382"/>
        <v>0</v>
      </c>
      <c r="AB1653">
        <f t="shared" si="383"/>
        <v>0</v>
      </c>
      <c r="AC1653">
        <f t="shared" si="384"/>
        <v>0</v>
      </c>
      <c r="AD1653" s="1">
        <f t="shared" si="385"/>
        <v>5</v>
      </c>
      <c r="AE1653">
        <f t="shared" si="386"/>
        <v>5</v>
      </c>
      <c r="AF1653">
        <f t="shared" si="387"/>
        <v>10</v>
      </c>
      <c r="AG1653">
        <f t="shared" si="388"/>
        <v>10</v>
      </c>
    </row>
    <row r="1654" spans="1:33" x14ac:dyDescent="0.25">
      <c r="A1654" t="s">
        <v>2721</v>
      </c>
      <c r="B1654" t="s">
        <v>944</v>
      </c>
      <c r="C1654">
        <v>154893</v>
      </c>
      <c r="D1654">
        <v>154893</v>
      </c>
      <c r="H1654">
        <v>20</v>
      </c>
      <c r="I1654">
        <v>20</v>
      </c>
      <c r="J1654">
        <v>10</v>
      </c>
      <c r="K1654">
        <v>10</v>
      </c>
      <c r="L1654">
        <v>0</v>
      </c>
      <c r="M1654">
        <v>60</v>
      </c>
      <c r="S1654">
        <f t="shared" si="377"/>
        <v>0</v>
      </c>
      <c r="T1654">
        <f t="shared" si="378"/>
        <v>5</v>
      </c>
      <c r="U1654">
        <f t="shared" si="376"/>
        <v>1</v>
      </c>
      <c r="V1654">
        <f t="shared" si="379"/>
        <v>0</v>
      </c>
      <c r="W1654">
        <f t="shared" si="380"/>
        <v>1</v>
      </c>
      <c r="X1654">
        <f t="shared" si="389"/>
        <v>0</v>
      </c>
      <c r="Y1654">
        <f t="shared" si="390"/>
        <v>0</v>
      </c>
      <c r="Z1654">
        <f t="shared" si="381"/>
        <v>0</v>
      </c>
      <c r="AA1654">
        <f t="shared" si="382"/>
        <v>0</v>
      </c>
      <c r="AB1654">
        <f t="shared" si="383"/>
        <v>0</v>
      </c>
      <c r="AC1654">
        <f t="shared" si="384"/>
        <v>10</v>
      </c>
      <c r="AD1654" s="1">
        <f t="shared" si="385"/>
        <v>3.3333333333333335</v>
      </c>
      <c r="AE1654">
        <f t="shared" si="386"/>
        <v>5</v>
      </c>
      <c r="AF1654">
        <f t="shared" si="387"/>
        <v>10</v>
      </c>
      <c r="AG1654">
        <f t="shared" si="388"/>
        <v>0</v>
      </c>
    </row>
    <row r="1655" spans="1:33" x14ac:dyDescent="0.25">
      <c r="A1655" t="s">
        <v>2722</v>
      </c>
      <c r="B1655" t="s">
        <v>218</v>
      </c>
      <c r="C1655">
        <v>167557</v>
      </c>
      <c r="D1655">
        <v>167557</v>
      </c>
      <c r="H1655">
        <v>10</v>
      </c>
      <c r="I1655">
        <v>40</v>
      </c>
      <c r="J1655">
        <v>10</v>
      </c>
      <c r="K1655">
        <v>10</v>
      </c>
      <c r="L1655">
        <v>0</v>
      </c>
      <c r="M1655">
        <v>70</v>
      </c>
      <c r="S1655">
        <f t="shared" si="377"/>
        <v>0</v>
      </c>
      <c r="T1655">
        <f t="shared" si="378"/>
        <v>5.833333333333333</v>
      </c>
      <c r="U1655">
        <f t="shared" si="376"/>
        <v>1</v>
      </c>
      <c r="V1655">
        <f t="shared" si="379"/>
        <v>0</v>
      </c>
      <c r="W1655">
        <f t="shared" si="380"/>
        <v>1</v>
      </c>
      <c r="X1655">
        <f t="shared" si="389"/>
        <v>0</v>
      </c>
      <c r="Y1655">
        <f t="shared" si="390"/>
        <v>0</v>
      </c>
      <c r="Z1655">
        <f t="shared" si="381"/>
        <v>0</v>
      </c>
      <c r="AA1655">
        <f t="shared" si="382"/>
        <v>0</v>
      </c>
      <c r="AB1655">
        <f t="shared" si="383"/>
        <v>0</v>
      </c>
      <c r="AC1655">
        <f t="shared" si="384"/>
        <v>5</v>
      </c>
      <c r="AD1655" s="1">
        <f t="shared" si="385"/>
        <v>6.666666666666667</v>
      </c>
      <c r="AE1655">
        <f t="shared" si="386"/>
        <v>5</v>
      </c>
      <c r="AF1655">
        <f t="shared" si="387"/>
        <v>10</v>
      </c>
      <c r="AG1655">
        <f t="shared" si="388"/>
        <v>0</v>
      </c>
    </row>
    <row r="1656" spans="1:33" x14ac:dyDescent="0.25">
      <c r="A1656" t="s">
        <v>2723</v>
      </c>
      <c r="B1656" t="s">
        <v>2724</v>
      </c>
      <c r="C1656">
        <v>168866</v>
      </c>
      <c r="D1656">
        <v>168866</v>
      </c>
      <c r="H1656">
        <v>0</v>
      </c>
      <c r="I1656">
        <v>50</v>
      </c>
      <c r="J1656">
        <v>10</v>
      </c>
      <c r="K1656">
        <v>10</v>
      </c>
      <c r="L1656">
        <v>10</v>
      </c>
      <c r="M1656">
        <v>80</v>
      </c>
      <c r="S1656">
        <f t="shared" si="377"/>
        <v>0</v>
      </c>
      <c r="T1656">
        <f t="shared" si="378"/>
        <v>6.666666666666667</v>
      </c>
      <c r="U1656">
        <f t="shared" si="376"/>
        <v>1</v>
      </c>
      <c r="V1656">
        <f t="shared" si="379"/>
        <v>0</v>
      </c>
      <c r="W1656">
        <f t="shared" si="380"/>
        <v>1</v>
      </c>
      <c r="X1656">
        <f t="shared" si="389"/>
        <v>0</v>
      </c>
      <c r="Y1656">
        <f t="shared" si="390"/>
        <v>1</v>
      </c>
      <c r="Z1656">
        <f t="shared" si="381"/>
        <v>0</v>
      </c>
      <c r="AA1656">
        <f t="shared" si="382"/>
        <v>0</v>
      </c>
      <c r="AB1656">
        <f t="shared" si="383"/>
        <v>0</v>
      </c>
      <c r="AC1656">
        <f t="shared" si="384"/>
        <v>0</v>
      </c>
      <c r="AD1656" s="1">
        <f t="shared" si="385"/>
        <v>8.3333333333333339</v>
      </c>
      <c r="AE1656">
        <f t="shared" si="386"/>
        <v>5</v>
      </c>
      <c r="AF1656">
        <f t="shared" si="387"/>
        <v>10</v>
      </c>
      <c r="AG1656">
        <f t="shared" si="388"/>
        <v>10</v>
      </c>
    </row>
    <row r="1657" spans="1:33" x14ac:dyDescent="0.25">
      <c r="A1657" t="s">
        <v>2725</v>
      </c>
      <c r="B1657" t="s">
        <v>2726</v>
      </c>
      <c r="C1657">
        <v>168016</v>
      </c>
      <c r="D1657">
        <v>168016</v>
      </c>
      <c r="H1657">
        <v>10</v>
      </c>
      <c r="I1657">
        <v>30</v>
      </c>
      <c r="J1657">
        <v>20</v>
      </c>
      <c r="K1657">
        <v>10</v>
      </c>
      <c r="L1657">
        <v>0</v>
      </c>
      <c r="M1657">
        <v>70</v>
      </c>
      <c r="S1657">
        <f t="shared" si="377"/>
        <v>0</v>
      </c>
      <c r="T1657">
        <f t="shared" si="378"/>
        <v>5.833333333333333</v>
      </c>
      <c r="U1657">
        <f t="shared" si="376"/>
        <v>1</v>
      </c>
      <c r="V1657">
        <f t="shared" si="379"/>
        <v>0</v>
      </c>
      <c r="W1657">
        <f t="shared" si="380"/>
        <v>1</v>
      </c>
      <c r="X1657">
        <f t="shared" si="389"/>
        <v>0</v>
      </c>
      <c r="Y1657">
        <f t="shared" si="390"/>
        <v>0</v>
      </c>
      <c r="Z1657">
        <f t="shared" si="381"/>
        <v>0</v>
      </c>
      <c r="AA1657">
        <f t="shared" si="382"/>
        <v>0</v>
      </c>
      <c r="AB1657">
        <f t="shared" si="383"/>
        <v>0</v>
      </c>
      <c r="AC1657">
        <f t="shared" si="384"/>
        <v>5</v>
      </c>
      <c r="AD1657" s="1">
        <f t="shared" si="385"/>
        <v>5</v>
      </c>
      <c r="AE1657">
        <f t="shared" si="386"/>
        <v>10</v>
      </c>
      <c r="AF1657">
        <f t="shared" si="387"/>
        <v>10</v>
      </c>
      <c r="AG1657">
        <f t="shared" si="388"/>
        <v>0</v>
      </c>
    </row>
    <row r="1658" spans="1:33" x14ac:dyDescent="0.25">
      <c r="A1658" t="s">
        <v>2727</v>
      </c>
      <c r="B1658" t="s">
        <v>2728</v>
      </c>
      <c r="C1658">
        <v>165894</v>
      </c>
      <c r="D1658">
        <v>165894</v>
      </c>
      <c r="H1658">
        <v>20</v>
      </c>
      <c r="I1658">
        <v>60</v>
      </c>
      <c r="J1658">
        <v>10</v>
      </c>
      <c r="K1658">
        <v>10</v>
      </c>
      <c r="L1658">
        <v>10</v>
      </c>
      <c r="M1658">
        <v>110</v>
      </c>
      <c r="S1658">
        <f t="shared" si="377"/>
        <v>0</v>
      </c>
      <c r="T1658">
        <f t="shared" si="378"/>
        <v>9.1666666666666661</v>
      </c>
      <c r="U1658">
        <f t="shared" si="376"/>
        <v>1</v>
      </c>
      <c r="V1658">
        <f t="shared" si="379"/>
        <v>0</v>
      </c>
      <c r="W1658">
        <f t="shared" si="380"/>
        <v>1</v>
      </c>
      <c r="X1658">
        <f t="shared" si="389"/>
        <v>0</v>
      </c>
      <c r="Y1658">
        <f t="shared" si="390"/>
        <v>1</v>
      </c>
      <c r="Z1658">
        <f t="shared" si="381"/>
        <v>0</v>
      </c>
      <c r="AA1658">
        <f t="shared" si="382"/>
        <v>0</v>
      </c>
      <c r="AB1658">
        <f t="shared" si="383"/>
        <v>0</v>
      </c>
      <c r="AC1658">
        <f t="shared" si="384"/>
        <v>10</v>
      </c>
      <c r="AD1658" s="1">
        <f t="shared" si="385"/>
        <v>10</v>
      </c>
      <c r="AE1658">
        <f t="shared" si="386"/>
        <v>5</v>
      </c>
      <c r="AF1658">
        <f t="shared" si="387"/>
        <v>10</v>
      </c>
      <c r="AG1658">
        <f t="shared" si="388"/>
        <v>10</v>
      </c>
    </row>
    <row r="1659" spans="1:33" x14ac:dyDescent="0.25">
      <c r="A1659" t="s">
        <v>2729</v>
      </c>
      <c r="B1659" t="s">
        <v>551</v>
      </c>
      <c r="C1659">
        <v>166855</v>
      </c>
      <c r="D1659">
        <v>166855</v>
      </c>
      <c r="H1659">
        <v>10</v>
      </c>
      <c r="I1659">
        <v>50</v>
      </c>
      <c r="J1659">
        <v>10</v>
      </c>
      <c r="K1659">
        <v>10</v>
      </c>
      <c r="L1659">
        <v>10</v>
      </c>
      <c r="M1659">
        <v>90</v>
      </c>
      <c r="S1659">
        <f t="shared" si="377"/>
        <v>0</v>
      </c>
      <c r="T1659">
        <f t="shared" si="378"/>
        <v>7.5</v>
      </c>
      <c r="U1659">
        <f t="shared" si="376"/>
        <v>1</v>
      </c>
      <c r="V1659">
        <f t="shared" si="379"/>
        <v>0</v>
      </c>
      <c r="W1659">
        <f t="shared" si="380"/>
        <v>1</v>
      </c>
      <c r="X1659">
        <f t="shared" si="389"/>
        <v>0</v>
      </c>
      <c r="Y1659">
        <f t="shared" si="390"/>
        <v>1</v>
      </c>
      <c r="Z1659">
        <f t="shared" si="381"/>
        <v>0</v>
      </c>
      <c r="AA1659">
        <f t="shared" si="382"/>
        <v>0</v>
      </c>
      <c r="AB1659">
        <f t="shared" si="383"/>
        <v>0</v>
      </c>
      <c r="AC1659">
        <f t="shared" si="384"/>
        <v>5</v>
      </c>
      <c r="AD1659" s="1">
        <f t="shared" si="385"/>
        <v>8.3333333333333339</v>
      </c>
      <c r="AE1659">
        <f t="shared" si="386"/>
        <v>5</v>
      </c>
      <c r="AF1659">
        <f t="shared" si="387"/>
        <v>10</v>
      </c>
      <c r="AG1659">
        <f t="shared" si="388"/>
        <v>10</v>
      </c>
    </row>
    <row r="1660" spans="1:33" x14ac:dyDescent="0.25">
      <c r="A1660" t="s">
        <v>2730</v>
      </c>
      <c r="B1660" t="s">
        <v>2720</v>
      </c>
      <c r="C1660">
        <v>166246</v>
      </c>
      <c r="D1660">
        <v>166246</v>
      </c>
      <c r="H1660">
        <v>20</v>
      </c>
      <c r="I1660">
        <v>40</v>
      </c>
      <c r="J1660">
        <v>10</v>
      </c>
      <c r="K1660">
        <v>0</v>
      </c>
      <c r="L1660">
        <v>10</v>
      </c>
      <c r="M1660">
        <v>80</v>
      </c>
      <c r="S1660">
        <f t="shared" si="377"/>
        <v>0</v>
      </c>
      <c r="T1660">
        <f t="shared" si="378"/>
        <v>6.666666666666667</v>
      </c>
      <c r="U1660">
        <f t="shared" si="376"/>
        <v>1</v>
      </c>
      <c r="V1660">
        <f t="shared" si="379"/>
        <v>0</v>
      </c>
      <c r="W1660">
        <f t="shared" si="380"/>
        <v>1</v>
      </c>
      <c r="X1660">
        <f t="shared" si="389"/>
        <v>0</v>
      </c>
      <c r="Y1660">
        <f t="shared" si="390"/>
        <v>1</v>
      </c>
      <c r="Z1660">
        <f t="shared" si="381"/>
        <v>0</v>
      </c>
      <c r="AA1660">
        <f t="shared" si="382"/>
        <v>0</v>
      </c>
      <c r="AB1660">
        <f t="shared" si="383"/>
        <v>0</v>
      </c>
      <c r="AC1660">
        <f t="shared" si="384"/>
        <v>10</v>
      </c>
      <c r="AD1660" s="1">
        <f t="shared" si="385"/>
        <v>6.666666666666667</v>
      </c>
      <c r="AE1660">
        <f t="shared" si="386"/>
        <v>5</v>
      </c>
      <c r="AF1660">
        <f t="shared" si="387"/>
        <v>0</v>
      </c>
      <c r="AG1660">
        <f t="shared" si="388"/>
        <v>10</v>
      </c>
    </row>
    <row r="1661" spans="1:33" x14ac:dyDescent="0.25">
      <c r="A1661" t="s">
        <v>2731</v>
      </c>
      <c r="B1661" t="s">
        <v>197</v>
      </c>
      <c r="C1661">
        <v>167512</v>
      </c>
      <c r="D1661">
        <v>167512</v>
      </c>
      <c r="E1661">
        <v>0</v>
      </c>
      <c r="F1661">
        <v>20</v>
      </c>
      <c r="G1661">
        <v>30</v>
      </c>
      <c r="O1661">
        <v>50</v>
      </c>
      <c r="S1661">
        <f t="shared" si="377"/>
        <v>3.125</v>
      </c>
      <c r="T1661">
        <f t="shared" si="378"/>
        <v>0</v>
      </c>
      <c r="U1661">
        <f t="shared" si="376"/>
        <v>1</v>
      </c>
      <c r="V1661">
        <f t="shared" si="379"/>
        <v>1</v>
      </c>
      <c r="W1661">
        <f t="shared" si="380"/>
        <v>0</v>
      </c>
      <c r="X1661">
        <f t="shared" si="389"/>
        <v>0</v>
      </c>
      <c r="Y1661">
        <f t="shared" si="390"/>
        <v>0</v>
      </c>
      <c r="Z1661">
        <f t="shared" si="381"/>
        <v>0</v>
      </c>
      <c r="AA1661">
        <f t="shared" si="382"/>
        <v>5</v>
      </c>
      <c r="AB1661">
        <f t="shared" si="383"/>
        <v>4.2857142857142856</v>
      </c>
      <c r="AC1661">
        <f t="shared" si="384"/>
        <v>0</v>
      </c>
      <c r="AD1661" s="1">
        <f t="shared" si="385"/>
        <v>0</v>
      </c>
      <c r="AE1661">
        <f t="shared" si="386"/>
        <v>0</v>
      </c>
      <c r="AF1661">
        <f t="shared" si="387"/>
        <v>0</v>
      </c>
      <c r="AG1661">
        <f t="shared" si="388"/>
        <v>0</v>
      </c>
    </row>
    <row r="1662" spans="1:33" x14ac:dyDescent="0.25">
      <c r="A1662" t="s">
        <v>2732</v>
      </c>
      <c r="B1662" t="s">
        <v>418</v>
      </c>
      <c r="C1662">
        <v>167662</v>
      </c>
      <c r="D1662">
        <v>167662</v>
      </c>
      <c r="E1662">
        <v>40</v>
      </c>
      <c r="F1662">
        <v>10</v>
      </c>
      <c r="G1662">
        <v>40</v>
      </c>
      <c r="O1662">
        <v>90</v>
      </c>
      <c r="S1662">
        <f t="shared" si="377"/>
        <v>5.625</v>
      </c>
      <c r="T1662">
        <f t="shared" si="378"/>
        <v>0</v>
      </c>
      <c r="U1662">
        <f t="shared" si="376"/>
        <v>1</v>
      </c>
      <c r="V1662">
        <f t="shared" si="379"/>
        <v>1</v>
      </c>
      <c r="W1662">
        <f t="shared" si="380"/>
        <v>0</v>
      </c>
      <c r="X1662">
        <f t="shared" si="389"/>
        <v>0</v>
      </c>
      <c r="Y1662">
        <f t="shared" si="390"/>
        <v>0</v>
      </c>
      <c r="Z1662">
        <f t="shared" si="381"/>
        <v>8</v>
      </c>
      <c r="AA1662">
        <f t="shared" si="382"/>
        <v>2.5</v>
      </c>
      <c r="AB1662">
        <f t="shared" si="383"/>
        <v>5.7142857142857144</v>
      </c>
      <c r="AC1662">
        <f t="shared" si="384"/>
        <v>0</v>
      </c>
      <c r="AD1662" s="1">
        <f t="shared" si="385"/>
        <v>0</v>
      </c>
      <c r="AE1662">
        <f t="shared" si="386"/>
        <v>0</v>
      </c>
      <c r="AF1662">
        <f t="shared" si="387"/>
        <v>0</v>
      </c>
      <c r="AG1662">
        <f t="shared" si="388"/>
        <v>0</v>
      </c>
    </row>
    <row r="1663" spans="1:33" x14ac:dyDescent="0.25">
      <c r="A1663" t="s">
        <v>2733</v>
      </c>
      <c r="B1663" t="s">
        <v>2734</v>
      </c>
      <c r="C1663">
        <v>168129</v>
      </c>
      <c r="D1663">
        <v>168129</v>
      </c>
      <c r="H1663">
        <v>0</v>
      </c>
      <c r="I1663">
        <v>0</v>
      </c>
      <c r="J1663">
        <v>20</v>
      </c>
      <c r="K1663">
        <v>10</v>
      </c>
      <c r="L1663">
        <v>10</v>
      </c>
      <c r="M1663">
        <v>40</v>
      </c>
      <c r="S1663">
        <f t="shared" si="377"/>
        <v>0</v>
      </c>
      <c r="T1663">
        <f t="shared" si="378"/>
        <v>3.3333333333333335</v>
      </c>
      <c r="U1663">
        <f t="shared" si="376"/>
        <v>1</v>
      </c>
      <c r="V1663">
        <f t="shared" si="379"/>
        <v>0</v>
      </c>
      <c r="W1663">
        <f t="shared" si="380"/>
        <v>1</v>
      </c>
      <c r="X1663">
        <f t="shared" si="389"/>
        <v>0</v>
      </c>
      <c r="Y1663">
        <f t="shared" si="390"/>
        <v>0</v>
      </c>
      <c r="Z1663">
        <f t="shared" si="381"/>
        <v>0</v>
      </c>
      <c r="AA1663">
        <f t="shared" si="382"/>
        <v>0</v>
      </c>
      <c r="AB1663">
        <f t="shared" si="383"/>
        <v>0</v>
      </c>
      <c r="AC1663">
        <f t="shared" si="384"/>
        <v>0</v>
      </c>
      <c r="AD1663" s="1">
        <f t="shared" si="385"/>
        <v>0</v>
      </c>
      <c r="AE1663">
        <f t="shared" si="386"/>
        <v>10</v>
      </c>
      <c r="AF1663">
        <f t="shared" si="387"/>
        <v>10</v>
      </c>
      <c r="AG1663">
        <f t="shared" si="388"/>
        <v>10</v>
      </c>
    </row>
    <row r="1664" spans="1:33" x14ac:dyDescent="0.25">
      <c r="A1664" t="s">
        <v>2735</v>
      </c>
      <c r="B1664" t="s">
        <v>2736</v>
      </c>
      <c r="C1664">
        <v>167810</v>
      </c>
      <c r="D1664">
        <v>167810</v>
      </c>
      <c r="H1664">
        <v>10</v>
      </c>
      <c r="I1664">
        <v>20</v>
      </c>
      <c r="J1664">
        <v>0</v>
      </c>
      <c r="K1664">
        <v>10</v>
      </c>
      <c r="L1664">
        <v>0</v>
      </c>
      <c r="M1664">
        <v>40</v>
      </c>
      <c r="S1664">
        <f t="shared" si="377"/>
        <v>0</v>
      </c>
      <c r="T1664">
        <f t="shared" si="378"/>
        <v>3.3333333333333335</v>
      </c>
      <c r="U1664">
        <f t="shared" si="376"/>
        <v>1</v>
      </c>
      <c r="V1664">
        <f t="shared" si="379"/>
        <v>0</v>
      </c>
      <c r="W1664">
        <f t="shared" si="380"/>
        <v>1</v>
      </c>
      <c r="X1664">
        <f t="shared" si="389"/>
        <v>0</v>
      </c>
      <c r="Y1664">
        <f t="shared" si="390"/>
        <v>0</v>
      </c>
      <c r="Z1664">
        <f t="shared" si="381"/>
        <v>0</v>
      </c>
      <c r="AA1664">
        <f t="shared" si="382"/>
        <v>0</v>
      </c>
      <c r="AB1664">
        <f t="shared" si="383"/>
        <v>0</v>
      </c>
      <c r="AC1664">
        <f t="shared" si="384"/>
        <v>5</v>
      </c>
      <c r="AD1664" s="1">
        <f t="shared" si="385"/>
        <v>3.3333333333333335</v>
      </c>
      <c r="AE1664">
        <f t="shared" si="386"/>
        <v>0</v>
      </c>
      <c r="AF1664">
        <f t="shared" si="387"/>
        <v>10</v>
      </c>
      <c r="AG1664">
        <f t="shared" si="388"/>
        <v>0</v>
      </c>
    </row>
    <row r="1665" spans="1:33" x14ac:dyDescent="0.25">
      <c r="A1665" t="s">
        <v>2735</v>
      </c>
      <c r="B1665" t="s">
        <v>2737</v>
      </c>
      <c r="C1665">
        <v>162464</v>
      </c>
      <c r="D1665">
        <v>162464</v>
      </c>
      <c r="S1665">
        <f t="shared" si="377"/>
        <v>0</v>
      </c>
      <c r="T1665">
        <f t="shared" si="378"/>
        <v>0</v>
      </c>
      <c r="U1665">
        <f t="shared" si="376"/>
        <v>0</v>
      </c>
      <c r="V1665">
        <f t="shared" si="379"/>
        <v>0</v>
      </c>
      <c r="W1665">
        <f t="shared" si="380"/>
        <v>0</v>
      </c>
      <c r="X1665">
        <f t="shared" si="389"/>
        <v>0</v>
      </c>
      <c r="Y1665">
        <f t="shared" si="390"/>
        <v>0</v>
      </c>
      <c r="Z1665">
        <f t="shared" si="381"/>
        <v>0</v>
      </c>
      <c r="AA1665">
        <f t="shared" si="382"/>
        <v>0</v>
      </c>
      <c r="AB1665">
        <f t="shared" si="383"/>
        <v>0</v>
      </c>
      <c r="AC1665">
        <f t="shared" si="384"/>
        <v>0</v>
      </c>
      <c r="AD1665" s="1">
        <f t="shared" si="385"/>
        <v>0</v>
      </c>
      <c r="AE1665">
        <f t="shared" si="386"/>
        <v>0</v>
      </c>
      <c r="AF1665">
        <f t="shared" si="387"/>
        <v>0</v>
      </c>
      <c r="AG1665">
        <f t="shared" si="388"/>
        <v>0</v>
      </c>
    </row>
    <row r="1666" spans="1:33" x14ac:dyDescent="0.25">
      <c r="A1666" t="s">
        <v>2738</v>
      </c>
      <c r="B1666" t="s">
        <v>176</v>
      </c>
      <c r="C1666">
        <v>167080</v>
      </c>
      <c r="D1666">
        <v>167080</v>
      </c>
      <c r="E1666">
        <v>40</v>
      </c>
      <c r="F1666">
        <v>10</v>
      </c>
      <c r="G1666">
        <v>30</v>
      </c>
      <c r="O1666">
        <v>80</v>
      </c>
      <c r="S1666">
        <f t="shared" si="377"/>
        <v>5</v>
      </c>
      <c r="T1666">
        <f t="shared" si="378"/>
        <v>0</v>
      </c>
      <c r="U1666">
        <f t="shared" ref="U1666:U1729" si="391">IF(AND(E1666="",F1666="",G1666="",H1666="",I1666="",J1666="",K1666="",L1666="",M1666=""),0,1)</f>
        <v>1</v>
      </c>
      <c r="V1666">
        <f t="shared" si="379"/>
        <v>1</v>
      </c>
      <c r="W1666">
        <f t="shared" si="380"/>
        <v>0</v>
      </c>
      <c r="X1666">
        <f t="shared" si="389"/>
        <v>0</v>
      </c>
      <c r="Y1666">
        <f t="shared" si="390"/>
        <v>0</v>
      </c>
      <c r="Z1666">
        <f t="shared" si="381"/>
        <v>8</v>
      </c>
      <c r="AA1666">
        <f t="shared" si="382"/>
        <v>2.5</v>
      </c>
      <c r="AB1666">
        <f t="shared" si="383"/>
        <v>4.2857142857142856</v>
      </c>
      <c r="AC1666">
        <f t="shared" si="384"/>
        <v>0</v>
      </c>
      <c r="AD1666" s="1">
        <f t="shared" si="385"/>
        <v>0</v>
      </c>
      <c r="AE1666">
        <f t="shared" si="386"/>
        <v>0</v>
      </c>
      <c r="AF1666">
        <f t="shared" si="387"/>
        <v>0</v>
      </c>
      <c r="AG1666">
        <f t="shared" si="388"/>
        <v>0</v>
      </c>
    </row>
    <row r="1667" spans="1:33" x14ac:dyDescent="0.25">
      <c r="A1667" t="s">
        <v>2739</v>
      </c>
      <c r="B1667" t="s">
        <v>2740</v>
      </c>
      <c r="C1667">
        <v>167763</v>
      </c>
      <c r="D1667">
        <v>167763</v>
      </c>
      <c r="E1667">
        <v>40</v>
      </c>
      <c r="F1667">
        <v>40</v>
      </c>
      <c r="G1667">
        <v>50</v>
      </c>
      <c r="O1667">
        <v>130</v>
      </c>
      <c r="S1667">
        <f t="shared" ref="S1667:S1730" si="392">O1667/16</f>
        <v>8.125</v>
      </c>
      <c r="T1667">
        <f t="shared" ref="T1667:T1730" si="393">M1667/12</f>
        <v>0</v>
      </c>
      <c r="U1667">
        <f t="shared" si="391"/>
        <v>1</v>
      </c>
      <c r="V1667">
        <f t="shared" ref="V1667:V1730" si="394">IF(O1667="",0,1)</f>
        <v>1</v>
      </c>
      <c r="W1667">
        <f t="shared" ref="W1667:W1730" si="395">IF(M1667="",0,1)</f>
        <v>0</v>
      </c>
      <c r="X1667">
        <f t="shared" si="389"/>
        <v>1</v>
      </c>
      <c r="Y1667">
        <f t="shared" si="390"/>
        <v>0</v>
      </c>
      <c r="Z1667">
        <f t="shared" ref="Z1667:Z1730" si="396">E1667/5</f>
        <v>8</v>
      </c>
      <c r="AA1667">
        <f t="shared" ref="AA1667:AA1730" si="397">F1667/4</f>
        <v>10</v>
      </c>
      <c r="AB1667">
        <f t="shared" ref="AB1667:AB1730" si="398">G1667/7</f>
        <v>7.1428571428571432</v>
      </c>
      <c r="AC1667">
        <f t="shared" ref="AC1667:AC1730" si="399">H1667/2</f>
        <v>0</v>
      </c>
      <c r="AD1667" s="1">
        <f t="shared" ref="AD1667:AD1730" si="400">I1667/6</f>
        <v>0</v>
      </c>
      <c r="AE1667">
        <f t="shared" ref="AE1667:AE1730" si="401">J1667/2</f>
        <v>0</v>
      </c>
      <c r="AF1667">
        <f t="shared" ref="AF1667:AF1730" si="402">K1667</f>
        <v>0</v>
      </c>
      <c r="AG1667">
        <f t="shared" ref="AG1667:AG1730" si="403">L1667</f>
        <v>0</v>
      </c>
    </row>
    <row r="1668" spans="1:33" x14ac:dyDescent="0.25">
      <c r="A1668" t="s">
        <v>2741</v>
      </c>
      <c r="B1668" t="s">
        <v>218</v>
      </c>
      <c r="C1668">
        <v>167793</v>
      </c>
      <c r="D1668">
        <v>167793</v>
      </c>
      <c r="E1668">
        <v>30</v>
      </c>
      <c r="F1668">
        <v>10</v>
      </c>
      <c r="G1668">
        <v>30</v>
      </c>
      <c r="O1668">
        <v>70</v>
      </c>
      <c r="S1668">
        <f t="shared" si="392"/>
        <v>4.375</v>
      </c>
      <c r="T1668">
        <f t="shared" si="393"/>
        <v>0</v>
      </c>
      <c r="U1668">
        <f t="shared" si="391"/>
        <v>1</v>
      </c>
      <c r="V1668">
        <f t="shared" si="394"/>
        <v>1</v>
      </c>
      <c r="W1668">
        <f t="shared" si="395"/>
        <v>0</v>
      </c>
      <c r="X1668">
        <f t="shared" si="389"/>
        <v>0</v>
      </c>
      <c r="Y1668">
        <f t="shared" si="390"/>
        <v>0</v>
      </c>
      <c r="Z1668">
        <f t="shared" si="396"/>
        <v>6</v>
      </c>
      <c r="AA1668">
        <f t="shared" si="397"/>
        <v>2.5</v>
      </c>
      <c r="AB1668">
        <f t="shared" si="398"/>
        <v>4.2857142857142856</v>
      </c>
      <c r="AC1668">
        <f t="shared" si="399"/>
        <v>0</v>
      </c>
      <c r="AD1668" s="1">
        <f t="shared" si="400"/>
        <v>0</v>
      </c>
      <c r="AE1668">
        <f t="shared" si="401"/>
        <v>0</v>
      </c>
      <c r="AF1668">
        <f t="shared" si="402"/>
        <v>0</v>
      </c>
      <c r="AG1668">
        <f t="shared" si="403"/>
        <v>0</v>
      </c>
    </row>
    <row r="1669" spans="1:33" x14ac:dyDescent="0.25">
      <c r="A1669" t="s">
        <v>2742</v>
      </c>
      <c r="B1669" t="s">
        <v>2743</v>
      </c>
      <c r="C1669">
        <v>168405</v>
      </c>
      <c r="D1669">
        <v>168405</v>
      </c>
      <c r="S1669">
        <f t="shared" si="392"/>
        <v>0</v>
      </c>
      <c r="T1669">
        <f t="shared" si="393"/>
        <v>0</v>
      </c>
      <c r="U1669">
        <f t="shared" si="391"/>
        <v>0</v>
      </c>
      <c r="V1669">
        <f t="shared" si="394"/>
        <v>0</v>
      </c>
      <c r="W1669">
        <f t="shared" si="395"/>
        <v>0</v>
      </c>
      <c r="X1669">
        <f t="shared" ref="X1669:X1732" si="404">IF(AND(V1669=1,S1669&gt;6),1,0)</f>
        <v>0</v>
      </c>
      <c r="Y1669">
        <f t="shared" ref="Y1669:Y1732" si="405">IF(AND(W1669=1,T1669&gt;6),1,0)</f>
        <v>0</v>
      </c>
      <c r="Z1669">
        <f t="shared" si="396"/>
        <v>0</v>
      </c>
      <c r="AA1669">
        <f t="shared" si="397"/>
        <v>0</v>
      </c>
      <c r="AB1669">
        <f t="shared" si="398"/>
        <v>0</v>
      </c>
      <c r="AC1669">
        <f t="shared" si="399"/>
        <v>0</v>
      </c>
      <c r="AD1669" s="1">
        <f t="shared" si="400"/>
        <v>0</v>
      </c>
      <c r="AE1669">
        <f t="shared" si="401"/>
        <v>0</v>
      </c>
      <c r="AF1669">
        <f t="shared" si="402"/>
        <v>0</v>
      </c>
      <c r="AG1669">
        <f t="shared" si="403"/>
        <v>0</v>
      </c>
    </row>
    <row r="1670" spans="1:33" x14ac:dyDescent="0.25">
      <c r="A1670" t="s">
        <v>2744</v>
      </c>
      <c r="B1670" t="s">
        <v>203</v>
      </c>
      <c r="C1670">
        <v>165354</v>
      </c>
      <c r="D1670">
        <v>165354</v>
      </c>
      <c r="E1670">
        <v>40</v>
      </c>
      <c r="F1670">
        <v>30</v>
      </c>
      <c r="G1670">
        <v>50</v>
      </c>
      <c r="O1670">
        <v>120</v>
      </c>
      <c r="S1670">
        <f t="shared" si="392"/>
        <v>7.5</v>
      </c>
      <c r="T1670">
        <f t="shared" si="393"/>
        <v>0</v>
      </c>
      <c r="U1670">
        <f t="shared" si="391"/>
        <v>1</v>
      </c>
      <c r="V1670">
        <f t="shared" si="394"/>
        <v>1</v>
      </c>
      <c r="W1670">
        <f t="shared" si="395"/>
        <v>0</v>
      </c>
      <c r="X1670">
        <f t="shared" si="404"/>
        <v>1</v>
      </c>
      <c r="Y1670">
        <f t="shared" si="405"/>
        <v>0</v>
      </c>
      <c r="Z1670">
        <f t="shared" si="396"/>
        <v>8</v>
      </c>
      <c r="AA1670">
        <f t="shared" si="397"/>
        <v>7.5</v>
      </c>
      <c r="AB1670">
        <f t="shared" si="398"/>
        <v>7.1428571428571432</v>
      </c>
      <c r="AC1670">
        <f t="shared" si="399"/>
        <v>0</v>
      </c>
      <c r="AD1670" s="1">
        <f t="shared" si="400"/>
        <v>0</v>
      </c>
      <c r="AE1670">
        <f t="shared" si="401"/>
        <v>0</v>
      </c>
      <c r="AF1670">
        <f t="shared" si="402"/>
        <v>0</v>
      </c>
      <c r="AG1670">
        <f t="shared" si="403"/>
        <v>0</v>
      </c>
    </row>
    <row r="1671" spans="1:33" x14ac:dyDescent="0.25">
      <c r="A1671" t="s">
        <v>2745</v>
      </c>
      <c r="B1671" t="s">
        <v>2746</v>
      </c>
      <c r="C1671">
        <v>166442</v>
      </c>
      <c r="D1671">
        <v>166442</v>
      </c>
      <c r="E1671">
        <v>30</v>
      </c>
      <c r="F1671">
        <v>20</v>
      </c>
      <c r="G1671">
        <v>30</v>
      </c>
      <c r="O1671">
        <v>80</v>
      </c>
      <c r="S1671">
        <f t="shared" si="392"/>
        <v>5</v>
      </c>
      <c r="T1671">
        <f t="shared" si="393"/>
        <v>0</v>
      </c>
      <c r="U1671">
        <f t="shared" si="391"/>
        <v>1</v>
      </c>
      <c r="V1671">
        <f t="shared" si="394"/>
        <v>1</v>
      </c>
      <c r="W1671">
        <f t="shared" si="395"/>
        <v>0</v>
      </c>
      <c r="X1671">
        <f t="shared" si="404"/>
        <v>0</v>
      </c>
      <c r="Y1671">
        <f t="shared" si="405"/>
        <v>0</v>
      </c>
      <c r="Z1671">
        <f t="shared" si="396"/>
        <v>6</v>
      </c>
      <c r="AA1671">
        <f t="shared" si="397"/>
        <v>5</v>
      </c>
      <c r="AB1671">
        <f t="shared" si="398"/>
        <v>4.2857142857142856</v>
      </c>
      <c r="AC1671">
        <f t="shared" si="399"/>
        <v>0</v>
      </c>
      <c r="AD1671" s="1">
        <f t="shared" si="400"/>
        <v>0</v>
      </c>
      <c r="AE1671">
        <f t="shared" si="401"/>
        <v>0</v>
      </c>
      <c r="AF1671">
        <f t="shared" si="402"/>
        <v>0</v>
      </c>
      <c r="AG1671">
        <f t="shared" si="403"/>
        <v>0</v>
      </c>
    </row>
    <row r="1672" spans="1:33" x14ac:dyDescent="0.25">
      <c r="A1672" t="s">
        <v>2745</v>
      </c>
      <c r="B1672" t="s">
        <v>45</v>
      </c>
      <c r="C1672">
        <v>168546</v>
      </c>
      <c r="D1672">
        <v>168546</v>
      </c>
      <c r="H1672">
        <v>10</v>
      </c>
      <c r="I1672">
        <v>40</v>
      </c>
      <c r="J1672">
        <v>20</v>
      </c>
      <c r="K1672">
        <v>10</v>
      </c>
      <c r="L1672">
        <v>0</v>
      </c>
      <c r="M1672">
        <v>80</v>
      </c>
      <c r="S1672">
        <f t="shared" si="392"/>
        <v>0</v>
      </c>
      <c r="T1672">
        <f t="shared" si="393"/>
        <v>6.666666666666667</v>
      </c>
      <c r="U1672">
        <f t="shared" si="391"/>
        <v>1</v>
      </c>
      <c r="V1672">
        <f t="shared" si="394"/>
        <v>0</v>
      </c>
      <c r="W1672">
        <f t="shared" si="395"/>
        <v>1</v>
      </c>
      <c r="X1672">
        <f t="shared" si="404"/>
        <v>0</v>
      </c>
      <c r="Y1672">
        <f t="shared" si="405"/>
        <v>1</v>
      </c>
      <c r="Z1672">
        <f t="shared" si="396"/>
        <v>0</v>
      </c>
      <c r="AA1672">
        <f t="shared" si="397"/>
        <v>0</v>
      </c>
      <c r="AB1672">
        <f t="shared" si="398"/>
        <v>0</v>
      </c>
      <c r="AC1672">
        <f t="shared" si="399"/>
        <v>5</v>
      </c>
      <c r="AD1672" s="1">
        <f t="shared" si="400"/>
        <v>6.666666666666667</v>
      </c>
      <c r="AE1672">
        <f t="shared" si="401"/>
        <v>10</v>
      </c>
      <c r="AF1672">
        <f t="shared" si="402"/>
        <v>10</v>
      </c>
      <c r="AG1672">
        <f t="shared" si="403"/>
        <v>0</v>
      </c>
    </row>
    <row r="1673" spans="1:33" x14ac:dyDescent="0.25">
      <c r="A1673" t="s">
        <v>2747</v>
      </c>
      <c r="B1673" t="s">
        <v>2748</v>
      </c>
      <c r="C1673">
        <v>159029</v>
      </c>
      <c r="D1673">
        <v>159029</v>
      </c>
      <c r="S1673">
        <f t="shared" si="392"/>
        <v>0</v>
      </c>
      <c r="T1673">
        <f t="shared" si="393"/>
        <v>0</v>
      </c>
      <c r="U1673">
        <f t="shared" si="391"/>
        <v>0</v>
      </c>
      <c r="V1673">
        <f t="shared" si="394"/>
        <v>0</v>
      </c>
      <c r="W1673">
        <f t="shared" si="395"/>
        <v>0</v>
      </c>
      <c r="X1673">
        <f t="shared" si="404"/>
        <v>0</v>
      </c>
      <c r="Y1673">
        <f t="shared" si="405"/>
        <v>0</v>
      </c>
      <c r="Z1673">
        <f t="shared" si="396"/>
        <v>0</v>
      </c>
      <c r="AA1673">
        <f t="shared" si="397"/>
        <v>0</v>
      </c>
      <c r="AB1673">
        <f t="shared" si="398"/>
        <v>0</v>
      </c>
      <c r="AC1673">
        <f t="shared" si="399"/>
        <v>0</v>
      </c>
      <c r="AD1673" s="1">
        <f t="shared" si="400"/>
        <v>0</v>
      </c>
      <c r="AE1673">
        <f t="shared" si="401"/>
        <v>0</v>
      </c>
      <c r="AF1673">
        <f t="shared" si="402"/>
        <v>0</v>
      </c>
      <c r="AG1673">
        <f t="shared" si="403"/>
        <v>0</v>
      </c>
    </row>
    <row r="1674" spans="1:33" x14ac:dyDescent="0.25">
      <c r="A1674" t="s">
        <v>2749</v>
      </c>
      <c r="B1674" t="s">
        <v>1308</v>
      </c>
      <c r="C1674">
        <v>168396</v>
      </c>
      <c r="D1674">
        <v>168396</v>
      </c>
      <c r="S1674">
        <f t="shared" si="392"/>
        <v>0</v>
      </c>
      <c r="T1674">
        <f t="shared" si="393"/>
        <v>0</v>
      </c>
      <c r="U1674">
        <f t="shared" si="391"/>
        <v>0</v>
      </c>
      <c r="V1674">
        <f t="shared" si="394"/>
        <v>0</v>
      </c>
      <c r="W1674">
        <f t="shared" si="395"/>
        <v>0</v>
      </c>
      <c r="X1674">
        <f t="shared" si="404"/>
        <v>0</v>
      </c>
      <c r="Y1674">
        <f t="shared" si="405"/>
        <v>0</v>
      </c>
      <c r="Z1674">
        <f t="shared" si="396"/>
        <v>0</v>
      </c>
      <c r="AA1674">
        <f t="shared" si="397"/>
        <v>0</v>
      </c>
      <c r="AB1674">
        <f t="shared" si="398"/>
        <v>0</v>
      </c>
      <c r="AC1674">
        <f t="shared" si="399"/>
        <v>0</v>
      </c>
      <c r="AD1674" s="1">
        <f t="shared" si="400"/>
        <v>0</v>
      </c>
      <c r="AE1674">
        <f t="shared" si="401"/>
        <v>0</v>
      </c>
      <c r="AF1674">
        <f t="shared" si="402"/>
        <v>0</v>
      </c>
      <c r="AG1674">
        <f t="shared" si="403"/>
        <v>0</v>
      </c>
    </row>
    <row r="1675" spans="1:33" x14ac:dyDescent="0.25">
      <c r="A1675" t="s">
        <v>2750</v>
      </c>
      <c r="B1675" t="s">
        <v>286</v>
      </c>
      <c r="C1675">
        <v>167084</v>
      </c>
      <c r="D1675">
        <v>167084</v>
      </c>
      <c r="E1675">
        <v>30</v>
      </c>
      <c r="F1675">
        <v>20</v>
      </c>
      <c r="G1675">
        <v>20</v>
      </c>
      <c r="O1675">
        <v>70</v>
      </c>
      <c r="S1675">
        <f t="shared" si="392"/>
        <v>4.375</v>
      </c>
      <c r="T1675">
        <f t="shared" si="393"/>
        <v>0</v>
      </c>
      <c r="U1675">
        <f t="shared" si="391"/>
        <v>1</v>
      </c>
      <c r="V1675">
        <f t="shared" si="394"/>
        <v>1</v>
      </c>
      <c r="W1675">
        <f t="shared" si="395"/>
        <v>0</v>
      </c>
      <c r="X1675">
        <f t="shared" si="404"/>
        <v>0</v>
      </c>
      <c r="Y1675">
        <f t="shared" si="405"/>
        <v>0</v>
      </c>
      <c r="Z1675">
        <f t="shared" si="396"/>
        <v>6</v>
      </c>
      <c r="AA1675">
        <f t="shared" si="397"/>
        <v>5</v>
      </c>
      <c r="AB1675">
        <f t="shared" si="398"/>
        <v>2.8571428571428572</v>
      </c>
      <c r="AC1675">
        <f t="shared" si="399"/>
        <v>0</v>
      </c>
      <c r="AD1675" s="1">
        <f t="shared" si="400"/>
        <v>0</v>
      </c>
      <c r="AE1675">
        <f t="shared" si="401"/>
        <v>0</v>
      </c>
      <c r="AF1675">
        <f t="shared" si="402"/>
        <v>0</v>
      </c>
      <c r="AG1675">
        <f t="shared" si="403"/>
        <v>0</v>
      </c>
    </row>
    <row r="1676" spans="1:33" x14ac:dyDescent="0.25">
      <c r="A1676" t="s">
        <v>2751</v>
      </c>
      <c r="B1676" t="s">
        <v>958</v>
      </c>
      <c r="C1676">
        <v>165336</v>
      </c>
      <c r="D1676">
        <v>165336</v>
      </c>
      <c r="S1676">
        <f t="shared" si="392"/>
        <v>0</v>
      </c>
      <c r="T1676">
        <f t="shared" si="393"/>
        <v>0</v>
      </c>
      <c r="U1676">
        <f t="shared" si="391"/>
        <v>0</v>
      </c>
      <c r="V1676">
        <f t="shared" si="394"/>
        <v>0</v>
      </c>
      <c r="W1676">
        <f t="shared" si="395"/>
        <v>0</v>
      </c>
      <c r="X1676">
        <f t="shared" si="404"/>
        <v>0</v>
      </c>
      <c r="Y1676">
        <f t="shared" si="405"/>
        <v>0</v>
      </c>
      <c r="Z1676">
        <f t="shared" si="396"/>
        <v>0</v>
      </c>
      <c r="AA1676">
        <f t="shared" si="397"/>
        <v>0</v>
      </c>
      <c r="AB1676">
        <f t="shared" si="398"/>
        <v>0</v>
      </c>
      <c r="AC1676">
        <f t="shared" si="399"/>
        <v>0</v>
      </c>
      <c r="AD1676" s="1">
        <f t="shared" si="400"/>
        <v>0</v>
      </c>
      <c r="AE1676">
        <f t="shared" si="401"/>
        <v>0</v>
      </c>
      <c r="AF1676">
        <f t="shared" si="402"/>
        <v>0</v>
      </c>
      <c r="AG1676">
        <f t="shared" si="403"/>
        <v>0</v>
      </c>
    </row>
    <row r="1677" spans="1:33" x14ac:dyDescent="0.25">
      <c r="A1677" t="s">
        <v>2752</v>
      </c>
      <c r="B1677" t="s">
        <v>1308</v>
      </c>
      <c r="C1677">
        <v>159841</v>
      </c>
      <c r="D1677">
        <v>159841</v>
      </c>
      <c r="S1677">
        <f t="shared" si="392"/>
        <v>0</v>
      </c>
      <c r="T1677">
        <f t="shared" si="393"/>
        <v>0</v>
      </c>
      <c r="U1677">
        <f t="shared" si="391"/>
        <v>0</v>
      </c>
      <c r="V1677">
        <f t="shared" si="394"/>
        <v>0</v>
      </c>
      <c r="W1677">
        <f t="shared" si="395"/>
        <v>0</v>
      </c>
      <c r="X1677">
        <f t="shared" si="404"/>
        <v>0</v>
      </c>
      <c r="Y1677">
        <f t="shared" si="405"/>
        <v>0</v>
      </c>
      <c r="Z1677">
        <f t="shared" si="396"/>
        <v>0</v>
      </c>
      <c r="AA1677">
        <f t="shared" si="397"/>
        <v>0</v>
      </c>
      <c r="AB1677">
        <f t="shared" si="398"/>
        <v>0</v>
      </c>
      <c r="AC1677">
        <f t="shared" si="399"/>
        <v>0</v>
      </c>
      <c r="AD1677" s="1">
        <f t="shared" si="400"/>
        <v>0</v>
      </c>
      <c r="AE1677">
        <f t="shared" si="401"/>
        <v>0</v>
      </c>
      <c r="AF1677">
        <f t="shared" si="402"/>
        <v>0</v>
      </c>
      <c r="AG1677">
        <f t="shared" si="403"/>
        <v>0</v>
      </c>
    </row>
    <row r="1678" spans="1:33" x14ac:dyDescent="0.25">
      <c r="A1678" t="s">
        <v>2753</v>
      </c>
      <c r="B1678" t="s">
        <v>489</v>
      </c>
      <c r="C1678">
        <v>163326</v>
      </c>
      <c r="D1678">
        <v>163326</v>
      </c>
      <c r="E1678">
        <v>20</v>
      </c>
      <c r="F1678">
        <v>0</v>
      </c>
      <c r="G1678">
        <v>40</v>
      </c>
      <c r="O1678">
        <v>60</v>
      </c>
      <c r="S1678">
        <f t="shared" si="392"/>
        <v>3.75</v>
      </c>
      <c r="T1678">
        <f t="shared" si="393"/>
        <v>0</v>
      </c>
      <c r="U1678">
        <f t="shared" si="391"/>
        <v>1</v>
      </c>
      <c r="V1678">
        <f t="shared" si="394"/>
        <v>1</v>
      </c>
      <c r="W1678">
        <f t="shared" si="395"/>
        <v>0</v>
      </c>
      <c r="X1678">
        <f t="shared" si="404"/>
        <v>0</v>
      </c>
      <c r="Y1678">
        <f t="shared" si="405"/>
        <v>0</v>
      </c>
      <c r="Z1678">
        <f t="shared" si="396"/>
        <v>4</v>
      </c>
      <c r="AA1678">
        <f t="shared" si="397"/>
        <v>0</v>
      </c>
      <c r="AB1678">
        <f t="shared" si="398"/>
        <v>5.7142857142857144</v>
      </c>
      <c r="AC1678">
        <f t="shared" si="399"/>
        <v>0</v>
      </c>
      <c r="AD1678" s="1">
        <f t="shared" si="400"/>
        <v>0</v>
      </c>
      <c r="AE1678">
        <f t="shared" si="401"/>
        <v>0</v>
      </c>
      <c r="AF1678">
        <f t="shared" si="402"/>
        <v>0</v>
      </c>
      <c r="AG1678">
        <f t="shared" si="403"/>
        <v>0</v>
      </c>
    </row>
    <row r="1679" spans="1:33" x14ac:dyDescent="0.25">
      <c r="A1679" t="s">
        <v>2754</v>
      </c>
      <c r="B1679" t="s">
        <v>2755</v>
      </c>
      <c r="C1679">
        <v>167594</v>
      </c>
      <c r="D1679">
        <v>167594</v>
      </c>
      <c r="H1679">
        <v>20</v>
      </c>
      <c r="I1679">
        <v>30</v>
      </c>
      <c r="J1679">
        <v>20</v>
      </c>
      <c r="K1679">
        <v>10</v>
      </c>
      <c r="L1679">
        <v>10</v>
      </c>
      <c r="M1679">
        <v>90</v>
      </c>
      <c r="S1679">
        <f t="shared" si="392"/>
        <v>0</v>
      </c>
      <c r="T1679">
        <f t="shared" si="393"/>
        <v>7.5</v>
      </c>
      <c r="U1679">
        <f t="shared" si="391"/>
        <v>1</v>
      </c>
      <c r="V1679">
        <f t="shared" si="394"/>
        <v>0</v>
      </c>
      <c r="W1679">
        <f t="shared" si="395"/>
        <v>1</v>
      </c>
      <c r="X1679">
        <f t="shared" si="404"/>
        <v>0</v>
      </c>
      <c r="Y1679">
        <f t="shared" si="405"/>
        <v>1</v>
      </c>
      <c r="Z1679">
        <f t="shared" si="396"/>
        <v>0</v>
      </c>
      <c r="AA1679">
        <f t="shared" si="397"/>
        <v>0</v>
      </c>
      <c r="AB1679">
        <f t="shared" si="398"/>
        <v>0</v>
      </c>
      <c r="AC1679">
        <f t="shared" si="399"/>
        <v>10</v>
      </c>
      <c r="AD1679" s="1">
        <f t="shared" si="400"/>
        <v>5</v>
      </c>
      <c r="AE1679">
        <f t="shared" si="401"/>
        <v>10</v>
      </c>
      <c r="AF1679">
        <f t="shared" si="402"/>
        <v>10</v>
      </c>
      <c r="AG1679">
        <f t="shared" si="403"/>
        <v>10</v>
      </c>
    </row>
    <row r="1680" spans="1:33" x14ac:dyDescent="0.25">
      <c r="A1680" t="s">
        <v>2756</v>
      </c>
      <c r="B1680" t="s">
        <v>166</v>
      </c>
      <c r="C1680">
        <v>168431</v>
      </c>
      <c r="D1680">
        <v>168431</v>
      </c>
      <c r="H1680">
        <v>10</v>
      </c>
      <c r="I1680">
        <v>30</v>
      </c>
      <c r="J1680">
        <v>20</v>
      </c>
      <c r="K1680">
        <v>0</v>
      </c>
      <c r="L1680">
        <v>10</v>
      </c>
      <c r="M1680">
        <v>70</v>
      </c>
      <c r="S1680">
        <f t="shared" si="392"/>
        <v>0</v>
      </c>
      <c r="T1680">
        <f t="shared" si="393"/>
        <v>5.833333333333333</v>
      </c>
      <c r="U1680">
        <f t="shared" si="391"/>
        <v>1</v>
      </c>
      <c r="V1680">
        <f t="shared" si="394"/>
        <v>0</v>
      </c>
      <c r="W1680">
        <f t="shared" si="395"/>
        <v>1</v>
      </c>
      <c r="X1680">
        <f t="shared" si="404"/>
        <v>0</v>
      </c>
      <c r="Y1680">
        <f t="shared" si="405"/>
        <v>0</v>
      </c>
      <c r="Z1680">
        <f t="shared" si="396"/>
        <v>0</v>
      </c>
      <c r="AA1680">
        <f t="shared" si="397"/>
        <v>0</v>
      </c>
      <c r="AB1680">
        <f t="shared" si="398"/>
        <v>0</v>
      </c>
      <c r="AC1680">
        <f t="shared" si="399"/>
        <v>5</v>
      </c>
      <c r="AD1680" s="1">
        <f t="shared" si="400"/>
        <v>5</v>
      </c>
      <c r="AE1680">
        <f t="shared" si="401"/>
        <v>10</v>
      </c>
      <c r="AF1680">
        <f t="shared" si="402"/>
        <v>0</v>
      </c>
      <c r="AG1680">
        <f t="shared" si="403"/>
        <v>10</v>
      </c>
    </row>
    <row r="1681" spans="1:33" x14ac:dyDescent="0.25">
      <c r="A1681" t="s">
        <v>2757</v>
      </c>
      <c r="B1681" t="s">
        <v>2758</v>
      </c>
      <c r="C1681">
        <v>168314</v>
      </c>
      <c r="D1681">
        <v>168314</v>
      </c>
      <c r="S1681">
        <f t="shared" si="392"/>
        <v>0</v>
      </c>
      <c r="T1681">
        <f t="shared" si="393"/>
        <v>0</v>
      </c>
      <c r="U1681">
        <f t="shared" si="391"/>
        <v>0</v>
      </c>
      <c r="V1681">
        <f t="shared" si="394"/>
        <v>0</v>
      </c>
      <c r="W1681">
        <f t="shared" si="395"/>
        <v>0</v>
      </c>
      <c r="X1681">
        <f t="shared" si="404"/>
        <v>0</v>
      </c>
      <c r="Y1681">
        <f t="shared" si="405"/>
        <v>0</v>
      </c>
      <c r="Z1681">
        <f t="shared" si="396"/>
        <v>0</v>
      </c>
      <c r="AA1681">
        <f t="shared" si="397"/>
        <v>0</v>
      </c>
      <c r="AB1681">
        <f t="shared" si="398"/>
        <v>0</v>
      </c>
      <c r="AC1681">
        <f t="shared" si="399"/>
        <v>0</v>
      </c>
      <c r="AD1681" s="1">
        <f t="shared" si="400"/>
        <v>0</v>
      </c>
      <c r="AE1681">
        <f t="shared" si="401"/>
        <v>0</v>
      </c>
      <c r="AF1681">
        <f t="shared" si="402"/>
        <v>0</v>
      </c>
      <c r="AG1681">
        <f t="shared" si="403"/>
        <v>0</v>
      </c>
    </row>
    <row r="1682" spans="1:33" x14ac:dyDescent="0.25">
      <c r="A1682" t="s">
        <v>2759</v>
      </c>
      <c r="B1682" t="s">
        <v>367</v>
      </c>
      <c r="C1682">
        <v>168334</v>
      </c>
      <c r="D1682">
        <v>168334</v>
      </c>
      <c r="S1682">
        <f t="shared" si="392"/>
        <v>0</v>
      </c>
      <c r="T1682">
        <f t="shared" si="393"/>
        <v>0</v>
      </c>
      <c r="U1682">
        <f t="shared" si="391"/>
        <v>0</v>
      </c>
      <c r="V1682">
        <f t="shared" si="394"/>
        <v>0</v>
      </c>
      <c r="W1682">
        <f t="shared" si="395"/>
        <v>0</v>
      </c>
      <c r="X1682">
        <f t="shared" si="404"/>
        <v>0</v>
      </c>
      <c r="Y1682">
        <f t="shared" si="405"/>
        <v>0</v>
      </c>
      <c r="Z1682">
        <f t="shared" si="396"/>
        <v>0</v>
      </c>
      <c r="AA1682">
        <f t="shared" si="397"/>
        <v>0</v>
      </c>
      <c r="AB1682">
        <f t="shared" si="398"/>
        <v>0</v>
      </c>
      <c r="AC1682">
        <f t="shared" si="399"/>
        <v>0</v>
      </c>
      <c r="AD1682" s="1">
        <f t="shared" si="400"/>
        <v>0</v>
      </c>
      <c r="AE1682">
        <f t="shared" si="401"/>
        <v>0</v>
      </c>
      <c r="AF1682">
        <f t="shared" si="402"/>
        <v>0</v>
      </c>
      <c r="AG1682">
        <f t="shared" si="403"/>
        <v>0</v>
      </c>
    </row>
    <row r="1683" spans="1:33" x14ac:dyDescent="0.25">
      <c r="A1683" t="s">
        <v>2760</v>
      </c>
      <c r="B1683" t="s">
        <v>2761</v>
      </c>
      <c r="C1683">
        <v>166823</v>
      </c>
      <c r="D1683">
        <v>166823</v>
      </c>
      <c r="H1683">
        <v>10</v>
      </c>
      <c r="I1683">
        <v>20</v>
      </c>
      <c r="J1683">
        <v>10</v>
      </c>
      <c r="K1683">
        <v>10</v>
      </c>
      <c r="L1683">
        <v>10</v>
      </c>
      <c r="M1683">
        <v>60</v>
      </c>
      <c r="S1683">
        <f t="shared" si="392"/>
        <v>0</v>
      </c>
      <c r="T1683">
        <f t="shared" si="393"/>
        <v>5</v>
      </c>
      <c r="U1683">
        <f t="shared" si="391"/>
        <v>1</v>
      </c>
      <c r="V1683">
        <f t="shared" si="394"/>
        <v>0</v>
      </c>
      <c r="W1683">
        <f t="shared" si="395"/>
        <v>1</v>
      </c>
      <c r="X1683">
        <f t="shared" si="404"/>
        <v>0</v>
      </c>
      <c r="Y1683">
        <f t="shared" si="405"/>
        <v>0</v>
      </c>
      <c r="Z1683">
        <f t="shared" si="396"/>
        <v>0</v>
      </c>
      <c r="AA1683">
        <f t="shared" si="397"/>
        <v>0</v>
      </c>
      <c r="AB1683">
        <f t="shared" si="398"/>
        <v>0</v>
      </c>
      <c r="AC1683">
        <f t="shared" si="399"/>
        <v>5</v>
      </c>
      <c r="AD1683" s="1">
        <f t="shared" si="400"/>
        <v>3.3333333333333335</v>
      </c>
      <c r="AE1683">
        <f t="shared" si="401"/>
        <v>5</v>
      </c>
      <c r="AF1683">
        <f t="shared" si="402"/>
        <v>10</v>
      </c>
      <c r="AG1683">
        <f t="shared" si="403"/>
        <v>10</v>
      </c>
    </row>
    <row r="1684" spans="1:33" x14ac:dyDescent="0.25">
      <c r="A1684" t="s">
        <v>2762</v>
      </c>
      <c r="B1684" t="s">
        <v>130</v>
      </c>
      <c r="C1684">
        <v>166399</v>
      </c>
      <c r="D1684">
        <v>166399</v>
      </c>
      <c r="E1684">
        <v>40</v>
      </c>
      <c r="F1684">
        <v>40</v>
      </c>
      <c r="G1684">
        <v>20</v>
      </c>
      <c r="O1684">
        <v>100</v>
      </c>
      <c r="S1684">
        <f t="shared" si="392"/>
        <v>6.25</v>
      </c>
      <c r="T1684">
        <f t="shared" si="393"/>
        <v>0</v>
      </c>
      <c r="U1684">
        <f t="shared" si="391"/>
        <v>1</v>
      </c>
      <c r="V1684">
        <f t="shared" si="394"/>
        <v>1</v>
      </c>
      <c r="W1684">
        <f t="shared" si="395"/>
        <v>0</v>
      </c>
      <c r="X1684">
        <f t="shared" si="404"/>
        <v>1</v>
      </c>
      <c r="Y1684">
        <f t="shared" si="405"/>
        <v>0</v>
      </c>
      <c r="Z1684">
        <f t="shared" si="396"/>
        <v>8</v>
      </c>
      <c r="AA1684">
        <f t="shared" si="397"/>
        <v>10</v>
      </c>
      <c r="AB1684">
        <f t="shared" si="398"/>
        <v>2.8571428571428572</v>
      </c>
      <c r="AC1684">
        <f t="shared" si="399"/>
        <v>0</v>
      </c>
      <c r="AD1684" s="1">
        <f t="shared" si="400"/>
        <v>0</v>
      </c>
      <c r="AE1684">
        <f t="shared" si="401"/>
        <v>0</v>
      </c>
      <c r="AF1684">
        <f t="shared" si="402"/>
        <v>0</v>
      </c>
      <c r="AG1684">
        <f t="shared" si="403"/>
        <v>0</v>
      </c>
    </row>
    <row r="1685" spans="1:33" x14ac:dyDescent="0.25">
      <c r="A1685" t="s">
        <v>2763</v>
      </c>
      <c r="B1685" t="s">
        <v>166</v>
      </c>
      <c r="C1685">
        <v>167380</v>
      </c>
      <c r="D1685">
        <v>167380</v>
      </c>
      <c r="H1685">
        <v>20</v>
      </c>
      <c r="I1685">
        <v>50</v>
      </c>
      <c r="J1685">
        <v>10</v>
      </c>
      <c r="K1685">
        <v>10</v>
      </c>
      <c r="L1685">
        <v>10</v>
      </c>
      <c r="M1685">
        <v>100</v>
      </c>
      <c r="S1685">
        <f t="shared" si="392"/>
        <v>0</v>
      </c>
      <c r="T1685">
        <f t="shared" si="393"/>
        <v>8.3333333333333339</v>
      </c>
      <c r="U1685">
        <f t="shared" si="391"/>
        <v>1</v>
      </c>
      <c r="V1685">
        <f t="shared" si="394"/>
        <v>0</v>
      </c>
      <c r="W1685">
        <f t="shared" si="395"/>
        <v>1</v>
      </c>
      <c r="X1685">
        <f t="shared" si="404"/>
        <v>0</v>
      </c>
      <c r="Y1685">
        <f t="shared" si="405"/>
        <v>1</v>
      </c>
      <c r="Z1685">
        <f t="shared" si="396"/>
        <v>0</v>
      </c>
      <c r="AA1685">
        <f t="shared" si="397"/>
        <v>0</v>
      </c>
      <c r="AB1685">
        <f t="shared" si="398"/>
        <v>0</v>
      </c>
      <c r="AC1685">
        <f t="shared" si="399"/>
        <v>10</v>
      </c>
      <c r="AD1685" s="1">
        <f t="shared" si="400"/>
        <v>8.3333333333333339</v>
      </c>
      <c r="AE1685">
        <f t="shared" si="401"/>
        <v>5</v>
      </c>
      <c r="AF1685">
        <f t="shared" si="402"/>
        <v>10</v>
      </c>
      <c r="AG1685">
        <f t="shared" si="403"/>
        <v>10</v>
      </c>
    </row>
    <row r="1686" spans="1:33" x14ac:dyDescent="0.25">
      <c r="A1686" t="s">
        <v>2764</v>
      </c>
      <c r="B1686" t="s">
        <v>1059</v>
      </c>
      <c r="C1686">
        <v>165795</v>
      </c>
      <c r="D1686">
        <v>165795</v>
      </c>
      <c r="H1686">
        <v>20</v>
      </c>
      <c r="I1686">
        <v>20</v>
      </c>
      <c r="J1686">
        <v>20</v>
      </c>
      <c r="K1686">
        <v>10</v>
      </c>
      <c r="L1686">
        <v>10</v>
      </c>
      <c r="M1686">
        <v>80</v>
      </c>
      <c r="S1686">
        <f t="shared" si="392"/>
        <v>0</v>
      </c>
      <c r="T1686">
        <f t="shared" si="393"/>
        <v>6.666666666666667</v>
      </c>
      <c r="U1686">
        <f t="shared" si="391"/>
        <v>1</v>
      </c>
      <c r="V1686">
        <f t="shared" si="394"/>
        <v>0</v>
      </c>
      <c r="W1686">
        <f t="shared" si="395"/>
        <v>1</v>
      </c>
      <c r="X1686">
        <f t="shared" si="404"/>
        <v>0</v>
      </c>
      <c r="Y1686">
        <f t="shared" si="405"/>
        <v>1</v>
      </c>
      <c r="Z1686">
        <f t="shared" si="396"/>
        <v>0</v>
      </c>
      <c r="AA1686">
        <f t="shared" si="397"/>
        <v>0</v>
      </c>
      <c r="AB1686">
        <f t="shared" si="398"/>
        <v>0</v>
      </c>
      <c r="AC1686">
        <f t="shared" si="399"/>
        <v>10</v>
      </c>
      <c r="AD1686" s="1">
        <f t="shared" si="400"/>
        <v>3.3333333333333335</v>
      </c>
      <c r="AE1686">
        <f t="shared" si="401"/>
        <v>10</v>
      </c>
      <c r="AF1686">
        <f t="shared" si="402"/>
        <v>10</v>
      </c>
      <c r="AG1686">
        <f t="shared" si="403"/>
        <v>10</v>
      </c>
    </row>
    <row r="1687" spans="1:33" x14ac:dyDescent="0.25">
      <c r="A1687" t="s">
        <v>2765</v>
      </c>
      <c r="B1687" t="s">
        <v>2766</v>
      </c>
      <c r="C1687">
        <v>166863</v>
      </c>
      <c r="D1687">
        <v>166863</v>
      </c>
      <c r="H1687">
        <v>10</v>
      </c>
      <c r="I1687">
        <v>40</v>
      </c>
      <c r="J1687">
        <v>20</v>
      </c>
      <c r="K1687">
        <v>10</v>
      </c>
      <c r="L1687">
        <v>0</v>
      </c>
      <c r="M1687">
        <v>80</v>
      </c>
      <c r="S1687">
        <f t="shared" si="392"/>
        <v>0</v>
      </c>
      <c r="T1687">
        <f t="shared" si="393"/>
        <v>6.666666666666667</v>
      </c>
      <c r="U1687">
        <f t="shared" si="391"/>
        <v>1</v>
      </c>
      <c r="V1687">
        <f t="shared" si="394"/>
        <v>0</v>
      </c>
      <c r="W1687">
        <f t="shared" si="395"/>
        <v>1</v>
      </c>
      <c r="X1687">
        <f t="shared" si="404"/>
        <v>0</v>
      </c>
      <c r="Y1687">
        <f t="shared" si="405"/>
        <v>1</v>
      </c>
      <c r="Z1687">
        <f t="shared" si="396"/>
        <v>0</v>
      </c>
      <c r="AA1687">
        <f t="shared" si="397"/>
        <v>0</v>
      </c>
      <c r="AB1687">
        <f t="shared" si="398"/>
        <v>0</v>
      </c>
      <c r="AC1687">
        <f t="shared" si="399"/>
        <v>5</v>
      </c>
      <c r="AD1687" s="1">
        <f t="shared" si="400"/>
        <v>6.666666666666667</v>
      </c>
      <c r="AE1687">
        <f t="shared" si="401"/>
        <v>10</v>
      </c>
      <c r="AF1687">
        <f t="shared" si="402"/>
        <v>10</v>
      </c>
      <c r="AG1687">
        <f t="shared" si="403"/>
        <v>0</v>
      </c>
    </row>
    <row r="1688" spans="1:33" x14ac:dyDescent="0.25">
      <c r="A1688" t="s">
        <v>2767</v>
      </c>
      <c r="B1688" t="s">
        <v>1835</v>
      </c>
      <c r="C1688">
        <v>166477</v>
      </c>
      <c r="D1688">
        <v>166477</v>
      </c>
      <c r="H1688">
        <v>0</v>
      </c>
      <c r="I1688">
        <v>30</v>
      </c>
      <c r="J1688">
        <v>10</v>
      </c>
      <c r="K1688">
        <v>0</v>
      </c>
      <c r="L1688">
        <v>10</v>
      </c>
      <c r="M1688">
        <v>50</v>
      </c>
      <c r="S1688">
        <f t="shared" si="392"/>
        <v>0</v>
      </c>
      <c r="T1688">
        <f t="shared" si="393"/>
        <v>4.166666666666667</v>
      </c>
      <c r="U1688">
        <f t="shared" si="391"/>
        <v>1</v>
      </c>
      <c r="V1688">
        <f t="shared" si="394"/>
        <v>0</v>
      </c>
      <c r="W1688">
        <f t="shared" si="395"/>
        <v>1</v>
      </c>
      <c r="X1688">
        <f t="shared" si="404"/>
        <v>0</v>
      </c>
      <c r="Y1688">
        <f t="shared" si="405"/>
        <v>0</v>
      </c>
      <c r="Z1688">
        <f t="shared" si="396"/>
        <v>0</v>
      </c>
      <c r="AA1688">
        <f t="shared" si="397"/>
        <v>0</v>
      </c>
      <c r="AB1688">
        <f t="shared" si="398"/>
        <v>0</v>
      </c>
      <c r="AC1688">
        <f t="shared" si="399"/>
        <v>0</v>
      </c>
      <c r="AD1688" s="1">
        <f t="shared" si="400"/>
        <v>5</v>
      </c>
      <c r="AE1688">
        <f t="shared" si="401"/>
        <v>5</v>
      </c>
      <c r="AF1688">
        <f t="shared" si="402"/>
        <v>0</v>
      </c>
      <c r="AG1688">
        <f t="shared" si="403"/>
        <v>10</v>
      </c>
    </row>
    <row r="1689" spans="1:33" x14ac:dyDescent="0.25">
      <c r="A1689" t="s">
        <v>2767</v>
      </c>
      <c r="B1689" t="s">
        <v>2768</v>
      </c>
      <c r="C1689">
        <v>168285</v>
      </c>
      <c r="D1689">
        <v>168285</v>
      </c>
      <c r="R1689">
        <v>0</v>
      </c>
      <c r="S1689">
        <f t="shared" si="392"/>
        <v>0</v>
      </c>
      <c r="T1689">
        <f t="shared" si="393"/>
        <v>0</v>
      </c>
      <c r="U1689">
        <f t="shared" si="391"/>
        <v>0</v>
      </c>
      <c r="V1689">
        <f t="shared" si="394"/>
        <v>0</v>
      </c>
      <c r="W1689">
        <f t="shared" si="395"/>
        <v>0</v>
      </c>
      <c r="X1689">
        <f t="shared" si="404"/>
        <v>0</v>
      </c>
      <c r="Y1689">
        <f t="shared" si="405"/>
        <v>0</v>
      </c>
      <c r="Z1689">
        <f t="shared" si="396"/>
        <v>0</v>
      </c>
      <c r="AA1689">
        <f t="shared" si="397"/>
        <v>0</v>
      </c>
      <c r="AB1689">
        <f t="shared" si="398"/>
        <v>0</v>
      </c>
      <c r="AC1689">
        <f t="shared" si="399"/>
        <v>0</v>
      </c>
      <c r="AD1689" s="1">
        <f t="shared" si="400"/>
        <v>0</v>
      </c>
      <c r="AE1689">
        <f t="shared" si="401"/>
        <v>0</v>
      </c>
      <c r="AF1689">
        <f t="shared" si="402"/>
        <v>0</v>
      </c>
      <c r="AG1689">
        <f t="shared" si="403"/>
        <v>0</v>
      </c>
    </row>
    <row r="1690" spans="1:33" x14ac:dyDescent="0.25">
      <c r="A1690" t="s">
        <v>2769</v>
      </c>
      <c r="B1690" t="s">
        <v>286</v>
      </c>
      <c r="C1690">
        <v>163436</v>
      </c>
      <c r="D1690">
        <v>163436</v>
      </c>
      <c r="S1690">
        <f t="shared" si="392"/>
        <v>0</v>
      </c>
      <c r="T1690">
        <f t="shared" si="393"/>
        <v>0</v>
      </c>
      <c r="U1690">
        <f t="shared" si="391"/>
        <v>0</v>
      </c>
      <c r="V1690">
        <f t="shared" si="394"/>
        <v>0</v>
      </c>
      <c r="W1690">
        <f t="shared" si="395"/>
        <v>0</v>
      </c>
      <c r="X1690">
        <f t="shared" si="404"/>
        <v>0</v>
      </c>
      <c r="Y1690">
        <f t="shared" si="405"/>
        <v>0</v>
      </c>
      <c r="Z1690">
        <f t="shared" si="396"/>
        <v>0</v>
      </c>
      <c r="AA1690">
        <f t="shared" si="397"/>
        <v>0</v>
      </c>
      <c r="AB1690">
        <f t="shared" si="398"/>
        <v>0</v>
      </c>
      <c r="AC1690">
        <f t="shared" si="399"/>
        <v>0</v>
      </c>
      <c r="AD1690" s="1">
        <f t="shared" si="400"/>
        <v>0</v>
      </c>
      <c r="AE1690">
        <f t="shared" si="401"/>
        <v>0</v>
      </c>
      <c r="AF1690">
        <f t="shared" si="402"/>
        <v>0</v>
      </c>
      <c r="AG1690">
        <f t="shared" si="403"/>
        <v>0</v>
      </c>
    </row>
    <row r="1691" spans="1:33" x14ac:dyDescent="0.25">
      <c r="A1691" t="s">
        <v>2769</v>
      </c>
      <c r="B1691" t="s">
        <v>2770</v>
      </c>
      <c r="C1691">
        <v>167827</v>
      </c>
      <c r="D1691">
        <v>167827</v>
      </c>
      <c r="S1691">
        <f t="shared" si="392"/>
        <v>0</v>
      </c>
      <c r="T1691">
        <f t="shared" si="393"/>
        <v>0</v>
      </c>
      <c r="U1691">
        <f t="shared" si="391"/>
        <v>0</v>
      </c>
      <c r="V1691">
        <f t="shared" si="394"/>
        <v>0</v>
      </c>
      <c r="W1691">
        <f t="shared" si="395"/>
        <v>0</v>
      </c>
      <c r="X1691">
        <f t="shared" si="404"/>
        <v>0</v>
      </c>
      <c r="Y1691">
        <f t="shared" si="405"/>
        <v>0</v>
      </c>
      <c r="Z1691">
        <f t="shared" si="396"/>
        <v>0</v>
      </c>
      <c r="AA1691">
        <f t="shared" si="397"/>
        <v>0</v>
      </c>
      <c r="AB1691">
        <f t="shared" si="398"/>
        <v>0</v>
      </c>
      <c r="AC1691">
        <f t="shared" si="399"/>
        <v>0</v>
      </c>
      <c r="AD1691" s="1">
        <f t="shared" si="400"/>
        <v>0</v>
      </c>
      <c r="AE1691">
        <f t="shared" si="401"/>
        <v>0</v>
      </c>
      <c r="AF1691">
        <f t="shared" si="402"/>
        <v>0</v>
      </c>
      <c r="AG1691">
        <f t="shared" si="403"/>
        <v>0</v>
      </c>
    </row>
    <row r="1692" spans="1:33" x14ac:dyDescent="0.25">
      <c r="A1692" t="s">
        <v>2771</v>
      </c>
      <c r="B1692" t="s">
        <v>2772</v>
      </c>
      <c r="C1692">
        <v>161696</v>
      </c>
      <c r="D1692">
        <v>161696</v>
      </c>
      <c r="S1692">
        <f t="shared" si="392"/>
        <v>0</v>
      </c>
      <c r="T1692">
        <f t="shared" si="393"/>
        <v>0</v>
      </c>
      <c r="U1692">
        <f t="shared" si="391"/>
        <v>0</v>
      </c>
      <c r="V1692">
        <f t="shared" si="394"/>
        <v>0</v>
      </c>
      <c r="W1692">
        <f t="shared" si="395"/>
        <v>0</v>
      </c>
      <c r="X1692">
        <f t="shared" si="404"/>
        <v>0</v>
      </c>
      <c r="Y1692">
        <f t="shared" si="405"/>
        <v>0</v>
      </c>
      <c r="Z1692">
        <f t="shared" si="396"/>
        <v>0</v>
      </c>
      <c r="AA1692">
        <f t="shared" si="397"/>
        <v>0</v>
      </c>
      <c r="AB1692">
        <f t="shared" si="398"/>
        <v>0</v>
      </c>
      <c r="AC1692">
        <f t="shared" si="399"/>
        <v>0</v>
      </c>
      <c r="AD1692" s="1">
        <f t="shared" si="400"/>
        <v>0</v>
      </c>
      <c r="AE1692">
        <f t="shared" si="401"/>
        <v>0</v>
      </c>
      <c r="AF1692">
        <f t="shared" si="402"/>
        <v>0</v>
      </c>
      <c r="AG1692">
        <f t="shared" si="403"/>
        <v>0</v>
      </c>
    </row>
    <row r="1693" spans="1:33" x14ac:dyDescent="0.25">
      <c r="A1693" t="s">
        <v>2773</v>
      </c>
      <c r="B1693" t="s">
        <v>340</v>
      </c>
      <c r="C1693">
        <v>166168</v>
      </c>
      <c r="D1693">
        <v>166168</v>
      </c>
      <c r="E1693">
        <v>40</v>
      </c>
      <c r="F1693">
        <v>30</v>
      </c>
      <c r="G1693">
        <v>30</v>
      </c>
      <c r="O1693">
        <v>100</v>
      </c>
      <c r="S1693">
        <f t="shared" si="392"/>
        <v>6.25</v>
      </c>
      <c r="T1693">
        <f t="shared" si="393"/>
        <v>0</v>
      </c>
      <c r="U1693">
        <f t="shared" si="391"/>
        <v>1</v>
      </c>
      <c r="V1693">
        <f t="shared" si="394"/>
        <v>1</v>
      </c>
      <c r="W1693">
        <f t="shared" si="395"/>
        <v>0</v>
      </c>
      <c r="X1693">
        <f t="shared" si="404"/>
        <v>1</v>
      </c>
      <c r="Y1693">
        <f t="shared" si="405"/>
        <v>0</v>
      </c>
      <c r="Z1693">
        <f t="shared" si="396"/>
        <v>8</v>
      </c>
      <c r="AA1693">
        <f t="shared" si="397"/>
        <v>7.5</v>
      </c>
      <c r="AB1693">
        <f t="shared" si="398"/>
        <v>4.2857142857142856</v>
      </c>
      <c r="AC1693">
        <f t="shared" si="399"/>
        <v>0</v>
      </c>
      <c r="AD1693" s="1">
        <f t="shared" si="400"/>
        <v>0</v>
      </c>
      <c r="AE1693">
        <f t="shared" si="401"/>
        <v>0</v>
      </c>
      <c r="AF1693">
        <f t="shared" si="402"/>
        <v>0</v>
      </c>
      <c r="AG1693">
        <f t="shared" si="403"/>
        <v>0</v>
      </c>
    </row>
    <row r="1694" spans="1:33" x14ac:dyDescent="0.25">
      <c r="A1694" t="s">
        <v>2774</v>
      </c>
      <c r="B1694" t="s">
        <v>715</v>
      </c>
      <c r="C1694">
        <v>168765</v>
      </c>
      <c r="D1694">
        <v>168765</v>
      </c>
      <c r="E1694">
        <v>20</v>
      </c>
      <c r="F1694">
        <v>20</v>
      </c>
      <c r="G1694">
        <v>40</v>
      </c>
      <c r="N1694" t="s">
        <v>549</v>
      </c>
      <c r="O1694">
        <v>80</v>
      </c>
      <c r="R1694">
        <v>0</v>
      </c>
      <c r="S1694">
        <f t="shared" si="392"/>
        <v>5</v>
      </c>
      <c r="T1694">
        <f t="shared" si="393"/>
        <v>0</v>
      </c>
      <c r="U1694">
        <f t="shared" si="391"/>
        <v>1</v>
      </c>
      <c r="V1694">
        <f t="shared" si="394"/>
        <v>1</v>
      </c>
      <c r="W1694">
        <f t="shared" si="395"/>
        <v>0</v>
      </c>
      <c r="X1694">
        <f t="shared" si="404"/>
        <v>0</v>
      </c>
      <c r="Y1694">
        <f t="shared" si="405"/>
        <v>0</v>
      </c>
      <c r="Z1694">
        <f t="shared" si="396"/>
        <v>4</v>
      </c>
      <c r="AA1694">
        <f t="shared" si="397"/>
        <v>5</v>
      </c>
      <c r="AB1694">
        <f t="shared" si="398"/>
        <v>5.7142857142857144</v>
      </c>
      <c r="AC1694">
        <f t="shared" si="399"/>
        <v>0</v>
      </c>
      <c r="AD1694" s="1">
        <f t="shared" si="400"/>
        <v>0</v>
      </c>
      <c r="AE1694">
        <f t="shared" si="401"/>
        <v>0</v>
      </c>
      <c r="AF1694">
        <f t="shared" si="402"/>
        <v>0</v>
      </c>
      <c r="AG1694">
        <f t="shared" si="403"/>
        <v>0</v>
      </c>
    </row>
    <row r="1695" spans="1:33" x14ac:dyDescent="0.25">
      <c r="A1695" t="s">
        <v>2775</v>
      </c>
      <c r="B1695" t="s">
        <v>2435</v>
      </c>
      <c r="C1695">
        <v>167754</v>
      </c>
      <c r="D1695">
        <v>167754</v>
      </c>
      <c r="E1695">
        <v>0</v>
      </c>
      <c r="F1695">
        <v>20</v>
      </c>
      <c r="O1695">
        <v>20</v>
      </c>
      <c r="S1695">
        <f t="shared" si="392"/>
        <v>1.25</v>
      </c>
      <c r="T1695">
        <f t="shared" si="393"/>
        <v>0</v>
      </c>
      <c r="U1695">
        <f t="shared" si="391"/>
        <v>1</v>
      </c>
      <c r="V1695">
        <f t="shared" si="394"/>
        <v>1</v>
      </c>
      <c r="W1695">
        <f t="shared" si="395"/>
        <v>0</v>
      </c>
      <c r="X1695">
        <f t="shared" si="404"/>
        <v>0</v>
      </c>
      <c r="Y1695">
        <f t="shared" si="405"/>
        <v>0</v>
      </c>
      <c r="Z1695">
        <f t="shared" si="396"/>
        <v>0</v>
      </c>
      <c r="AA1695">
        <f t="shared" si="397"/>
        <v>5</v>
      </c>
      <c r="AB1695">
        <f t="shared" si="398"/>
        <v>0</v>
      </c>
      <c r="AC1695">
        <f t="shared" si="399"/>
        <v>0</v>
      </c>
      <c r="AD1695" s="1">
        <f t="shared" si="400"/>
        <v>0</v>
      </c>
      <c r="AE1695">
        <f t="shared" si="401"/>
        <v>0</v>
      </c>
      <c r="AF1695">
        <f t="shared" si="402"/>
        <v>0</v>
      </c>
      <c r="AG1695">
        <f t="shared" si="403"/>
        <v>0</v>
      </c>
    </row>
    <row r="1696" spans="1:33" x14ac:dyDescent="0.25">
      <c r="A1696" t="s">
        <v>2776</v>
      </c>
      <c r="B1696" t="s">
        <v>2777</v>
      </c>
      <c r="C1696">
        <v>166333</v>
      </c>
      <c r="D1696">
        <v>166333</v>
      </c>
      <c r="H1696">
        <v>20</v>
      </c>
      <c r="I1696">
        <v>40</v>
      </c>
      <c r="J1696">
        <v>20</v>
      </c>
      <c r="K1696">
        <v>10</v>
      </c>
      <c r="L1696">
        <v>0</v>
      </c>
      <c r="M1696">
        <v>90</v>
      </c>
      <c r="S1696">
        <f t="shared" si="392"/>
        <v>0</v>
      </c>
      <c r="T1696">
        <f t="shared" si="393"/>
        <v>7.5</v>
      </c>
      <c r="U1696">
        <f t="shared" si="391"/>
        <v>1</v>
      </c>
      <c r="V1696">
        <f t="shared" si="394"/>
        <v>0</v>
      </c>
      <c r="W1696">
        <f t="shared" si="395"/>
        <v>1</v>
      </c>
      <c r="X1696">
        <f t="shared" si="404"/>
        <v>0</v>
      </c>
      <c r="Y1696">
        <f t="shared" si="405"/>
        <v>1</v>
      </c>
      <c r="Z1696">
        <f t="shared" si="396"/>
        <v>0</v>
      </c>
      <c r="AA1696">
        <f t="shared" si="397"/>
        <v>0</v>
      </c>
      <c r="AB1696">
        <f t="shared" si="398"/>
        <v>0</v>
      </c>
      <c r="AC1696">
        <f t="shared" si="399"/>
        <v>10</v>
      </c>
      <c r="AD1696" s="1">
        <f t="shared" si="400"/>
        <v>6.666666666666667</v>
      </c>
      <c r="AE1696">
        <f t="shared" si="401"/>
        <v>10</v>
      </c>
      <c r="AF1696">
        <f t="shared" si="402"/>
        <v>10</v>
      </c>
      <c r="AG1696">
        <f t="shared" si="403"/>
        <v>0</v>
      </c>
    </row>
    <row r="1697" spans="1:33" x14ac:dyDescent="0.25">
      <c r="A1697" t="s">
        <v>2778</v>
      </c>
      <c r="B1697" t="s">
        <v>176</v>
      </c>
      <c r="C1697">
        <v>167813</v>
      </c>
      <c r="D1697">
        <v>167813</v>
      </c>
      <c r="H1697">
        <v>0</v>
      </c>
      <c r="I1697">
        <v>20</v>
      </c>
      <c r="J1697">
        <v>0</v>
      </c>
      <c r="K1697">
        <v>0</v>
      </c>
      <c r="L1697">
        <v>0</v>
      </c>
      <c r="M1697">
        <v>20</v>
      </c>
      <c r="S1697">
        <f t="shared" si="392"/>
        <v>0</v>
      </c>
      <c r="T1697">
        <f t="shared" si="393"/>
        <v>1.6666666666666667</v>
      </c>
      <c r="U1697">
        <f t="shared" si="391"/>
        <v>1</v>
      </c>
      <c r="V1697">
        <f t="shared" si="394"/>
        <v>0</v>
      </c>
      <c r="W1697">
        <f t="shared" si="395"/>
        <v>1</v>
      </c>
      <c r="X1697">
        <f t="shared" si="404"/>
        <v>0</v>
      </c>
      <c r="Y1697">
        <f t="shared" si="405"/>
        <v>0</v>
      </c>
      <c r="Z1697">
        <f t="shared" si="396"/>
        <v>0</v>
      </c>
      <c r="AA1697">
        <f t="shared" si="397"/>
        <v>0</v>
      </c>
      <c r="AB1697">
        <f t="shared" si="398"/>
        <v>0</v>
      </c>
      <c r="AC1697">
        <f t="shared" si="399"/>
        <v>0</v>
      </c>
      <c r="AD1697" s="1">
        <f t="shared" si="400"/>
        <v>3.3333333333333335</v>
      </c>
      <c r="AE1697">
        <f t="shared" si="401"/>
        <v>0</v>
      </c>
      <c r="AF1697">
        <f t="shared" si="402"/>
        <v>0</v>
      </c>
      <c r="AG1697">
        <f t="shared" si="403"/>
        <v>0</v>
      </c>
    </row>
    <row r="1698" spans="1:33" x14ac:dyDescent="0.25">
      <c r="A1698" t="s">
        <v>2779</v>
      </c>
      <c r="B1698" t="s">
        <v>166</v>
      </c>
      <c r="C1698">
        <v>165031</v>
      </c>
      <c r="D1698">
        <v>165031</v>
      </c>
      <c r="E1698">
        <v>50</v>
      </c>
      <c r="F1698">
        <v>20</v>
      </c>
      <c r="G1698">
        <v>20</v>
      </c>
      <c r="O1698">
        <v>90</v>
      </c>
      <c r="S1698">
        <f t="shared" si="392"/>
        <v>5.625</v>
      </c>
      <c r="T1698">
        <f t="shared" si="393"/>
        <v>0</v>
      </c>
      <c r="U1698">
        <f t="shared" si="391"/>
        <v>1</v>
      </c>
      <c r="V1698">
        <f t="shared" si="394"/>
        <v>1</v>
      </c>
      <c r="W1698">
        <f t="shared" si="395"/>
        <v>0</v>
      </c>
      <c r="X1698">
        <f t="shared" si="404"/>
        <v>0</v>
      </c>
      <c r="Y1698">
        <f t="shared" si="405"/>
        <v>0</v>
      </c>
      <c r="Z1698">
        <f t="shared" si="396"/>
        <v>10</v>
      </c>
      <c r="AA1698">
        <f t="shared" si="397"/>
        <v>5</v>
      </c>
      <c r="AB1698">
        <f t="shared" si="398"/>
        <v>2.8571428571428572</v>
      </c>
      <c r="AC1698">
        <f t="shared" si="399"/>
        <v>0</v>
      </c>
      <c r="AD1698" s="1">
        <f t="shared" si="400"/>
        <v>0</v>
      </c>
      <c r="AE1698">
        <f t="shared" si="401"/>
        <v>0</v>
      </c>
      <c r="AF1698">
        <f t="shared" si="402"/>
        <v>0</v>
      </c>
      <c r="AG1698">
        <f t="shared" si="403"/>
        <v>0</v>
      </c>
    </row>
    <row r="1699" spans="1:33" x14ac:dyDescent="0.25">
      <c r="A1699" t="s">
        <v>2780</v>
      </c>
      <c r="B1699" t="s">
        <v>2781</v>
      </c>
      <c r="C1699">
        <v>166797</v>
      </c>
      <c r="D1699">
        <v>166797</v>
      </c>
      <c r="H1699">
        <v>20</v>
      </c>
      <c r="I1699">
        <v>50</v>
      </c>
      <c r="J1699">
        <v>10</v>
      </c>
      <c r="K1699">
        <v>10</v>
      </c>
      <c r="L1699">
        <v>0</v>
      </c>
      <c r="M1699">
        <v>90</v>
      </c>
      <c r="S1699">
        <f t="shared" si="392"/>
        <v>0</v>
      </c>
      <c r="T1699">
        <f t="shared" si="393"/>
        <v>7.5</v>
      </c>
      <c r="U1699">
        <f t="shared" si="391"/>
        <v>1</v>
      </c>
      <c r="V1699">
        <f t="shared" si="394"/>
        <v>0</v>
      </c>
      <c r="W1699">
        <f t="shared" si="395"/>
        <v>1</v>
      </c>
      <c r="X1699">
        <f t="shared" si="404"/>
        <v>0</v>
      </c>
      <c r="Y1699">
        <f t="shared" si="405"/>
        <v>1</v>
      </c>
      <c r="Z1699">
        <f t="shared" si="396"/>
        <v>0</v>
      </c>
      <c r="AA1699">
        <f t="shared" si="397"/>
        <v>0</v>
      </c>
      <c r="AB1699">
        <f t="shared" si="398"/>
        <v>0</v>
      </c>
      <c r="AC1699">
        <f t="shared" si="399"/>
        <v>10</v>
      </c>
      <c r="AD1699" s="1">
        <f t="shared" si="400"/>
        <v>8.3333333333333339</v>
      </c>
      <c r="AE1699">
        <f t="shared" si="401"/>
        <v>5</v>
      </c>
      <c r="AF1699">
        <f t="shared" si="402"/>
        <v>10</v>
      </c>
      <c r="AG1699">
        <f t="shared" si="403"/>
        <v>0</v>
      </c>
    </row>
    <row r="1700" spans="1:33" x14ac:dyDescent="0.25">
      <c r="A1700" t="s">
        <v>2782</v>
      </c>
      <c r="B1700" t="s">
        <v>2783</v>
      </c>
      <c r="C1700">
        <v>168627</v>
      </c>
      <c r="D1700">
        <v>168627</v>
      </c>
      <c r="E1700">
        <v>50</v>
      </c>
      <c r="F1700">
        <v>40</v>
      </c>
      <c r="G1700">
        <v>50</v>
      </c>
      <c r="O1700">
        <v>140</v>
      </c>
      <c r="S1700">
        <f t="shared" si="392"/>
        <v>8.75</v>
      </c>
      <c r="T1700">
        <f t="shared" si="393"/>
        <v>0</v>
      </c>
      <c r="U1700">
        <f t="shared" si="391"/>
        <v>1</v>
      </c>
      <c r="V1700">
        <f t="shared" si="394"/>
        <v>1</v>
      </c>
      <c r="W1700">
        <f t="shared" si="395"/>
        <v>0</v>
      </c>
      <c r="X1700">
        <f t="shared" si="404"/>
        <v>1</v>
      </c>
      <c r="Y1700">
        <f t="shared" si="405"/>
        <v>0</v>
      </c>
      <c r="Z1700">
        <f t="shared" si="396"/>
        <v>10</v>
      </c>
      <c r="AA1700">
        <f t="shared" si="397"/>
        <v>10</v>
      </c>
      <c r="AB1700">
        <f t="shared" si="398"/>
        <v>7.1428571428571432</v>
      </c>
      <c r="AC1700">
        <f t="shared" si="399"/>
        <v>0</v>
      </c>
      <c r="AD1700" s="1">
        <f t="shared" si="400"/>
        <v>0</v>
      </c>
      <c r="AE1700">
        <f t="shared" si="401"/>
        <v>0</v>
      </c>
      <c r="AF1700">
        <f t="shared" si="402"/>
        <v>0</v>
      </c>
      <c r="AG1700">
        <f t="shared" si="403"/>
        <v>0</v>
      </c>
    </row>
    <row r="1701" spans="1:33" x14ac:dyDescent="0.25">
      <c r="A1701" t="s">
        <v>2782</v>
      </c>
      <c r="B1701" t="s">
        <v>2784</v>
      </c>
      <c r="C1701">
        <v>166344</v>
      </c>
      <c r="D1701">
        <v>166344</v>
      </c>
      <c r="E1701">
        <v>30</v>
      </c>
      <c r="F1701">
        <v>30</v>
      </c>
      <c r="G1701">
        <v>30</v>
      </c>
      <c r="O1701">
        <v>90</v>
      </c>
      <c r="S1701">
        <f t="shared" si="392"/>
        <v>5.625</v>
      </c>
      <c r="T1701">
        <f t="shared" si="393"/>
        <v>0</v>
      </c>
      <c r="U1701">
        <f t="shared" si="391"/>
        <v>1</v>
      </c>
      <c r="V1701">
        <f t="shared" si="394"/>
        <v>1</v>
      </c>
      <c r="W1701">
        <f t="shared" si="395"/>
        <v>0</v>
      </c>
      <c r="X1701">
        <f t="shared" si="404"/>
        <v>0</v>
      </c>
      <c r="Y1701">
        <f t="shared" si="405"/>
        <v>0</v>
      </c>
      <c r="Z1701">
        <f t="shared" si="396"/>
        <v>6</v>
      </c>
      <c r="AA1701">
        <f t="shared" si="397"/>
        <v>7.5</v>
      </c>
      <c r="AB1701">
        <f t="shared" si="398"/>
        <v>4.2857142857142856</v>
      </c>
      <c r="AC1701">
        <f t="shared" si="399"/>
        <v>0</v>
      </c>
      <c r="AD1701" s="1">
        <f t="shared" si="400"/>
        <v>0</v>
      </c>
      <c r="AE1701">
        <f t="shared" si="401"/>
        <v>0</v>
      </c>
      <c r="AF1701">
        <f t="shared" si="402"/>
        <v>0</v>
      </c>
      <c r="AG1701">
        <f t="shared" si="403"/>
        <v>0</v>
      </c>
    </row>
    <row r="1702" spans="1:33" x14ac:dyDescent="0.25">
      <c r="A1702" t="s">
        <v>2782</v>
      </c>
      <c r="B1702" t="s">
        <v>2785</v>
      </c>
      <c r="C1702">
        <v>168487</v>
      </c>
      <c r="D1702">
        <v>168487</v>
      </c>
      <c r="S1702">
        <f t="shared" si="392"/>
        <v>0</v>
      </c>
      <c r="T1702">
        <f t="shared" si="393"/>
        <v>0</v>
      </c>
      <c r="U1702">
        <f t="shared" si="391"/>
        <v>0</v>
      </c>
      <c r="V1702">
        <f t="shared" si="394"/>
        <v>0</v>
      </c>
      <c r="W1702">
        <f t="shared" si="395"/>
        <v>0</v>
      </c>
      <c r="X1702">
        <f t="shared" si="404"/>
        <v>0</v>
      </c>
      <c r="Y1702">
        <f t="shared" si="405"/>
        <v>0</v>
      </c>
      <c r="Z1702">
        <f t="shared" si="396"/>
        <v>0</v>
      </c>
      <c r="AA1702">
        <f t="shared" si="397"/>
        <v>0</v>
      </c>
      <c r="AB1702">
        <f t="shared" si="398"/>
        <v>0</v>
      </c>
      <c r="AC1702">
        <f t="shared" si="399"/>
        <v>0</v>
      </c>
      <c r="AD1702" s="1">
        <f t="shared" si="400"/>
        <v>0</v>
      </c>
      <c r="AE1702">
        <f t="shared" si="401"/>
        <v>0</v>
      </c>
      <c r="AF1702">
        <f t="shared" si="402"/>
        <v>0</v>
      </c>
      <c r="AG1702">
        <f t="shared" si="403"/>
        <v>0</v>
      </c>
    </row>
    <row r="1703" spans="1:33" x14ac:dyDescent="0.25">
      <c r="A1703" t="s">
        <v>2786</v>
      </c>
      <c r="B1703" t="s">
        <v>2787</v>
      </c>
      <c r="C1703">
        <v>167355</v>
      </c>
      <c r="D1703">
        <v>167355</v>
      </c>
      <c r="E1703">
        <v>10</v>
      </c>
      <c r="F1703">
        <v>0</v>
      </c>
      <c r="G1703">
        <v>30</v>
      </c>
      <c r="O1703">
        <v>40</v>
      </c>
      <c r="S1703">
        <f t="shared" si="392"/>
        <v>2.5</v>
      </c>
      <c r="T1703">
        <f t="shared" si="393"/>
        <v>0</v>
      </c>
      <c r="U1703">
        <f t="shared" si="391"/>
        <v>1</v>
      </c>
      <c r="V1703">
        <f t="shared" si="394"/>
        <v>1</v>
      </c>
      <c r="W1703">
        <f t="shared" si="395"/>
        <v>0</v>
      </c>
      <c r="X1703">
        <f t="shared" si="404"/>
        <v>0</v>
      </c>
      <c r="Y1703">
        <f t="shared" si="405"/>
        <v>0</v>
      </c>
      <c r="Z1703">
        <f t="shared" si="396"/>
        <v>2</v>
      </c>
      <c r="AA1703">
        <f t="shared" si="397"/>
        <v>0</v>
      </c>
      <c r="AB1703">
        <f t="shared" si="398"/>
        <v>4.2857142857142856</v>
      </c>
      <c r="AC1703">
        <f t="shared" si="399"/>
        <v>0</v>
      </c>
      <c r="AD1703" s="1">
        <f t="shared" si="400"/>
        <v>0</v>
      </c>
      <c r="AE1703">
        <f t="shared" si="401"/>
        <v>0</v>
      </c>
      <c r="AF1703">
        <f t="shared" si="402"/>
        <v>0</v>
      </c>
      <c r="AG1703">
        <f t="shared" si="403"/>
        <v>0</v>
      </c>
    </row>
    <row r="1704" spans="1:33" x14ac:dyDescent="0.25">
      <c r="A1704" t="s">
        <v>2788</v>
      </c>
      <c r="B1704" t="s">
        <v>1223</v>
      </c>
      <c r="C1704">
        <v>166244</v>
      </c>
      <c r="D1704">
        <v>166244</v>
      </c>
      <c r="E1704">
        <v>50</v>
      </c>
      <c r="F1704">
        <v>40</v>
      </c>
      <c r="O1704">
        <v>90</v>
      </c>
      <c r="S1704">
        <f t="shared" si="392"/>
        <v>5.625</v>
      </c>
      <c r="T1704">
        <f t="shared" si="393"/>
        <v>0</v>
      </c>
      <c r="U1704">
        <f t="shared" si="391"/>
        <v>1</v>
      </c>
      <c r="V1704">
        <f t="shared" si="394"/>
        <v>1</v>
      </c>
      <c r="W1704">
        <f t="shared" si="395"/>
        <v>0</v>
      </c>
      <c r="X1704">
        <f t="shared" si="404"/>
        <v>0</v>
      </c>
      <c r="Y1704">
        <f t="shared" si="405"/>
        <v>0</v>
      </c>
      <c r="Z1704">
        <f t="shared" si="396"/>
        <v>10</v>
      </c>
      <c r="AA1704">
        <f t="shared" si="397"/>
        <v>10</v>
      </c>
      <c r="AB1704">
        <f t="shared" si="398"/>
        <v>0</v>
      </c>
      <c r="AC1704">
        <f t="shared" si="399"/>
        <v>0</v>
      </c>
      <c r="AD1704" s="1">
        <f t="shared" si="400"/>
        <v>0</v>
      </c>
      <c r="AE1704">
        <f t="shared" si="401"/>
        <v>0</v>
      </c>
      <c r="AF1704">
        <f t="shared" si="402"/>
        <v>0</v>
      </c>
      <c r="AG1704">
        <f t="shared" si="403"/>
        <v>0</v>
      </c>
    </row>
    <row r="1705" spans="1:33" x14ac:dyDescent="0.25">
      <c r="A1705" t="s">
        <v>2789</v>
      </c>
      <c r="B1705" t="s">
        <v>99</v>
      </c>
      <c r="C1705">
        <v>165528</v>
      </c>
      <c r="D1705">
        <v>165528</v>
      </c>
      <c r="H1705">
        <v>0</v>
      </c>
      <c r="I1705">
        <v>50</v>
      </c>
      <c r="J1705">
        <v>10</v>
      </c>
      <c r="K1705">
        <v>0</v>
      </c>
      <c r="L1705">
        <v>10</v>
      </c>
      <c r="M1705">
        <v>70</v>
      </c>
      <c r="S1705">
        <f t="shared" si="392"/>
        <v>0</v>
      </c>
      <c r="T1705">
        <f t="shared" si="393"/>
        <v>5.833333333333333</v>
      </c>
      <c r="U1705">
        <f t="shared" si="391"/>
        <v>1</v>
      </c>
      <c r="V1705">
        <f t="shared" si="394"/>
        <v>0</v>
      </c>
      <c r="W1705">
        <f t="shared" si="395"/>
        <v>1</v>
      </c>
      <c r="X1705">
        <f t="shared" si="404"/>
        <v>0</v>
      </c>
      <c r="Y1705">
        <f t="shared" si="405"/>
        <v>0</v>
      </c>
      <c r="Z1705">
        <f t="shared" si="396"/>
        <v>0</v>
      </c>
      <c r="AA1705">
        <f t="shared" si="397"/>
        <v>0</v>
      </c>
      <c r="AB1705">
        <f t="shared" si="398"/>
        <v>0</v>
      </c>
      <c r="AC1705">
        <f t="shared" si="399"/>
        <v>0</v>
      </c>
      <c r="AD1705" s="1">
        <f t="shared" si="400"/>
        <v>8.3333333333333339</v>
      </c>
      <c r="AE1705">
        <f t="shared" si="401"/>
        <v>5</v>
      </c>
      <c r="AF1705">
        <f t="shared" si="402"/>
        <v>0</v>
      </c>
      <c r="AG1705">
        <f t="shared" si="403"/>
        <v>10</v>
      </c>
    </row>
    <row r="1706" spans="1:33" x14ac:dyDescent="0.25">
      <c r="A1706" t="s">
        <v>2790</v>
      </c>
      <c r="B1706" t="s">
        <v>467</v>
      </c>
      <c r="C1706">
        <v>168747</v>
      </c>
      <c r="D1706">
        <v>168747</v>
      </c>
      <c r="H1706">
        <v>10</v>
      </c>
      <c r="I1706">
        <v>30</v>
      </c>
      <c r="J1706">
        <v>0</v>
      </c>
      <c r="K1706">
        <v>0</v>
      </c>
      <c r="L1706">
        <v>0</v>
      </c>
      <c r="M1706">
        <v>40</v>
      </c>
      <c r="S1706">
        <f t="shared" si="392"/>
        <v>0</v>
      </c>
      <c r="T1706">
        <f t="shared" si="393"/>
        <v>3.3333333333333335</v>
      </c>
      <c r="U1706">
        <f t="shared" si="391"/>
        <v>1</v>
      </c>
      <c r="V1706">
        <f t="shared" si="394"/>
        <v>0</v>
      </c>
      <c r="W1706">
        <f t="shared" si="395"/>
        <v>1</v>
      </c>
      <c r="X1706">
        <f t="shared" si="404"/>
        <v>0</v>
      </c>
      <c r="Y1706">
        <f t="shared" si="405"/>
        <v>0</v>
      </c>
      <c r="Z1706">
        <f t="shared" si="396"/>
        <v>0</v>
      </c>
      <c r="AA1706">
        <f t="shared" si="397"/>
        <v>0</v>
      </c>
      <c r="AB1706">
        <f t="shared" si="398"/>
        <v>0</v>
      </c>
      <c r="AC1706">
        <f t="shared" si="399"/>
        <v>5</v>
      </c>
      <c r="AD1706" s="1">
        <f t="shared" si="400"/>
        <v>5</v>
      </c>
      <c r="AE1706">
        <f t="shared" si="401"/>
        <v>0</v>
      </c>
      <c r="AF1706">
        <f t="shared" si="402"/>
        <v>0</v>
      </c>
      <c r="AG1706">
        <f t="shared" si="403"/>
        <v>0</v>
      </c>
    </row>
    <row r="1707" spans="1:33" x14ac:dyDescent="0.25">
      <c r="A1707" t="s">
        <v>2790</v>
      </c>
      <c r="B1707" t="s">
        <v>2791</v>
      </c>
      <c r="C1707">
        <v>162837</v>
      </c>
      <c r="D1707">
        <v>162837</v>
      </c>
      <c r="S1707">
        <f t="shared" si="392"/>
        <v>0</v>
      </c>
      <c r="T1707">
        <f t="shared" si="393"/>
        <v>0</v>
      </c>
      <c r="U1707">
        <f t="shared" si="391"/>
        <v>0</v>
      </c>
      <c r="V1707">
        <f t="shared" si="394"/>
        <v>0</v>
      </c>
      <c r="W1707">
        <f t="shared" si="395"/>
        <v>0</v>
      </c>
      <c r="X1707">
        <f t="shared" si="404"/>
        <v>0</v>
      </c>
      <c r="Y1707">
        <f t="shared" si="405"/>
        <v>0</v>
      </c>
      <c r="Z1707">
        <f t="shared" si="396"/>
        <v>0</v>
      </c>
      <c r="AA1707">
        <f t="shared" si="397"/>
        <v>0</v>
      </c>
      <c r="AB1707">
        <f t="shared" si="398"/>
        <v>0</v>
      </c>
      <c r="AC1707">
        <f t="shared" si="399"/>
        <v>0</v>
      </c>
      <c r="AD1707" s="1">
        <f t="shared" si="400"/>
        <v>0</v>
      </c>
      <c r="AE1707">
        <f t="shared" si="401"/>
        <v>0</v>
      </c>
      <c r="AF1707">
        <f t="shared" si="402"/>
        <v>0</v>
      </c>
      <c r="AG1707">
        <f t="shared" si="403"/>
        <v>0</v>
      </c>
    </row>
    <row r="1708" spans="1:33" x14ac:dyDescent="0.25">
      <c r="A1708" t="s">
        <v>2792</v>
      </c>
      <c r="B1708" t="s">
        <v>727</v>
      </c>
      <c r="C1708">
        <v>166405</v>
      </c>
      <c r="D1708">
        <v>166405</v>
      </c>
      <c r="S1708">
        <f t="shared" si="392"/>
        <v>0</v>
      </c>
      <c r="T1708">
        <f t="shared" si="393"/>
        <v>0</v>
      </c>
      <c r="U1708">
        <f t="shared" si="391"/>
        <v>0</v>
      </c>
      <c r="V1708">
        <f t="shared" si="394"/>
        <v>0</v>
      </c>
      <c r="W1708">
        <f t="shared" si="395"/>
        <v>0</v>
      </c>
      <c r="X1708">
        <f t="shared" si="404"/>
        <v>0</v>
      </c>
      <c r="Y1708">
        <f t="shared" si="405"/>
        <v>0</v>
      </c>
      <c r="Z1708">
        <f t="shared" si="396"/>
        <v>0</v>
      </c>
      <c r="AA1708">
        <f t="shared" si="397"/>
        <v>0</v>
      </c>
      <c r="AB1708">
        <f t="shared" si="398"/>
        <v>0</v>
      </c>
      <c r="AC1708">
        <f t="shared" si="399"/>
        <v>0</v>
      </c>
      <c r="AD1708" s="1">
        <f t="shared" si="400"/>
        <v>0</v>
      </c>
      <c r="AE1708">
        <f t="shared" si="401"/>
        <v>0</v>
      </c>
      <c r="AF1708">
        <f t="shared" si="402"/>
        <v>0</v>
      </c>
      <c r="AG1708">
        <f t="shared" si="403"/>
        <v>0</v>
      </c>
    </row>
    <row r="1709" spans="1:33" x14ac:dyDescent="0.25">
      <c r="A1709" t="s">
        <v>2793</v>
      </c>
      <c r="B1709" t="s">
        <v>2794</v>
      </c>
      <c r="C1709">
        <v>166886</v>
      </c>
      <c r="D1709">
        <v>166886</v>
      </c>
      <c r="E1709">
        <v>0</v>
      </c>
      <c r="F1709">
        <v>10</v>
      </c>
      <c r="O1709">
        <v>10</v>
      </c>
      <c r="R1709" t="s">
        <v>20</v>
      </c>
      <c r="S1709">
        <f t="shared" si="392"/>
        <v>0.625</v>
      </c>
      <c r="T1709">
        <f t="shared" si="393"/>
        <v>0</v>
      </c>
      <c r="U1709">
        <f t="shared" si="391"/>
        <v>1</v>
      </c>
      <c r="V1709">
        <f t="shared" si="394"/>
        <v>1</v>
      </c>
      <c r="W1709">
        <f t="shared" si="395"/>
        <v>0</v>
      </c>
      <c r="X1709">
        <f t="shared" si="404"/>
        <v>0</v>
      </c>
      <c r="Y1709">
        <f t="shared" si="405"/>
        <v>0</v>
      </c>
      <c r="Z1709">
        <f t="shared" si="396"/>
        <v>0</v>
      </c>
      <c r="AA1709">
        <f t="shared" si="397"/>
        <v>2.5</v>
      </c>
      <c r="AB1709">
        <f t="shared" si="398"/>
        <v>0</v>
      </c>
      <c r="AC1709">
        <f t="shared" si="399"/>
        <v>0</v>
      </c>
      <c r="AD1709" s="1">
        <f t="shared" si="400"/>
        <v>0</v>
      </c>
      <c r="AE1709">
        <f t="shared" si="401"/>
        <v>0</v>
      </c>
      <c r="AF1709">
        <f t="shared" si="402"/>
        <v>0</v>
      </c>
      <c r="AG1709">
        <f t="shared" si="403"/>
        <v>0</v>
      </c>
    </row>
    <row r="1710" spans="1:33" x14ac:dyDescent="0.25">
      <c r="A1710" t="s">
        <v>2795</v>
      </c>
      <c r="B1710" t="s">
        <v>2095</v>
      </c>
      <c r="C1710">
        <v>166392</v>
      </c>
      <c r="D1710">
        <v>166392</v>
      </c>
      <c r="H1710">
        <v>10</v>
      </c>
      <c r="I1710">
        <v>50</v>
      </c>
      <c r="J1710">
        <v>10</v>
      </c>
      <c r="K1710">
        <v>10</v>
      </c>
      <c r="L1710">
        <v>0</v>
      </c>
      <c r="M1710">
        <v>80</v>
      </c>
      <c r="S1710">
        <f t="shared" si="392"/>
        <v>0</v>
      </c>
      <c r="T1710">
        <f t="shared" si="393"/>
        <v>6.666666666666667</v>
      </c>
      <c r="U1710">
        <f t="shared" si="391"/>
        <v>1</v>
      </c>
      <c r="V1710">
        <f t="shared" si="394"/>
        <v>0</v>
      </c>
      <c r="W1710">
        <f t="shared" si="395"/>
        <v>1</v>
      </c>
      <c r="X1710">
        <f t="shared" si="404"/>
        <v>0</v>
      </c>
      <c r="Y1710">
        <f t="shared" si="405"/>
        <v>1</v>
      </c>
      <c r="Z1710">
        <f t="shared" si="396"/>
        <v>0</v>
      </c>
      <c r="AA1710">
        <f t="shared" si="397"/>
        <v>0</v>
      </c>
      <c r="AB1710">
        <f t="shared" si="398"/>
        <v>0</v>
      </c>
      <c r="AC1710">
        <f t="shared" si="399"/>
        <v>5</v>
      </c>
      <c r="AD1710" s="1">
        <f t="shared" si="400"/>
        <v>8.3333333333333339</v>
      </c>
      <c r="AE1710">
        <f t="shared" si="401"/>
        <v>5</v>
      </c>
      <c r="AF1710">
        <f t="shared" si="402"/>
        <v>10</v>
      </c>
      <c r="AG1710">
        <f t="shared" si="403"/>
        <v>0</v>
      </c>
    </row>
    <row r="1711" spans="1:33" x14ac:dyDescent="0.25">
      <c r="A1711" t="s">
        <v>2796</v>
      </c>
      <c r="B1711" t="s">
        <v>2797</v>
      </c>
      <c r="C1711">
        <v>166960</v>
      </c>
      <c r="D1711">
        <v>166960</v>
      </c>
      <c r="H1711">
        <v>0</v>
      </c>
      <c r="I1711">
        <v>30</v>
      </c>
      <c r="J1711">
        <v>10</v>
      </c>
      <c r="K1711">
        <v>0</v>
      </c>
      <c r="M1711">
        <v>40</v>
      </c>
      <c r="S1711">
        <f t="shared" si="392"/>
        <v>0</v>
      </c>
      <c r="T1711">
        <f t="shared" si="393"/>
        <v>3.3333333333333335</v>
      </c>
      <c r="U1711">
        <f t="shared" si="391"/>
        <v>1</v>
      </c>
      <c r="V1711">
        <f t="shared" si="394"/>
        <v>0</v>
      </c>
      <c r="W1711">
        <f t="shared" si="395"/>
        <v>1</v>
      </c>
      <c r="X1711">
        <f t="shared" si="404"/>
        <v>0</v>
      </c>
      <c r="Y1711">
        <f t="shared" si="405"/>
        <v>0</v>
      </c>
      <c r="Z1711">
        <f t="shared" si="396"/>
        <v>0</v>
      </c>
      <c r="AA1711">
        <f t="shared" si="397"/>
        <v>0</v>
      </c>
      <c r="AB1711">
        <f t="shared" si="398"/>
        <v>0</v>
      </c>
      <c r="AC1711">
        <f t="shared" si="399"/>
        <v>0</v>
      </c>
      <c r="AD1711" s="1">
        <f t="shared" si="400"/>
        <v>5</v>
      </c>
      <c r="AE1711">
        <f t="shared" si="401"/>
        <v>5</v>
      </c>
      <c r="AF1711">
        <f t="shared" si="402"/>
        <v>0</v>
      </c>
      <c r="AG1711">
        <f t="shared" si="403"/>
        <v>0</v>
      </c>
    </row>
    <row r="1712" spans="1:33" x14ac:dyDescent="0.25">
      <c r="A1712" t="s">
        <v>2798</v>
      </c>
      <c r="B1712" t="s">
        <v>1631</v>
      </c>
      <c r="C1712">
        <v>168538</v>
      </c>
      <c r="D1712">
        <v>168538</v>
      </c>
      <c r="E1712">
        <v>10</v>
      </c>
      <c r="F1712">
        <v>30</v>
      </c>
      <c r="G1712">
        <v>10</v>
      </c>
      <c r="O1712">
        <v>50</v>
      </c>
      <c r="S1712">
        <f t="shared" si="392"/>
        <v>3.125</v>
      </c>
      <c r="T1712">
        <f t="shared" si="393"/>
        <v>0</v>
      </c>
      <c r="U1712">
        <f t="shared" si="391"/>
        <v>1</v>
      </c>
      <c r="V1712">
        <f t="shared" si="394"/>
        <v>1</v>
      </c>
      <c r="W1712">
        <f t="shared" si="395"/>
        <v>0</v>
      </c>
      <c r="X1712">
        <f t="shared" si="404"/>
        <v>0</v>
      </c>
      <c r="Y1712">
        <f t="shared" si="405"/>
        <v>0</v>
      </c>
      <c r="Z1712">
        <f t="shared" si="396"/>
        <v>2</v>
      </c>
      <c r="AA1712">
        <f t="shared" si="397"/>
        <v>7.5</v>
      </c>
      <c r="AB1712">
        <f t="shared" si="398"/>
        <v>1.4285714285714286</v>
      </c>
      <c r="AC1712">
        <f t="shared" si="399"/>
        <v>0</v>
      </c>
      <c r="AD1712" s="1">
        <f t="shared" si="400"/>
        <v>0</v>
      </c>
      <c r="AE1712">
        <f t="shared" si="401"/>
        <v>0</v>
      </c>
      <c r="AF1712">
        <f t="shared" si="402"/>
        <v>0</v>
      </c>
      <c r="AG1712">
        <f t="shared" si="403"/>
        <v>0</v>
      </c>
    </row>
    <row r="1713" spans="1:33" x14ac:dyDescent="0.25">
      <c r="A1713" t="s">
        <v>2799</v>
      </c>
      <c r="B1713" t="s">
        <v>2800</v>
      </c>
      <c r="C1713">
        <v>167542</v>
      </c>
      <c r="D1713">
        <v>167542</v>
      </c>
      <c r="E1713">
        <v>30</v>
      </c>
      <c r="F1713">
        <v>40</v>
      </c>
      <c r="G1713">
        <v>50</v>
      </c>
      <c r="O1713">
        <v>120</v>
      </c>
      <c r="S1713">
        <f t="shared" si="392"/>
        <v>7.5</v>
      </c>
      <c r="T1713">
        <f t="shared" si="393"/>
        <v>0</v>
      </c>
      <c r="U1713">
        <f t="shared" si="391"/>
        <v>1</v>
      </c>
      <c r="V1713">
        <f t="shared" si="394"/>
        <v>1</v>
      </c>
      <c r="W1713">
        <f t="shared" si="395"/>
        <v>0</v>
      </c>
      <c r="X1713">
        <f t="shared" si="404"/>
        <v>1</v>
      </c>
      <c r="Y1713">
        <f t="shared" si="405"/>
        <v>0</v>
      </c>
      <c r="Z1713">
        <f t="shared" si="396"/>
        <v>6</v>
      </c>
      <c r="AA1713">
        <f t="shared" si="397"/>
        <v>10</v>
      </c>
      <c r="AB1713">
        <f t="shared" si="398"/>
        <v>7.1428571428571432</v>
      </c>
      <c r="AC1713">
        <f t="shared" si="399"/>
        <v>0</v>
      </c>
      <c r="AD1713" s="1">
        <f t="shared" si="400"/>
        <v>0</v>
      </c>
      <c r="AE1713">
        <f t="shared" si="401"/>
        <v>0</v>
      </c>
      <c r="AF1713">
        <f t="shared" si="402"/>
        <v>0</v>
      </c>
      <c r="AG1713">
        <f t="shared" si="403"/>
        <v>0</v>
      </c>
    </row>
    <row r="1714" spans="1:33" x14ac:dyDescent="0.25">
      <c r="A1714" t="s">
        <v>2799</v>
      </c>
      <c r="B1714" t="s">
        <v>906</v>
      </c>
      <c r="C1714">
        <v>165930</v>
      </c>
      <c r="D1714">
        <v>165930</v>
      </c>
      <c r="E1714">
        <v>50</v>
      </c>
      <c r="F1714">
        <v>20</v>
      </c>
      <c r="G1714">
        <v>40</v>
      </c>
      <c r="O1714">
        <v>110</v>
      </c>
      <c r="S1714">
        <f t="shared" si="392"/>
        <v>6.875</v>
      </c>
      <c r="T1714">
        <f t="shared" si="393"/>
        <v>0</v>
      </c>
      <c r="U1714">
        <f t="shared" si="391"/>
        <v>1</v>
      </c>
      <c r="V1714">
        <f t="shared" si="394"/>
        <v>1</v>
      </c>
      <c r="W1714">
        <f t="shared" si="395"/>
        <v>0</v>
      </c>
      <c r="X1714">
        <f t="shared" si="404"/>
        <v>1</v>
      </c>
      <c r="Y1714">
        <f t="shared" si="405"/>
        <v>0</v>
      </c>
      <c r="Z1714">
        <f t="shared" si="396"/>
        <v>10</v>
      </c>
      <c r="AA1714">
        <f t="shared" si="397"/>
        <v>5</v>
      </c>
      <c r="AB1714">
        <f t="shared" si="398"/>
        <v>5.7142857142857144</v>
      </c>
      <c r="AC1714">
        <f t="shared" si="399"/>
        <v>0</v>
      </c>
      <c r="AD1714" s="1">
        <f t="shared" si="400"/>
        <v>0</v>
      </c>
      <c r="AE1714">
        <f t="shared" si="401"/>
        <v>0</v>
      </c>
      <c r="AF1714">
        <f t="shared" si="402"/>
        <v>0</v>
      </c>
      <c r="AG1714">
        <f t="shared" si="403"/>
        <v>0</v>
      </c>
    </row>
    <row r="1715" spans="1:33" x14ac:dyDescent="0.25">
      <c r="A1715" t="s">
        <v>2801</v>
      </c>
      <c r="B1715" t="s">
        <v>870</v>
      </c>
      <c r="C1715">
        <v>168659</v>
      </c>
      <c r="D1715">
        <v>168659</v>
      </c>
      <c r="H1715">
        <v>10</v>
      </c>
      <c r="I1715">
        <v>30</v>
      </c>
      <c r="J1715">
        <v>10</v>
      </c>
      <c r="K1715">
        <v>10</v>
      </c>
      <c r="L1715">
        <v>0</v>
      </c>
      <c r="M1715">
        <v>60</v>
      </c>
      <c r="S1715">
        <f t="shared" si="392"/>
        <v>0</v>
      </c>
      <c r="T1715">
        <f t="shared" si="393"/>
        <v>5</v>
      </c>
      <c r="U1715">
        <f t="shared" si="391"/>
        <v>1</v>
      </c>
      <c r="V1715">
        <f t="shared" si="394"/>
        <v>0</v>
      </c>
      <c r="W1715">
        <f t="shared" si="395"/>
        <v>1</v>
      </c>
      <c r="X1715">
        <f t="shared" si="404"/>
        <v>0</v>
      </c>
      <c r="Y1715">
        <f t="shared" si="405"/>
        <v>0</v>
      </c>
      <c r="Z1715">
        <f t="shared" si="396"/>
        <v>0</v>
      </c>
      <c r="AA1715">
        <f t="shared" si="397"/>
        <v>0</v>
      </c>
      <c r="AB1715">
        <f t="shared" si="398"/>
        <v>0</v>
      </c>
      <c r="AC1715">
        <f t="shared" si="399"/>
        <v>5</v>
      </c>
      <c r="AD1715" s="1">
        <f t="shared" si="400"/>
        <v>5</v>
      </c>
      <c r="AE1715">
        <f t="shared" si="401"/>
        <v>5</v>
      </c>
      <c r="AF1715">
        <f t="shared" si="402"/>
        <v>10</v>
      </c>
      <c r="AG1715">
        <f t="shared" si="403"/>
        <v>0</v>
      </c>
    </row>
    <row r="1716" spans="1:33" x14ac:dyDescent="0.25">
      <c r="A1716" t="s">
        <v>2802</v>
      </c>
      <c r="B1716" t="s">
        <v>2803</v>
      </c>
      <c r="C1716">
        <v>161387</v>
      </c>
      <c r="D1716">
        <v>161387</v>
      </c>
      <c r="H1716">
        <v>20</v>
      </c>
      <c r="I1716">
        <v>40</v>
      </c>
      <c r="J1716">
        <v>0</v>
      </c>
      <c r="K1716">
        <v>10</v>
      </c>
      <c r="L1716">
        <v>0</v>
      </c>
      <c r="M1716">
        <v>70</v>
      </c>
      <c r="S1716">
        <f t="shared" si="392"/>
        <v>0</v>
      </c>
      <c r="T1716">
        <f t="shared" si="393"/>
        <v>5.833333333333333</v>
      </c>
      <c r="U1716">
        <f t="shared" si="391"/>
        <v>1</v>
      </c>
      <c r="V1716">
        <f t="shared" si="394"/>
        <v>0</v>
      </c>
      <c r="W1716">
        <f t="shared" si="395"/>
        <v>1</v>
      </c>
      <c r="X1716">
        <f t="shared" si="404"/>
        <v>0</v>
      </c>
      <c r="Y1716">
        <f t="shared" si="405"/>
        <v>0</v>
      </c>
      <c r="Z1716">
        <f t="shared" si="396"/>
        <v>0</v>
      </c>
      <c r="AA1716">
        <f t="shared" si="397"/>
        <v>0</v>
      </c>
      <c r="AB1716">
        <f t="shared" si="398"/>
        <v>0</v>
      </c>
      <c r="AC1716">
        <f t="shared" si="399"/>
        <v>10</v>
      </c>
      <c r="AD1716" s="1">
        <f t="shared" si="400"/>
        <v>6.666666666666667</v>
      </c>
      <c r="AE1716">
        <f t="shared" si="401"/>
        <v>0</v>
      </c>
      <c r="AF1716">
        <f t="shared" si="402"/>
        <v>10</v>
      </c>
      <c r="AG1716">
        <f t="shared" si="403"/>
        <v>0</v>
      </c>
    </row>
    <row r="1717" spans="1:33" x14ac:dyDescent="0.25">
      <c r="A1717" t="s">
        <v>2804</v>
      </c>
      <c r="B1717" t="s">
        <v>1949</v>
      </c>
      <c r="C1717">
        <v>168845</v>
      </c>
      <c r="D1717">
        <v>168845</v>
      </c>
      <c r="S1717">
        <f t="shared" si="392"/>
        <v>0</v>
      </c>
      <c r="T1717">
        <f t="shared" si="393"/>
        <v>0</v>
      </c>
      <c r="U1717">
        <f t="shared" si="391"/>
        <v>0</v>
      </c>
      <c r="V1717">
        <f t="shared" si="394"/>
        <v>0</v>
      </c>
      <c r="W1717">
        <f t="shared" si="395"/>
        <v>0</v>
      </c>
      <c r="X1717">
        <f t="shared" si="404"/>
        <v>0</v>
      </c>
      <c r="Y1717">
        <f t="shared" si="405"/>
        <v>0</v>
      </c>
      <c r="Z1717">
        <f t="shared" si="396"/>
        <v>0</v>
      </c>
      <c r="AA1717">
        <f t="shared" si="397"/>
        <v>0</v>
      </c>
      <c r="AB1717">
        <f t="shared" si="398"/>
        <v>0</v>
      </c>
      <c r="AC1717">
        <f t="shared" si="399"/>
        <v>0</v>
      </c>
      <c r="AD1717" s="1">
        <f t="shared" si="400"/>
        <v>0</v>
      </c>
      <c r="AE1717">
        <f t="shared" si="401"/>
        <v>0</v>
      </c>
      <c r="AF1717">
        <f t="shared" si="402"/>
        <v>0</v>
      </c>
      <c r="AG1717">
        <f t="shared" si="403"/>
        <v>0</v>
      </c>
    </row>
    <row r="1718" spans="1:33" x14ac:dyDescent="0.25">
      <c r="A1718" t="s">
        <v>2805</v>
      </c>
      <c r="B1718" t="s">
        <v>340</v>
      </c>
      <c r="C1718">
        <v>167007</v>
      </c>
      <c r="D1718">
        <v>167007</v>
      </c>
      <c r="H1718">
        <v>10</v>
      </c>
      <c r="I1718">
        <v>30</v>
      </c>
      <c r="J1718">
        <v>20</v>
      </c>
      <c r="K1718">
        <v>0</v>
      </c>
      <c r="L1718">
        <v>0</v>
      </c>
      <c r="M1718">
        <v>60</v>
      </c>
      <c r="S1718">
        <f t="shared" si="392"/>
        <v>0</v>
      </c>
      <c r="T1718">
        <f t="shared" si="393"/>
        <v>5</v>
      </c>
      <c r="U1718">
        <f t="shared" si="391"/>
        <v>1</v>
      </c>
      <c r="V1718">
        <f t="shared" si="394"/>
        <v>0</v>
      </c>
      <c r="W1718">
        <f t="shared" si="395"/>
        <v>1</v>
      </c>
      <c r="X1718">
        <f t="shared" si="404"/>
        <v>0</v>
      </c>
      <c r="Y1718">
        <f t="shared" si="405"/>
        <v>0</v>
      </c>
      <c r="Z1718">
        <f t="shared" si="396"/>
        <v>0</v>
      </c>
      <c r="AA1718">
        <f t="shared" si="397"/>
        <v>0</v>
      </c>
      <c r="AB1718">
        <f t="shared" si="398"/>
        <v>0</v>
      </c>
      <c r="AC1718">
        <f t="shared" si="399"/>
        <v>5</v>
      </c>
      <c r="AD1718" s="1">
        <f t="shared" si="400"/>
        <v>5</v>
      </c>
      <c r="AE1718">
        <f t="shared" si="401"/>
        <v>10</v>
      </c>
      <c r="AF1718">
        <f t="shared" si="402"/>
        <v>0</v>
      </c>
      <c r="AG1718">
        <f t="shared" si="403"/>
        <v>0</v>
      </c>
    </row>
    <row r="1719" spans="1:33" x14ac:dyDescent="0.25">
      <c r="A1719" t="s">
        <v>2806</v>
      </c>
      <c r="B1719" t="s">
        <v>2807</v>
      </c>
      <c r="C1719">
        <v>168422</v>
      </c>
      <c r="D1719">
        <v>168422</v>
      </c>
      <c r="E1719">
        <v>40</v>
      </c>
      <c r="F1719">
        <v>10</v>
      </c>
      <c r="G1719">
        <v>40</v>
      </c>
      <c r="O1719">
        <v>90</v>
      </c>
      <c r="S1719">
        <f t="shared" si="392"/>
        <v>5.625</v>
      </c>
      <c r="T1719">
        <f t="shared" si="393"/>
        <v>0</v>
      </c>
      <c r="U1719">
        <f t="shared" si="391"/>
        <v>1</v>
      </c>
      <c r="V1719">
        <f t="shared" si="394"/>
        <v>1</v>
      </c>
      <c r="W1719">
        <f t="shared" si="395"/>
        <v>0</v>
      </c>
      <c r="X1719">
        <f t="shared" si="404"/>
        <v>0</v>
      </c>
      <c r="Y1719">
        <f t="shared" si="405"/>
        <v>0</v>
      </c>
      <c r="Z1719">
        <f t="shared" si="396"/>
        <v>8</v>
      </c>
      <c r="AA1719">
        <f t="shared" si="397"/>
        <v>2.5</v>
      </c>
      <c r="AB1719">
        <f t="shared" si="398"/>
        <v>5.7142857142857144</v>
      </c>
      <c r="AC1719">
        <f t="shared" si="399"/>
        <v>0</v>
      </c>
      <c r="AD1719" s="1">
        <f t="shared" si="400"/>
        <v>0</v>
      </c>
      <c r="AE1719">
        <f t="shared" si="401"/>
        <v>0</v>
      </c>
      <c r="AF1719">
        <f t="shared" si="402"/>
        <v>0</v>
      </c>
      <c r="AG1719">
        <f t="shared" si="403"/>
        <v>0</v>
      </c>
    </row>
    <row r="1720" spans="1:33" x14ac:dyDescent="0.25">
      <c r="A1720" t="s">
        <v>2808</v>
      </c>
      <c r="B1720" t="s">
        <v>486</v>
      </c>
      <c r="C1720">
        <v>167855</v>
      </c>
      <c r="D1720">
        <v>167855</v>
      </c>
      <c r="E1720">
        <v>40</v>
      </c>
      <c r="F1720">
        <v>0</v>
      </c>
      <c r="G1720">
        <v>20</v>
      </c>
      <c r="O1720">
        <v>60</v>
      </c>
      <c r="S1720">
        <f t="shared" si="392"/>
        <v>3.75</v>
      </c>
      <c r="T1720">
        <f t="shared" si="393"/>
        <v>0</v>
      </c>
      <c r="U1720">
        <f t="shared" si="391"/>
        <v>1</v>
      </c>
      <c r="V1720">
        <f t="shared" si="394"/>
        <v>1</v>
      </c>
      <c r="W1720">
        <f t="shared" si="395"/>
        <v>0</v>
      </c>
      <c r="X1720">
        <f t="shared" si="404"/>
        <v>0</v>
      </c>
      <c r="Y1720">
        <f t="shared" si="405"/>
        <v>0</v>
      </c>
      <c r="Z1720">
        <f t="shared" si="396"/>
        <v>8</v>
      </c>
      <c r="AA1720">
        <f t="shared" si="397"/>
        <v>0</v>
      </c>
      <c r="AB1720">
        <f t="shared" si="398"/>
        <v>2.8571428571428572</v>
      </c>
      <c r="AC1720">
        <f t="shared" si="399"/>
        <v>0</v>
      </c>
      <c r="AD1720" s="1">
        <f t="shared" si="400"/>
        <v>0</v>
      </c>
      <c r="AE1720">
        <f t="shared" si="401"/>
        <v>0</v>
      </c>
      <c r="AF1720">
        <f t="shared" si="402"/>
        <v>0</v>
      </c>
      <c r="AG1720">
        <f t="shared" si="403"/>
        <v>0</v>
      </c>
    </row>
    <row r="1721" spans="1:33" x14ac:dyDescent="0.25">
      <c r="A1721" t="s">
        <v>2809</v>
      </c>
      <c r="B1721" t="s">
        <v>2810</v>
      </c>
      <c r="C1721">
        <v>160524</v>
      </c>
      <c r="D1721">
        <v>160524</v>
      </c>
      <c r="E1721">
        <v>30</v>
      </c>
      <c r="F1721">
        <v>20</v>
      </c>
      <c r="G1721">
        <v>40</v>
      </c>
      <c r="O1721">
        <v>90</v>
      </c>
      <c r="S1721">
        <f t="shared" si="392"/>
        <v>5.625</v>
      </c>
      <c r="T1721">
        <f t="shared" si="393"/>
        <v>0</v>
      </c>
      <c r="U1721">
        <f t="shared" si="391"/>
        <v>1</v>
      </c>
      <c r="V1721">
        <f t="shared" si="394"/>
        <v>1</v>
      </c>
      <c r="W1721">
        <f t="shared" si="395"/>
        <v>0</v>
      </c>
      <c r="X1721">
        <f t="shared" si="404"/>
        <v>0</v>
      </c>
      <c r="Y1721">
        <f t="shared" si="405"/>
        <v>0</v>
      </c>
      <c r="Z1721">
        <f t="shared" si="396"/>
        <v>6</v>
      </c>
      <c r="AA1721">
        <f t="shared" si="397"/>
        <v>5</v>
      </c>
      <c r="AB1721">
        <f t="shared" si="398"/>
        <v>5.7142857142857144</v>
      </c>
      <c r="AC1721">
        <f t="shared" si="399"/>
        <v>0</v>
      </c>
      <c r="AD1721" s="1">
        <f t="shared" si="400"/>
        <v>0</v>
      </c>
      <c r="AE1721">
        <f t="shared" si="401"/>
        <v>0</v>
      </c>
      <c r="AF1721">
        <f t="shared" si="402"/>
        <v>0</v>
      </c>
      <c r="AG1721">
        <f t="shared" si="403"/>
        <v>0</v>
      </c>
    </row>
    <row r="1722" spans="1:33" x14ac:dyDescent="0.25">
      <c r="A1722" t="s">
        <v>2811</v>
      </c>
      <c r="B1722" t="s">
        <v>1592</v>
      </c>
      <c r="C1722">
        <v>166368</v>
      </c>
      <c r="D1722">
        <v>166368</v>
      </c>
      <c r="E1722">
        <v>30</v>
      </c>
      <c r="F1722">
        <v>30</v>
      </c>
      <c r="G1722">
        <v>40</v>
      </c>
      <c r="O1722">
        <v>100</v>
      </c>
      <c r="S1722">
        <f t="shared" si="392"/>
        <v>6.25</v>
      </c>
      <c r="T1722">
        <f t="shared" si="393"/>
        <v>0</v>
      </c>
      <c r="U1722">
        <f t="shared" si="391"/>
        <v>1</v>
      </c>
      <c r="V1722">
        <f t="shared" si="394"/>
        <v>1</v>
      </c>
      <c r="W1722">
        <f t="shared" si="395"/>
        <v>0</v>
      </c>
      <c r="X1722">
        <f t="shared" si="404"/>
        <v>1</v>
      </c>
      <c r="Y1722">
        <f t="shared" si="405"/>
        <v>0</v>
      </c>
      <c r="Z1722">
        <f t="shared" si="396"/>
        <v>6</v>
      </c>
      <c r="AA1722">
        <f t="shared" si="397"/>
        <v>7.5</v>
      </c>
      <c r="AB1722">
        <f t="shared" si="398"/>
        <v>5.7142857142857144</v>
      </c>
      <c r="AC1722">
        <f t="shared" si="399"/>
        <v>0</v>
      </c>
      <c r="AD1722" s="1">
        <f t="shared" si="400"/>
        <v>0</v>
      </c>
      <c r="AE1722">
        <f t="shared" si="401"/>
        <v>0</v>
      </c>
      <c r="AF1722">
        <f t="shared" si="402"/>
        <v>0</v>
      </c>
      <c r="AG1722">
        <f t="shared" si="403"/>
        <v>0</v>
      </c>
    </row>
    <row r="1723" spans="1:33" x14ac:dyDescent="0.25">
      <c r="A1723" t="s">
        <v>2812</v>
      </c>
      <c r="B1723" t="s">
        <v>2813</v>
      </c>
      <c r="C1723">
        <v>168347</v>
      </c>
      <c r="D1723">
        <v>168347</v>
      </c>
      <c r="E1723">
        <v>20</v>
      </c>
      <c r="F1723">
        <v>10</v>
      </c>
      <c r="G1723">
        <v>10</v>
      </c>
      <c r="O1723">
        <v>40</v>
      </c>
      <c r="S1723">
        <f t="shared" si="392"/>
        <v>2.5</v>
      </c>
      <c r="T1723">
        <f t="shared" si="393"/>
        <v>0</v>
      </c>
      <c r="U1723">
        <f t="shared" si="391"/>
        <v>1</v>
      </c>
      <c r="V1723">
        <f t="shared" si="394"/>
        <v>1</v>
      </c>
      <c r="W1723">
        <f t="shared" si="395"/>
        <v>0</v>
      </c>
      <c r="X1723">
        <f t="shared" si="404"/>
        <v>0</v>
      </c>
      <c r="Y1723">
        <f t="shared" si="405"/>
        <v>0</v>
      </c>
      <c r="Z1723">
        <f t="shared" si="396"/>
        <v>4</v>
      </c>
      <c r="AA1723">
        <f t="shared" si="397"/>
        <v>2.5</v>
      </c>
      <c r="AB1723">
        <f t="shared" si="398"/>
        <v>1.4285714285714286</v>
      </c>
      <c r="AC1723">
        <f t="shared" si="399"/>
        <v>0</v>
      </c>
      <c r="AD1723" s="1">
        <f t="shared" si="400"/>
        <v>0</v>
      </c>
      <c r="AE1723">
        <f t="shared" si="401"/>
        <v>0</v>
      </c>
      <c r="AF1723">
        <f t="shared" si="402"/>
        <v>0</v>
      </c>
      <c r="AG1723">
        <f t="shared" si="403"/>
        <v>0</v>
      </c>
    </row>
    <row r="1724" spans="1:33" x14ac:dyDescent="0.25">
      <c r="A1724" t="s">
        <v>2814</v>
      </c>
      <c r="B1724" t="s">
        <v>467</v>
      </c>
      <c r="C1724">
        <v>166009</v>
      </c>
      <c r="D1724">
        <v>166009</v>
      </c>
      <c r="H1724">
        <v>10</v>
      </c>
      <c r="I1724">
        <v>10</v>
      </c>
      <c r="J1724">
        <v>10</v>
      </c>
      <c r="K1724">
        <v>0</v>
      </c>
      <c r="L1724">
        <v>0</v>
      </c>
      <c r="M1724">
        <v>30</v>
      </c>
      <c r="S1724">
        <f t="shared" si="392"/>
        <v>0</v>
      </c>
      <c r="T1724">
        <f t="shared" si="393"/>
        <v>2.5</v>
      </c>
      <c r="U1724">
        <f t="shared" si="391"/>
        <v>1</v>
      </c>
      <c r="V1724">
        <f t="shared" si="394"/>
        <v>0</v>
      </c>
      <c r="W1724">
        <f t="shared" si="395"/>
        <v>1</v>
      </c>
      <c r="X1724">
        <f t="shared" si="404"/>
        <v>0</v>
      </c>
      <c r="Y1724">
        <f t="shared" si="405"/>
        <v>0</v>
      </c>
      <c r="Z1724">
        <f t="shared" si="396"/>
        <v>0</v>
      </c>
      <c r="AA1724">
        <f t="shared" si="397"/>
        <v>0</v>
      </c>
      <c r="AB1724">
        <f t="shared" si="398"/>
        <v>0</v>
      </c>
      <c r="AC1724">
        <f t="shared" si="399"/>
        <v>5</v>
      </c>
      <c r="AD1724" s="1">
        <f t="shared" si="400"/>
        <v>1.6666666666666667</v>
      </c>
      <c r="AE1724">
        <f t="shared" si="401"/>
        <v>5</v>
      </c>
      <c r="AF1724">
        <f t="shared" si="402"/>
        <v>0</v>
      </c>
      <c r="AG1724">
        <f t="shared" si="403"/>
        <v>0</v>
      </c>
    </row>
    <row r="1725" spans="1:33" x14ac:dyDescent="0.25">
      <c r="A1725" t="s">
        <v>2815</v>
      </c>
      <c r="B1725" t="s">
        <v>596</v>
      </c>
      <c r="C1725">
        <v>165855</v>
      </c>
      <c r="D1725">
        <v>165855</v>
      </c>
      <c r="E1725">
        <v>50</v>
      </c>
      <c r="F1725">
        <v>40</v>
      </c>
      <c r="G1725">
        <v>60</v>
      </c>
      <c r="O1725">
        <v>150</v>
      </c>
      <c r="S1725">
        <f t="shared" si="392"/>
        <v>9.375</v>
      </c>
      <c r="T1725">
        <f t="shared" si="393"/>
        <v>0</v>
      </c>
      <c r="U1725">
        <f t="shared" si="391"/>
        <v>1</v>
      </c>
      <c r="V1725">
        <f t="shared" si="394"/>
        <v>1</v>
      </c>
      <c r="W1725">
        <f t="shared" si="395"/>
        <v>0</v>
      </c>
      <c r="X1725">
        <f t="shared" si="404"/>
        <v>1</v>
      </c>
      <c r="Y1725">
        <f t="shared" si="405"/>
        <v>0</v>
      </c>
      <c r="Z1725">
        <f t="shared" si="396"/>
        <v>10</v>
      </c>
      <c r="AA1725">
        <f t="shared" si="397"/>
        <v>10</v>
      </c>
      <c r="AB1725">
        <f t="shared" si="398"/>
        <v>8.5714285714285712</v>
      </c>
      <c r="AC1725">
        <f t="shared" si="399"/>
        <v>0</v>
      </c>
      <c r="AD1725" s="1">
        <f t="shared" si="400"/>
        <v>0</v>
      </c>
      <c r="AE1725">
        <f t="shared" si="401"/>
        <v>0</v>
      </c>
      <c r="AF1725">
        <f t="shared" si="402"/>
        <v>0</v>
      </c>
      <c r="AG1725">
        <f t="shared" si="403"/>
        <v>0</v>
      </c>
    </row>
    <row r="1726" spans="1:33" x14ac:dyDescent="0.25">
      <c r="A1726" t="s">
        <v>2816</v>
      </c>
      <c r="B1726" t="s">
        <v>2197</v>
      </c>
      <c r="C1726">
        <v>166941</v>
      </c>
      <c r="D1726">
        <v>166941</v>
      </c>
      <c r="H1726">
        <v>20</v>
      </c>
      <c r="I1726">
        <v>50</v>
      </c>
      <c r="J1726">
        <v>20</v>
      </c>
      <c r="K1726">
        <v>10</v>
      </c>
      <c r="L1726">
        <v>10</v>
      </c>
      <c r="M1726">
        <v>110</v>
      </c>
      <c r="S1726">
        <f t="shared" si="392"/>
        <v>0</v>
      </c>
      <c r="T1726">
        <f t="shared" si="393"/>
        <v>9.1666666666666661</v>
      </c>
      <c r="U1726">
        <f t="shared" si="391"/>
        <v>1</v>
      </c>
      <c r="V1726">
        <f t="shared" si="394"/>
        <v>0</v>
      </c>
      <c r="W1726">
        <f t="shared" si="395"/>
        <v>1</v>
      </c>
      <c r="X1726">
        <f t="shared" si="404"/>
        <v>0</v>
      </c>
      <c r="Y1726">
        <f t="shared" si="405"/>
        <v>1</v>
      </c>
      <c r="Z1726">
        <f t="shared" si="396"/>
        <v>0</v>
      </c>
      <c r="AA1726">
        <f t="shared" si="397"/>
        <v>0</v>
      </c>
      <c r="AB1726">
        <f t="shared" si="398"/>
        <v>0</v>
      </c>
      <c r="AC1726">
        <f t="shared" si="399"/>
        <v>10</v>
      </c>
      <c r="AD1726" s="1">
        <f t="shared" si="400"/>
        <v>8.3333333333333339</v>
      </c>
      <c r="AE1726">
        <f t="shared" si="401"/>
        <v>10</v>
      </c>
      <c r="AF1726">
        <f t="shared" si="402"/>
        <v>10</v>
      </c>
      <c r="AG1726">
        <f t="shared" si="403"/>
        <v>10</v>
      </c>
    </row>
    <row r="1727" spans="1:33" x14ac:dyDescent="0.25">
      <c r="A1727" t="s">
        <v>2817</v>
      </c>
      <c r="B1727" t="s">
        <v>197</v>
      </c>
      <c r="C1727">
        <v>167771</v>
      </c>
      <c r="D1727">
        <v>167771</v>
      </c>
      <c r="E1727">
        <v>40</v>
      </c>
      <c r="F1727">
        <v>10</v>
      </c>
      <c r="G1727">
        <v>20</v>
      </c>
      <c r="O1727">
        <v>70</v>
      </c>
      <c r="S1727">
        <f t="shared" si="392"/>
        <v>4.375</v>
      </c>
      <c r="T1727">
        <f t="shared" si="393"/>
        <v>0</v>
      </c>
      <c r="U1727">
        <f t="shared" si="391"/>
        <v>1</v>
      </c>
      <c r="V1727">
        <f t="shared" si="394"/>
        <v>1</v>
      </c>
      <c r="W1727">
        <f t="shared" si="395"/>
        <v>0</v>
      </c>
      <c r="X1727">
        <f t="shared" si="404"/>
        <v>0</v>
      </c>
      <c r="Y1727">
        <f t="shared" si="405"/>
        <v>0</v>
      </c>
      <c r="Z1727">
        <f t="shared" si="396"/>
        <v>8</v>
      </c>
      <c r="AA1727">
        <f t="shared" si="397"/>
        <v>2.5</v>
      </c>
      <c r="AB1727">
        <f t="shared" si="398"/>
        <v>2.8571428571428572</v>
      </c>
      <c r="AC1727">
        <f t="shared" si="399"/>
        <v>0</v>
      </c>
      <c r="AD1727" s="1">
        <f t="shared" si="400"/>
        <v>0</v>
      </c>
      <c r="AE1727">
        <f t="shared" si="401"/>
        <v>0</v>
      </c>
      <c r="AF1727">
        <f t="shared" si="402"/>
        <v>0</v>
      </c>
      <c r="AG1727">
        <f t="shared" si="403"/>
        <v>0</v>
      </c>
    </row>
    <row r="1728" spans="1:33" x14ac:dyDescent="0.25">
      <c r="A1728" t="s">
        <v>2818</v>
      </c>
      <c r="B1728" t="s">
        <v>2819</v>
      </c>
      <c r="C1728">
        <v>165568</v>
      </c>
      <c r="D1728">
        <v>165568</v>
      </c>
      <c r="H1728">
        <v>10</v>
      </c>
      <c r="I1728">
        <v>40</v>
      </c>
      <c r="J1728">
        <v>20</v>
      </c>
      <c r="K1728">
        <v>10</v>
      </c>
      <c r="L1728">
        <v>10</v>
      </c>
      <c r="M1728">
        <v>90</v>
      </c>
      <c r="S1728">
        <f t="shared" si="392"/>
        <v>0</v>
      </c>
      <c r="T1728">
        <f t="shared" si="393"/>
        <v>7.5</v>
      </c>
      <c r="U1728">
        <f t="shared" si="391"/>
        <v>1</v>
      </c>
      <c r="V1728">
        <f t="shared" si="394"/>
        <v>0</v>
      </c>
      <c r="W1728">
        <f t="shared" si="395"/>
        <v>1</v>
      </c>
      <c r="X1728">
        <f t="shared" si="404"/>
        <v>0</v>
      </c>
      <c r="Y1728">
        <f t="shared" si="405"/>
        <v>1</v>
      </c>
      <c r="Z1728">
        <f t="shared" si="396"/>
        <v>0</v>
      </c>
      <c r="AA1728">
        <f t="shared" si="397"/>
        <v>0</v>
      </c>
      <c r="AB1728">
        <f t="shared" si="398"/>
        <v>0</v>
      </c>
      <c r="AC1728">
        <f t="shared" si="399"/>
        <v>5</v>
      </c>
      <c r="AD1728" s="1">
        <f t="shared" si="400"/>
        <v>6.666666666666667</v>
      </c>
      <c r="AE1728">
        <f t="shared" si="401"/>
        <v>10</v>
      </c>
      <c r="AF1728">
        <f t="shared" si="402"/>
        <v>10</v>
      </c>
      <c r="AG1728">
        <f t="shared" si="403"/>
        <v>10</v>
      </c>
    </row>
    <row r="1729" spans="1:33" x14ac:dyDescent="0.25">
      <c r="A1729" t="s">
        <v>2820</v>
      </c>
      <c r="B1729" t="s">
        <v>870</v>
      </c>
      <c r="C1729">
        <v>165509</v>
      </c>
      <c r="D1729">
        <v>165509</v>
      </c>
      <c r="E1729">
        <v>40</v>
      </c>
      <c r="F1729">
        <v>20</v>
      </c>
      <c r="G1729">
        <v>20</v>
      </c>
      <c r="O1729">
        <v>80</v>
      </c>
      <c r="S1729">
        <f t="shared" si="392"/>
        <v>5</v>
      </c>
      <c r="T1729">
        <f t="shared" si="393"/>
        <v>0</v>
      </c>
      <c r="U1729">
        <f t="shared" si="391"/>
        <v>1</v>
      </c>
      <c r="V1729">
        <f t="shared" si="394"/>
        <v>1</v>
      </c>
      <c r="W1729">
        <f t="shared" si="395"/>
        <v>0</v>
      </c>
      <c r="X1729">
        <f t="shared" si="404"/>
        <v>0</v>
      </c>
      <c r="Y1729">
        <f t="shared" si="405"/>
        <v>0</v>
      </c>
      <c r="Z1729">
        <f t="shared" si="396"/>
        <v>8</v>
      </c>
      <c r="AA1729">
        <f t="shared" si="397"/>
        <v>5</v>
      </c>
      <c r="AB1729">
        <f t="shared" si="398"/>
        <v>2.8571428571428572</v>
      </c>
      <c r="AC1729">
        <f t="shared" si="399"/>
        <v>0</v>
      </c>
      <c r="AD1729" s="1">
        <f t="shared" si="400"/>
        <v>0</v>
      </c>
      <c r="AE1729">
        <f t="shared" si="401"/>
        <v>0</v>
      </c>
      <c r="AF1729">
        <f t="shared" si="402"/>
        <v>0</v>
      </c>
      <c r="AG1729">
        <f t="shared" si="403"/>
        <v>0</v>
      </c>
    </row>
    <row r="1730" spans="1:33" x14ac:dyDescent="0.25">
      <c r="A1730" t="s">
        <v>2821</v>
      </c>
      <c r="B1730" t="s">
        <v>2822</v>
      </c>
      <c r="C1730">
        <v>167381</v>
      </c>
      <c r="D1730">
        <v>167381</v>
      </c>
      <c r="H1730">
        <v>20</v>
      </c>
      <c r="I1730">
        <v>0</v>
      </c>
      <c r="J1730">
        <v>10</v>
      </c>
      <c r="K1730">
        <v>0</v>
      </c>
      <c r="L1730">
        <v>0</v>
      </c>
      <c r="M1730">
        <v>30</v>
      </c>
      <c r="S1730">
        <f t="shared" si="392"/>
        <v>0</v>
      </c>
      <c r="T1730">
        <f t="shared" si="393"/>
        <v>2.5</v>
      </c>
      <c r="U1730">
        <f t="shared" ref="U1730:U1793" si="406">IF(AND(E1730="",F1730="",G1730="",H1730="",I1730="",J1730="",K1730="",L1730="",M1730=""),0,1)</f>
        <v>1</v>
      </c>
      <c r="V1730">
        <f t="shared" si="394"/>
        <v>0</v>
      </c>
      <c r="W1730">
        <f t="shared" si="395"/>
        <v>1</v>
      </c>
      <c r="X1730">
        <f t="shared" si="404"/>
        <v>0</v>
      </c>
      <c r="Y1730">
        <f t="shared" si="405"/>
        <v>0</v>
      </c>
      <c r="Z1730">
        <f t="shared" si="396"/>
        <v>0</v>
      </c>
      <c r="AA1730">
        <f t="shared" si="397"/>
        <v>0</v>
      </c>
      <c r="AB1730">
        <f t="shared" si="398"/>
        <v>0</v>
      </c>
      <c r="AC1730">
        <f t="shared" si="399"/>
        <v>10</v>
      </c>
      <c r="AD1730" s="1">
        <f t="shared" si="400"/>
        <v>0</v>
      </c>
      <c r="AE1730">
        <f t="shared" si="401"/>
        <v>5</v>
      </c>
      <c r="AF1730">
        <f t="shared" si="402"/>
        <v>0</v>
      </c>
      <c r="AG1730">
        <f t="shared" si="403"/>
        <v>0</v>
      </c>
    </row>
    <row r="1731" spans="1:33" x14ac:dyDescent="0.25">
      <c r="A1731" t="s">
        <v>2823</v>
      </c>
      <c r="B1731" t="s">
        <v>2824</v>
      </c>
      <c r="C1731">
        <v>168124</v>
      </c>
      <c r="D1731">
        <v>168124</v>
      </c>
      <c r="E1731">
        <v>10</v>
      </c>
      <c r="F1731">
        <v>40</v>
      </c>
      <c r="G1731">
        <v>30</v>
      </c>
      <c r="O1731">
        <v>80</v>
      </c>
      <c r="S1731">
        <f t="shared" ref="S1731:S1794" si="407">O1731/16</f>
        <v>5</v>
      </c>
      <c r="T1731">
        <f t="shared" ref="T1731:T1794" si="408">M1731/12</f>
        <v>0</v>
      </c>
      <c r="U1731">
        <f t="shared" si="406"/>
        <v>1</v>
      </c>
      <c r="V1731">
        <f t="shared" ref="V1731:V1794" si="409">IF(O1731="",0,1)</f>
        <v>1</v>
      </c>
      <c r="W1731">
        <f t="shared" ref="W1731:W1794" si="410">IF(M1731="",0,1)</f>
        <v>0</v>
      </c>
      <c r="X1731">
        <f t="shared" si="404"/>
        <v>0</v>
      </c>
      <c r="Y1731">
        <f t="shared" si="405"/>
        <v>0</v>
      </c>
      <c r="Z1731">
        <f t="shared" ref="Z1731:Z1794" si="411">E1731/5</f>
        <v>2</v>
      </c>
      <c r="AA1731">
        <f t="shared" ref="AA1731:AA1794" si="412">F1731/4</f>
        <v>10</v>
      </c>
      <c r="AB1731">
        <f t="shared" ref="AB1731:AB1794" si="413">G1731/7</f>
        <v>4.2857142857142856</v>
      </c>
      <c r="AC1731">
        <f t="shared" ref="AC1731:AC1794" si="414">H1731/2</f>
        <v>0</v>
      </c>
      <c r="AD1731" s="1">
        <f t="shared" ref="AD1731:AD1794" si="415">I1731/6</f>
        <v>0</v>
      </c>
      <c r="AE1731">
        <f t="shared" ref="AE1731:AE1794" si="416">J1731/2</f>
        <v>0</v>
      </c>
      <c r="AF1731">
        <f t="shared" ref="AF1731:AF1794" si="417">K1731</f>
        <v>0</v>
      </c>
      <c r="AG1731">
        <f t="shared" ref="AG1731:AG1794" si="418">L1731</f>
        <v>0</v>
      </c>
    </row>
    <row r="1732" spans="1:33" x14ac:dyDescent="0.25">
      <c r="A1732" t="s">
        <v>2825</v>
      </c>
      <c r="B1732" t="s">
        <v>218</v>
      </c>
      <c r="C1732">
        <v>167443</v>
      </c>
      <c r="D1732">
        <v>167443</v>
      </c>
      <c r="S1732">
        <f t="shared" si="407"/>
        <v>0</v>
      </c>
      <c r="T1732">
        <f t="shared" si="408"/>
        <v>0</v>
      </c>
      <c r="U1732">
        <f t="shared" si="406"/>
        <v>0</v>
      </c>
      <c r="V1732">
        <f t="shared" si="409"/>
        <v>0</v>
      </c>
      <c r="W1732">
        <f t="shared" si="410"/>
        <v>0</v>
      </c>
      <c r="X1732">
        <f t="shared" si="404"/>
        <v>0</v>
      </c>
      <c r="Y1732">
        <f t="shared" si="405"/>
        <v>0</v>
      </c>
      <c r="Z1732">
        <f t="shared" si="411"/>
        <v>0</v>
      </c>
      <c r="AA1732">
        <f t="shared" si="412"/>
        <v>0</v>
      </c>
      <c r="AB1732">
        <f t="shared" si="413"/>
        <v>0</v>
      </c>
      <c r="AC1732">
        <f t="shared" si="414"/>
        <v>0</v>
      </c>
      <c r="AD1732" s="1">
        <f t="shared" si="415"/>
        <v>0</v>
      </c>
      <c r="AE1732">
        <f t="shared" si="416"/>
        <v>0</v>
      </c>
      <c r="AF1732">
        <f t="shared" si="417"/>
        <v>0</v>
      </c>
      <c r="AG1732">
        <f t="shared" si="418"/>
        <v>0</v>
      </c>
    </row>
    <row r="1733" spans="1:33" x14ac:dyDescent="0.25">
      <c r="A1733" t="s">
        <v>2826</v>
      </c>
      <c r="B1733" t="s">
        <v>2827</v>
      </c>
      <c r="C1733">
        <v>167341</v>
      </c>
      <c r="D1733">
        <v>167341</v>
      </c>
      <c r="E1733">
        <v>20</v>
      </c>
      <c r="F1733">
        <v>20</v>
      </c>
      <c r="G1733">
        <v>20</v>
      </c>
      <c r="O1733">
        <v>60</v>
      </c>
      <c r="S1733">
        <f t="shared" si="407"/>
        <v>3.75</v>
      </c>
      <c r="T1733">
        <f t="shared" si="408"/>
        <v>0</v>
      </c>
      <c r="U1733">
        <f t="shared" si="406"/>
        <v>1</v>
      </c>
      <c r="V1733">
        <f t="shared" si="409"/>
        <v>1</v>
      </c>
      <c r="W1733">
        <f t="shared" si="410"/>
        <v>0</v>
      </c>
      <c r="X1733">
        <f t="shared" ref="X1733:X1796" si="419">IF(AND(V1733=1,S1733&gt;6),1,0)</f>
        <v>0</v>
      </c>
      <c r="Y1733">
        <f t="shared" ref="Y1733:Y1796" si="420">IF(AND(W1733=1,T1733&gt;6),1,0)</f>
        <v>0</v>
      </c>
      <c r="Z1733">
        <f t="shared" si="411"/>
        <v>4</v>
      </c>
      <c r="AA1733">
        <f t="shared" si="412"/>
        <v>5</v>
      </c>
      <c r="AB1733">
        <f t="shared" si="413"/>
        <v>2.8571428571428572</v>
      </c>
      <c r="AC1733">
        <f t="shared" si="414"/>
        <v>0</v>
      </c>
      <c r="AD1733" s="1">
        <f t="shared" si="415"/>
        <v>0</v>
      </c>
      <c r="AE1733">
        <f t="shared" si="416"/>
        <v>0</v>
      </c>
      <c r="AF1733">
        <f t="shared" si="417"/>
        <v>0</v>
      </c>
      <c r="AG1733">
        <f t="shared" si="418"/>
        <v>0</v>
      </c>
    </row>
    <row r="1734" spans="1:33" x14ac:dyDescent="0.25">
      <c r="A1734" t="s">
        <v>2828</v>
      </c>
      <c r="B1734" t="s">
        <v>1675</v>
      </c>
      <c r="C1734">
        <v>166026</v>
      </c>
      <c r="D1734">
        <v>166026</v>
      </c>
      <c r="H1734">
        <v>0</v>
      </c>
      <c r="I1734">
        <v>40</v>
      </c>
      <c r="J1734">
        <v>10</v>
      </c>
      <c r="K1734">
        <v>10</v>
      </c>
      <c r="L1734">
        <v>10</v>
      </c>
      <c r="M1734">
        <v>70</v>
      </c>
      <c r="S1734">
        <f t="shared" si="407"/>
        <v>0</v>
      </c>
      <c r="T1734">
        <f t="shared" si="408"/>
        <v>5.833333333333333</v>
      </c>
      <c r="U1734">
        <f t="shared" si="406"/>
        <v>1</v>
      </c>
      <c r="V1734">
        <f t="shared" si="409"/>
        <v>0</v>
      </c>
      <c r="W1734">
        <f t="shared" si="410"/>
        <v>1</v>
      </c>
      <c r="X1734">
        <f t="shared" si="419"/>
        <v>0</v>
      </c>
      <c r="Y1734">
        <f t="shared" si="420"/>
        <v>0</v>
      </c>
      <c r="Z1734">
        <f t="shared" si="411"/>
        <v>0</v>
      </c>
      <c r="AA1734">
        <f t="shared" si="412"/>
        <v>0</v>
      </c>
      <c r="AB1734">
        <f t="shared" si="413"/>
        <v>0</v>
      </c>
      <c r="AC1734">
        <f t="shared" si="414"/>
        <v>0</v>
      </c>
      <c r="AD1734" s="1">
        <f t="shared" si="415"/>
        <v>6.666666666666667</v>
      </c>
      <c r="AE1734">
        <f t="shared" si="416"/>
        <v>5</v>
      </c>
      <c r="AF1734">
        <f t="shared" si="417"/>
        <v>10</v>
      </c>
      <c r="AG1734">
        <f t="shared" si="418"/>
        <v>10</v>
      </c>
    </row>
    <row r="1735" spans="1:33" x14ac:dyDescent="0.25">
      <c r="A1735" t="s">
        <v>2829</v>
      </c>
      <c r="B1735" t="s">
        <v>2830</v>
      </c>
      <c r="C1735">
        <v>166094</v>
      </c>
      <c r="D1735">
        <v>166094</v>
      </c>
      <c r="E1735">
        <v>10</v>
      </c>
      <c r="F1735">
        <v>20</v>
      </c>
      <c r="G1735">
        <v>60</v>
      </c>
      <c r="O1735">
        <v>90</v>
      </c>
      <c r="S1735">
        <f t="shared" si="407"/>
        <v>5.625</v>
      </c>
      <c r="T1735">
        <f t="shared" si="408"/>
        <v>0</v>
      </c>
      <c r="U1735">
        <f t="shared" si="406"/>
        <v>1</v>
      </c>
      <c r="V1735">
        <f t="shared" si="409"/>
        <v>1</v>
      </c>
      <c r="W1735">
        <f t="shared" si="410"/>
        <v>0</v>
      </c>
      <c r="X1735">
        <f t="shared" si="419"/>
        <v>0</v>
      </c>
      <c r="Y1735">
        <f t="shared" si="420"/>
        <v>0</v>
      </c>
      <c r="Z1735">
        <f t="shared" si="411"/>
        <v>2</v>
      </c>
      <c r="AA1735">
        <f t="shared" si="412"/>
        <v>5</v>
      </c>
      <c r="AB1735">
        <f t="shared" si="413"/>
        <v>8.5714285714285712</v>
      </c>
      <c r="AC1735">
        <f t="shared" si="414"/>
        <v>0</v>
      </c>
      <c r="AD1735" s="1">
        <f t="shared" si="415"/>
        <v>0</v>
      </c>
      <c r="AE1735">
        <f t="shared" si="416"/>
        <v>0</v>
      </c>
      <c r="AF1735">
        <f t="shared" si="417"/>
        <v>0</v>
      </c>
      <c r="AG1735">
        <f t="shared" si="418"/>
        <v>0</v>
      </c>
    </row>
    <row r="1736" spans="1:33" x14ac:dyDescent="0.25">
      <c r="A1736" t="s">
        <v>2831</v>
      </c>
      <c r="B1736" t="s">
        <v>2832</v>
      </c>
      <c r="C1736">
        <v>167800</v>
      </c>
      <c r="D1736">
        <v>167800</v>
      </c>
      <c r="H1736">
        <v>20</v>
      </c>
      <c r="I1736">
        <v>60</v>
      </c>
      <c r="J1736">
        <v>10</v>
      </c>
      <c r="K1736">
        <v>0</v>
      </c>
      <c r="L1736">
        <v>10</v>
      </c>
      <c r="M1736">
        <v>100</v>
      </c>
      <c r="S1736">
        <f t="shared" si="407"/>
        <v>0</v>
      </c>
      <c r="T1736">
        <f t="shared" si="408"/>
        <v>8.3333333333333339</v>
      </c>
      <c r="U1736">
        <f t="shared" si="406"/>
        <v>1</v>
      </c>
      <c r="V1736">
        <f t="shared" si="409"/>
        <v>0</v>
      </c>
      <c r="W1736">
        <f t="shared" si="410"/>
        <v>1</v>
      </c>
      <c r="X1736">
        <f t="shared" si="419"/>
        <v>0</v>
      </c>
      <c r="Y1736">
        <f t="shared" si="420"/>
        <v>1</v>
      </c>
      <c r="Z1736">
        <f t="shared" si="411"/>
        <v>0</v>
      </c>
      <c r="AA1736">
        <f t="shared" si="412"/>
        <v>0</v>
      </c>
      <c r="AB1736">
        <f t="shared" si="413"/>
        <v>0</v>
      </c>
      <c r="AC1736">
        <f t="shared" si="414"/>
        <v>10</v>
      </c>
      <c r="AD1736" s="1">
        <f t="shared" si="415"/>
        <v>10</v>
      </c>
      <c r="AE1736">
        <f t="shared" si="416"/>
        <v>5</v>
      </c>
      <c r="AF1736">
        <f t="shared" si="417"/>
        <v>0</v>
      </c>
      <c r="AG1736">
        <f t="shared" si="418"/>
        <v>10</v>
      </c>
    </row>
    <row r="1737" spans="1:33" x14ac:dyDescent="0.25">
      <c r="A1737" t="s">
        <v>2833</v>
      </c>
      <c r="B1737" t="s">
        <v>2834</v>
      </c>
      <c r="C1737">
        <v>167054</v>
      </c>
      <c r="D1737">
        <v>167054</v>
      </c>
      <c r="H1737">
        <v>0</v>
      </c>
      <c r="I1737">
        <v>30</v>
      </c>
      <c r="J1737">
        <v>0</v>
      </c>
      <c r="K1737">
        <v>0</v>
      </c>
      <c r="L1737">
        <v>10</v>
      </c>
      <c r="M1737">
        <v>40</v>
      </c>
      <c r="S1737">
        <f t="shared" si="407"/>
        <v>0</v>
      </c>
      <c r="T1737">
        <f t="shared" si="408"/>
        <v>3.3333333333333335</v>
      </c>
      <c r="U1737">
        <f t="shared" si="406"/>
        <v>1</v>
      </c>
      <c r="V1737">
        <f t="shared" si="409"/>
        <v>0</v>
      </c>
      <c r="W1737">
        <f t="shared" si="410"/>
        <v>1</v>
      </c>
      <c r="X1737">
        <f t="shared" si="419"/>
        <v>0</v>
      </c>
      <c r="Y1737">
        <f t="shared" si="420"/>
        <v>0</v>
      </c>
      <c r="Z1737">
        <f t="shared" si="411"/>
        <v>0</v>
      </c>
      <c r="AA1737">
        <f t="shared" si="412"/>
        <v>0</v>
      </c>
      <c r="AB1737">
        <f t="shared" si="413"/>
        <v>0</v>
      </c>
      <c r="AC1737">
        <f t="shared" si="414"/>
        <v>0</v>
      </c>
      <c r="AD1737" s="1">
        <f t="shared" si="415"/>
        <v>5</v>
      </c>
      <c r="AE1737">
        <f t="shared" si="416"/>
        <v>0</v>
      </c>
      <c r="AF1737">
        <f t="shared" si="417"/>
        <v>0</v>
      </c>
      <c r="AG1737">
        <f t="shared" si="418"/>
        <v>10</v>
      </c>
    </row>
    <row r="1738" spans="1:33" x14ac:dyDescent="0.25">
      <c r="A1738" t="s">
        <v>2835</v>
      </c>
      <c r="B1738" t="s">
        <v>2836</v>
      </c>
      <c r="C1738">
        <v>167611</v>
      </c>
      <c r="D1738">
        <v>167611</v>
      </c>
      <c r="H1738">
        <v>20</v>
      </c>
      <c r="I1738">
        <v>50</v>
      </c>
      <c r="J1738">
        <v>20</v>
      </c>
      <c r="K1738">
        <v>10</v>
      </c>
      <c r="L1738">
        <v>0</v>
      </c>
      <c r="M1738">
        <v>100</v>
      </c>
      <c r="S1738">
        <f t="shared" si="407"/>
        <v>0</v>
      </c>
      <c r="T1738">
        <f t="shared" si="408"/>
        <v>8.3333333333333339</v>
      </c>
      <c r="U1738">
        <f t="shared" si="406"/>
        <v>1</v>
      </c>
      <c r="V1738">
        <f t="shared" si="409"/>
        <v>0</v>
      </c>
      <c r="W1738">
        <f t="shared" si="410"/>
        <v>1</v>
      </c>
      <c r="X1738">
        <f t="shared" si="419"/>
        <v>0</v>
      </c>
      <c r="Y1738">
        <f t="shared" si="420"/>
        <v>1</v>
      </c>
      <c r="Z1738">
        <f t="shared" si="411"/>
        <v>0</v>
      </c>
      <c r="AA1738">
        <f t="shared" si="412"/>
        <v>0</v>
      </c>
      <c r="AB1738">
        <f t="shared" si="413"/>
        <v>0</v>
      </c>
      <c r="AC1738">
        <f t="shared" si="414"/>
        <v>10</v>
      </c>
      <c r="AD1738" s="1">
        <f t="shared" si="415"/>
        <v>8.3333333333333339</v>
      </c>
      <c r="AE1738">
        <f t="shared" si="416"/>
        <v>10</v>
      </c>
      <c r="AF1738">
        <f t="shared" si="417"/>
        <v>10</v>
      </c>
      <c r="AG1738">
        <f t="shared" si="418"/>
        <v>0</v>
      </c>
    </row>
    <row r="1739" spans="1:33" x14ac:dyDescent="0.25">
      <c r="A1739" t="s">
        <v>2837</v>
      </c>
      <c r="B1739" t="s">
        <v>176</v>
      </c>
      <c r="C1739">
        <v>166364</v>
      </c>
      <c r="D1739">
        <v>166364</v>
      </c>
      <c r="H1739">
        <v>10</v>
      </c>
      <c r="I1739">
        <v>30</v>
      </c>
      <c r="J1739">
        <v>20</v>
      </c>
      <c r="K1739">
        <v>0</v>
      </c>
      <c r="L1739">
        <v>0</v>
      </c>
      <c r="M1739">
        <v>60</v>
      </c>
      <c r="S1739">
        <f t="shared" si="407"/>
        <v>0</v>
      </c>
      <c r="T1739">
        <f t="shared" si="408"/>
        <v>5</v>
      </c>
      <c r="U1739">
        <f t="shared" si="406"/>
        <v>1</v>
      </c>
      <c r="V1739">
        <f t="shared" si="409"/>
        <v>0</v>
      </c>
      <c r="W1739">
        <f t="shared" si="410"/>
        <v>1</v>
      </c>
      <c r="X1739">
        <f t="shared" si="419"/>
        <v>0</v>
      </c>
      <c r="Y1739">
        <f t="shared" si="420"/>
        <v>0</v>
      </c>
      <c r="Z1739">
        <f t="shared" si="411"/>
        <v>0</v>
      </c>
      <c r="AA1739">
        <f t="shared" si="412"/>
        <v>0</v>
      </c>
      <c r="AB1739">
        <f t="shared" si="413"/>
        <v>0</v>
      </c>
      <c r="AC1739">
        <f t="shared" si="414"/>
        <v>5</v>
      </c>
      <c r="AD1739" s="1">
        <f t="shared" si="415"/>
        <v>5</v>
      </c>
      <c r="AE1739">
        <f t="shared" si="416"/>
        <v>10</v>
      </c>
      <c r="AF1739">
        <f t="shared" si="417"/>
        <v>0</v>
      </c>
      <c r="AG1739">
        <f t="shared" si="418"/>
        <v>0</v>
      </c>
    </row>
    <row r="1740" spans="1:33" x14ac:dyDescent="0.25">
      <c r="A1740" t="s">
        <v>2838</v>
      </c>
      <c r="B1740" t="s">
        <v>2839</v>
      </c>
      <c r="C1740">
        <v>165723</v>
      </c>
      <c r="D1740">
        <v>165723</v>
      </c>
      <c r="E1740">
        <v>40</v>
      </c>
      <c r="F1740">
        <v>20</v>
      </c>
      <c r="G1740">
        <v>30</v>
      </c>
      <c r="O1740">
        <v>90</v>
      </c>
      <c r="S1740">
        <f t="shared" si="407"/>
        <v>5.625</v>
      </c>
      <c r="T1740">
        <f t="shared" si="408"/>
        <v>0</v>
      </c>
      <c r="U1740">
        <f t="shared" si="406"/>
        <v>1</v>
      </c>
      <c r="V1740">
        <f t="shared" si="409"/>
        <v>1</v>
      </c>
      <c r="W1740">
        <f t="shared" si="410"/>
        <v>0</v>
      </c>
      <c r="X1740">
        <f t="shared" si="419"/>
        <v>0</v>
      </c>
      <c r="Y1740">
        <f t="shared" si="420"/>
        <v>0</v>
      </c>
      <c r="Z1740">
        <f t="shared" si="411"/>
        <v>8</v>
      </c>
      <c r="AA1740">
        <f t="shared" si="412"/>
        <v>5</v>
      </c>
      <c r="AB1740">
        <f t="shared" si="413"/>
        <v>4.2857142857142856</v>
      </c>
      <c r="AC1740">
        <f t="shared" si="414"/>
        <v>0</v>
      </c>
      <c r="AD1740" s="1">
        <f t="shared" si="415"/>
        <v>0</v>
      </c>
      <c r="AE1740">
        <f t="shared" si="416"/>
        <v>0</v>
      </c>
      <c r="AF1740">
        <f t="shared" si="417"/>
        <v>0</v>
      </c>
      <c r="AG1740">
        <f t="shared" si="418"/>
        <v>0</v>
      </c>
    </row>
    <row r="1741" spans="1:33" x14ac:dyDescent="0.25">
      <c r="A1741" t="s">
        <v>2840</v>
      </c>
      <c r="B1741" t="s">
        <v>77</v>
      </c>
      <c r="C1741">
        <v>167091</v>
      </c>
      <c r="D1741">
        <v>167091</v>
      </c>
      <c r="E1741">
        <v>0</v>
      </c>
      <c r="F1741">
        <v>30</v>
      </c>
      <c r="G1741">
        <v>30</v>
      </c>
      <c r="O1741">
        <v>60</v>
      </c>
      <c r="S1741">
        <f t="shared" si="407"/>
        <v>3.75</v>
      </c>
      <c r="T1741">
        <f t="shared" si="408"/>
        <v>0</v>
      </c>
      <c r="U1741">
        <f t="shared" si="406"/>
        <v>1</v>
      </c>
      <c r="V1741">
        <f t="shared" si="409"/>
        <v>1</v>
      </c>
      <c r="W1741">
        <f t="shared" si="410"/>
        <v>0</v>
      </c>
      <c r="X1741">
        <f t="shared" si="419"/>
        <v>0</v>
      </c>
      <c r="Y1741">
        <f t="shared" si="420"/>
        <v>0</v>
      </c>
      <c r="Z1741">
        <f t="shared" si="411"/>
        <v>0</v>
      </c>
      <c r="AA1741">
        <f t="shared" si="412"/>
        <v>7.5</v>
      </c>
      <c r="AB1741">
        <f t="shared" si="413"/>
        <v>4.2857142857142856</v>
      </c>
      <c r="AC1741">
        <f t="shared" si="414"/>
        <v>0</v>
      </c>
      <c r="AD1741" s="1">
        <f t="shared" si="415"/>
        <v>0</v>
      </c>
      <c r="AE1741">
        <f t="shared" si="416"/>
        <v>0</v>
      </c>
      <c r="AF1741">
        <f t="shared" si="417"/>
        <v>0</v>
      </c>
      <c r="AG1741">
        <f t="shared" si="418"/>
        <v>0</v>
      </c>
    </row>
    <row r="1742" spans="1:33" x14ac:dyDescent="0.25">
      <c r="A1742" t="s">
        <v>2841</v>
      </c>
      <c r="B1742" t="s">
        <v>2842</v>
      </c>
      <c r="C1742">
        <v>168448</v>
      </c>
      <c r="D1742">
        <v>168448</v>
      </c>
      <c r="H1742">
        <v>0</v>
      </c>
      <c r="I1742">
        <v>40</v>
      </c>
      <c r="J1742">
        <v>10</v>
      </c>
      <c r="K1742">
        <v>0</v>
      </c>
      <c r="L1742">
        <v>0</v>
      </c>
      <c r="M1742">
        <v>50</v>
      </c>
      <c r="S1742">
        <f t="shared" si="407"/>
        <v>0</v>
      </c>
      <c r="T1742">
        <f t="shared" si="408"/>
        <v>4.166666666666667</v>
      </c>
      <c r="U1742">
        <f t="shared" si="406"/>
        <v>1</v>
      </c>
      <c r="V1742">
        <f t="shared" si="409"/>
        <v>0</v>
      </c>
      <c r="W1742">
        <f t="shared" si="410"/>
        <v>1</v>
      </c>
      <c r="X1742">
        <f t="shared" si="419"/>
        <v>0</v>
      </c>
      <c r="Y1742">
        <f t="shared" si="420"/>
        <v>0</v>
      </c>
      <c r="Z1742">
        <f t="shared" si="411"/>
        <v>0</v>
      </c>
      <c r="AA1742">
        <f t="shared" si="412"/>
        <v>0</v>
      </c>
      <c r="AB1742">
        <f t="shared" si="413"/>
        <v>0</v>
      </c>
      <c r="AC1742">
        <f t="shared" si="414"/>
        <v>0</v>
      </c>
      <c r="AD1742" s="1">
        <f t="shared" si="415"/>
        <v>6.666666666666667</v>
      </c>
      <c r="AE1742">
        <f t="shared" si="416"/>
        <v>5</v>
      </c>
      <c r="AF1742">
        <f t="shared" si="417"/>
        <v>0</v>
      </c>
      <c r="AG1742">
        <f t="shared" si="418"/>
        <v>0</v>
      </c>
    </row>
    <row r="1743" spans="1:33" x14ac:dyDescent="0.25">
      <c r="A1743" t="s">
        <v>2843</v>
      </c>
      <c r="B1743" t="s">
        <v>2844</v>
      </c>
      <c r="C1743">
        <v>166427</v>
      </c>
      <c r="D1743">
        <v>166427</v>
      </c>
      <c r="E1743">
        <v>30</v>
      </c>
      <c r="F1743">
        <v>20</v>
      </c>
      <c r="G1743">
        <v>30</v>
      </c>
      <c r="O1743">
        <v>80</v>
      </c>
      <c r="S1743">
        <f t="shared" si="407"/>
        <v>5</v>
      </c>
      <c r="T1743">
        <f t="shared" si="408"/>
        <v>0</v>
      </c>
      <c r="U1743">
        <f t="shared" si="406"/>
        <v>1</v>
      </c>
      <c r="V1743">
        <f t="shared" si="409"/>
        <v>1</v>
      </c>
      <c r="W1743">
        <f t="shared" si="410"/>
        <v>0</v>
      </c>
      <c r="X1743">
        <f t="shared" si="419"/>
        <v>0</v>
      </c>
      <c r="Y1743">
        <f t="shared" si="420"/>
        <v>0</v>
      </c>
      <c r="Z1743">
        <f t="shared" si="411"/>
        <v>6</v>
      </c>
      <c r="AA1743">
        <f t="shared" si="412"/>
        <v>5</v>
      </c>
      <c r="AB1743">
        <f t="shared" si="413"/>
        <v>4.2857142857142856</v>
      </c>
      <c r="AC1743">
        <f t="shared" si="414"/>
        <v>0</v>
      </c>
      <c r="AD1743" s="1">
        <f t="shared" si="415"/>
        <v>0</v>
      </c>
      <c r="AE1743">
        <f t="shared" si="416"/>
        <v>0</v>
      </c>
      <c r="AF1743">
        <f t="shared" si="417"/>
        <v>0</v>
      </c>
      <c r="AG1743">
        <f t="shared" si="418"/>
        <v>0</v>
      </c>
    </row>
    <row r="1744" spans="1:33" x14ac:dyDescent="0.25">
      <c r="A1744" t="s">
        <v>2845</v>
      </c>
      <c r="B1744" t="s">
        <v>2846</v>
      </c>
      <c r="C1744">
        <v>167761</v>
      </c>
      <c r="D1744">
        <v>167761</v>
      </c>
      <c r="H1744">
        <v>0</v>
      </c>
      <c r="J1744">
        <v>10</v>
      </c>
      <c r="M1744">
        <v>10</v>
      </c>
      <c r="S1744">
        <f t="shared" si="407"/>
        <v>0</v>
      </c>
      <c r="T1744">
        <f t="shared" si="408"/>
        <v>0.83333333333333337</v>
      </c>
      <c r="U1744">
        <f t="shared" si="406"/>
        <v>1</v>
      </c>
      <c r="V1744">
        <f t="shared" si="409"/>
        <v>0</v>
      </c>
      <c r="W1744">
        <f t="shared" si="410"/>
        <v>1</v>
      </c>
      <c r="X1744">
        <f t="shared" si="419"/>
        <v>0</v>
      </c>
      <c r="Y1744">
        <f t="shared" si="420"/>
        <v>0</v>
      </c>
      <c r="Z1744">
        <f t="shared" si="411"/>
        <v>0</v>
      </c>
      <c r="AA1744">
        <f t="shared" si="412"/>
        <v>0</v>
      </c>
      <c r="AB1744">
        <f t="shared" si="413"/>
        <v>0</v>
      </c>
      <c r="AC1744">
        <f t="shared" si="414"/>
        <v>0</v>
      </c>
      <c r="AD1744" s="1">
        <f t="shared" si="415"/>
        <v>0</v>
      </c>
      <c r="AE1744">
        <f t="shared" si="416"/>
        <v>5</v>
      </c>
      <c r="AF1744">
        <f t="shared" si="417"/>
        <v>0</v>
      </c>
      <c r="AG1744">
        <f t="shared" si="418"/>
        <v>0</v>
      </c>
    </row>
    <row r="1745" spans="1:33" x14ac:dyDescent="0.25">
      <c r="A1745" t="s">
        <v>2847</v>
      </c>
      <c r="B1745" t="s">
        <v>2848</v>
      </c>
      <c r="C1745">
        <v>167590</v>
      </c>
      <c r="D1745">
        <v>167590</v>
      </c>
      <c r="H1745">
        <v>10</v>
      </c>
      <c r="I1745">
        <v>40</v>
      </c>
      <c r="J1745">
        <v>20</v>
      </c>
      <c r="K1745">
        <v>0</v>
      </c>
      <c r="L1745">
        <v>0</v>
      </c>
      <c r="M1745">
        <v>70</v>
      </c>
      <c r="S1745">
        <f t="shared" si="407"/>
        <v>0</v>
      </c>
      <c r="T1745">
        <f t="shared" si="408"/>
        <v>5.833333333333333</v>
      </c>
      <c r="U1745">
        <f t="shared" si="406"/>
        <v>1</v>
      </c>
      <c r="V1745">
        <f t="shared" si="409"/>
        <v>0</v>
      </c>
      <c r="W1745">
        <f t="shared" si="410"/>
        <v>1</v>
      </c>
      <c r="X1745">
        <f t="shared" si="419"/>
        <v>0</v>
      </c>
      <c r="Y1745">
        <f t="shared" si="420"/>
        <v>0</v>
      </c>
      <c r="Z1745">
        <f t="shared" si="411"/>
        <v>0</v>
      </c>
      <c r="AA1745">
        <f t="shared" si="412"/>
        <v>0</v>
      </c>
      <c r="AB1745">
        <f t="shared" si="413"/>
        <v>0</v>
      </c>
      <c r="AC1745">
        <f t="shared" si="414"/>
        <v>5</v>
      </c>
      <c r="AD1745" s="1">
        <f t="shared" si="415"/>
        <v>6.666666666666667</v>
      </c>
      <c r="AE1745">
        <f t="shared" si="416"/>
        <v>10</v>
      </c>
      <c r="AF1745">
        <f t="shared" si="417"/>
        <v>0</v>
      </c>
      <c r="AG1745">
        <f t="shared" si="418"/>
        <v>0</v>
      </c>
    </row>
    <row r="1746" spans="1:33" x14ac:dyDescent="0.25">
      <c r="A1746" t="s">
        <v>2849</v>
      </c>
      <c r="B1746" t="s">
        <v>166</v>
      </c>
      <c r="C1746">
        <v>168463</v>
      </c>
      <c r="D1746">
        <v>168463</v>
      </c>
      <c r="E1746">
        <v>50</v>
      </c>
      <c r="F1746">
        <v>30</v>
      </c>
      <c r="G1746">
        <v>20</v>
      </c>
      <c r="O1746">
        <v>100</v>
      </c>
      <c r="S1746">
        <f t="shared" si="407"/>
        <v>6.25</v>
      </c>
      <c r="T1746">
        <f t="shared" si="408"/>
        <v>0</v>
      </c>
      <c r="U1746">
        <f t="shared" si="406"/>
        <v>1</v>
      </c>
      <c r="V1746">
        <f t="shared" si="409"/>
        <v>1</v>
      </c>
      <c r="W1746">
        <f t="shared" si="410"/>
        <v>0</v>
      </c>
      <c r="X1746">
        <f t="shared" si="419"/>
        <v>1</v>
      </c>
      <c r="Y1746">
        <f t="shared" si="420"/>
        <v>0</v>
      </c>
      <c r="Z1746">
        <f t="shared" si="411"/>
        <v>10</v>
      </c>
      <c r="AA1746">
        <f t="shared" si="412"/>
        <v>7.5</v>
      </c>
      <c r="AB1746">
        <f t="shared" si="413"/>
        <v>2.8571428571428572</v>
      </c>
      <c r="AC1746">
        <f t="shared" si="414"/>
        <v>0</v>
      </c>
      <c r="AD1746" s="1">
        <f t="shared" si="415"/>
        <v>0</v>
      </c>
      <c r="AE1746">
        <f t="shared" si="416"/>
        <v>0</v>
      </c>
      <c r="AF1746">
        <f t="shared" si="417"/>
        <v>0</v>
      </c>
      <c r="AG1746">
        <f t="shared" si="418"/>
        <v>0</v>
      </c>
    </row>
    <row r="1747" spans="1:33" x14ac:dyDescent="0.25">
      <c r="A1747" t="s">
        <v>2850</v>
      </c>
      <c r="B1747" t="s">
        <v>367</v>
      </c>
      <c r="C1747">
        <v>159942</v>
      </c>
      <c r="D1747">
        <v>159942</v>
      </c>
      <c r="S1747">
        <f t="shared" si="407"/>
        <v>0</v>
      </c>
      <c r="T1747">
        <f t="shared" si="408"/>
        <v>0</v>
      </c>
      <c r="U1747">
        <f t="shared" si="406"/>
        <v>0</v>
      </c>
      <c r="V1747">
        <f t="shared" si="409"/>
        <v>0</v>
      </c>
      <c r="W1747">
        <f t="shared" si="410"/>
        <v>0</v>
      </c>
      <c r="X1747">
        <f t="shared" si="419"/>
        <v>0</v>
      </c>
      <c r="Y1747">
        <f t="shared" si="420"/>
        <v>0</v>
      </c>
      <c r="Z1747">
        <f t="shared" si="411"/>
        <v>0</v>
      </c>
      <c r="AA1747">
        <f t="shared" si="412"/>
        <v>0</v>
      </c>
      <c r="AB1747">
        <f t="shared" si="413"/>
        <v>0</v>
      </c>
      <c r="AC1747">
        <f t="shared" si="414"/>
        <v>0</v>
      </c>
      <c r="AD1747" s="1">
        <f t="shared" si="415"/>
        <v>0</v>
      </c>
      <c r="AE1747">
        <f t="shared" si="416"/>
        <v>0</v>
      </c>
      <c r="AF1747">
        <f t="shared" si="417"/>
        <v>0</v>
      </c>
      <c r="AG1747">
        <f t="shared" si="418"/>
        <v>0</v>
      </c>
    </row>
    <row r="1748" spans="1:33" x14ac:dyDescent="0.25">
      <c r="A1748" t="s">
        <v>2851</v>
      </c>
      <c r="B1748" t="s">
        <v>340</v>
      </c>
      <c r="C1748">
        <v>168649</v>
      </c>
      <c r="D1748">
        <v>168649</v>
      </c>
      <c r="H1748">
        <v>10</v>
      </c>
      <c r="I1748">
        <v>40</v>
      </c>
      <c r="J1748">
        <v>10</v>
      </c>
      <c r="K1748">
        <v>0</v>
      </c>
      <c r="L1748">
        <v>10</v>
      </c>
      <c r="M1748">
        <v>70</v>
      </c>
      <c r="S1748">
        <f t="shared" si="407"/>
        <v>0</v>
      </c>
      <c r="T1748">
        <f t="shared" si="408"/>
        <v>5.833333333333333</v>
      </c>
      <c r="U1748">
        <f t="shared" si="406"/>
        <v>1</v>
      </c>
      <c r="V1748">
        <f t="shared" si="409"/>
        <v>0</v>
      </c>
      <c r="W1748">
        <f t="shared" si="410"/>
        <v>1</v>
      </c>
      <c r="X1748">
        <f t="shared" si="419"/>
        <v>0</v>
      </c>
      <c r="Y1748">
        <f t="shared" si="420"/>
        <v>0</v>
      </c>
      <c r="Z1748">
        <f t="shared" si="411"/>
        <v>0</v>
      </c>
      <c r="AA1748">
        <f t="shared" si="412"/>
        <v>0</v>
      </c>
      <c r="AB1748">
        <f t="shared" si="413"/>
        <v>0</v>
      </c>
      <c r="AC1748">
        <f t="shared" si="414"/>
        <v>5</v>
      </c>
      <c r="AD1748" s="1">
        <f t="shared" si="415"/>
        <v>6.666666666666667</v>
      </c>
      <c r="AE1748">
        <f t="shared" si="416"/>
        <v>5</v>
      </c>
      <c r="AF1748">
        <f t="shared" si="417"/>
        <v>0</v>
      </c>
      <c r="AG1748">
        <f t="shared" si="418"/>
        <v>10</v>
      </c>
    </row>
    <row r="1749" spans="1:33" x14ac:dyDescent="0.25">
      <c r="A1749" t="s">
        <v>2852</v>
      </c>
      <c r="B1749" t="s">
        <v>2853</v>
      </c>
      <c r="C1749">
        <v>168399</v>
      </c>
      <c r="D1749">
        <v>168399</v>
      </c>
      <c r="H1749">
        <v>0</v>
      </c>
      <c r="I1749">
        <v>10</v>
      </c>
      <c r="J1749">
        <v>10</v>
      </c>
      <c r="K1749">
        <v>0</v>
      </c>
      <c r="L1749">
        <v>0</v>
      </c>
      <c r="M1749">
        <v>20</v>
      </c>
      <c r="S1749">
        <f t="shared" si="407"/>
        <v>0</v>
      </c>
      <c r="T1749">
        <f t="shared" si="408"/>
        <v>1.6666666666666667</v>
      </c>
      <c r="U1749">
        <f t="shared" si="406"/>
        <v>1</v>
      </c>
      <c r="V1749">
        <f t="shared" si="409"/>
        <v>0</v>
      </c>
      <c r="W1749">
        <f t="shared" si="410"/>
        <v>1</v>
      </c>
      <c r="X1749">
        <f t="shared" si="419"/>
        <v>0</v>
      </c>
      <c r="Y1749">
        <f t="shared" si="420"/>
        <v>0</v>
      </c>
      <c r="Z1749">
        <f t="shared" si="411"/>
        <v>0</v>
      </c>
      <c r="AA1749">
        <f t="shared" si="412"/>
        <v>0</v>
      </c>
      <c r="AB1749">
        <f t="shared" si="413"/>
        <v>0</v>
      </c>
      <c r="AC1749">
        <f t="shared" si="414"/>
        <v>0</v>
      </c>
      <c r="AD1749" s="1">
        <f t="shared" si="415"/>
        <v>1.6666666666666667</v>
      </c>
      <c r="AE1749">
        <f t="shared" si="416"/>
        <v>5</v>
      </c>
      <c r="AF1749">
        <f t="shared" si="417"/>
        <v>0</v>
      </c>
      <c r="AG1749">
        <f t="shared" si="418"/>
        <v>0</v>
      </c>
    </row>
    <row r="1750" spans="1:33" x14ac:dyDescent="0.25">
      <c r="A1750" t="s">
        <v>2854</v>
      </c>
      <c r="B1750" t="s">
        <v>1541</v>
      </c>
      <c r="C1750">
        <v>163280</v>
      </c>
      <c r="D1750">
        <v>163280</v>
      </c>
      <c r="E1750">
        <v>30</v>
      </c>
      <c r="F1750">
        <v>40</v>
      </c>
      <c r="G1750">
        <v>20</v>
      </c>
      <c r="O1750">
        <v>90</v>
      </c>
      <c r="S1750">
        <f t="shared" si="407"/>
        <v>5.625</v>
      </c>
      <c r="T1750">
        <f t="shared" si="408"/>
        <v>0</v>
      </c>
      <c r="U1750">
        <f t="shared" si="406"/>
        <v>1</v>
      </c>
      <c r="V1750">
        <f t="shared" si="409"/>
        <v>1</v>
      </c>
      <c r="W1750">
        <f t="shared" si="410"/>
        <v>0</v>
      </c>
      <c r="X1750">
        <f t="shared" si="419"/>
        <v>0</v>
      </c>
      <c r="Y1750">
        <f t="shared" si="420"/>
        <v>0</v>
      </c>
      <c r="Z1750">
        <f t="shared" si="411"/>
        <v>6</v>
      </c>
      <c r="AA1750">
        <f t="shared" si="412"/>
        <v>10</v>
      </c>
      <c r="AB1750">
        <f t="shared" si="413"/>
        <v>2.8571428571428572</v>
      </c>
      <c r="AC1750">
        <f t="shared" si="414"/>
        <v>0</v>
      </c>
      <c r="AD1750" s="1">
        <f t="shared" si="415"/>
        <v>0</v>
      </c>
      <c r="AE1750">
        <f t="shared" si="416"/>
        <v>0</v>
      </c>
      <c r="AF1750">
        <f t="shared" si="417"/>
        <v>0</v>
      </c>
      <c r="AG1750">
        <f t="shared" si="418"/>
        <v>0</v>
      </c>
    </row>
    <row r="1751" spans="1:33" x14ac:dyDescent="0.25">
      <c r="A1751" t="s">
        <v>2855</v>
      </c>
      <c r="B1751" t="s">
        <v>2856</v>
      </c>
      <c r="C1751">
        <v>168826</v>
      </c>
      <c r="D1751">
        <v>168826</v>
      </c>
      <c r="H1751">
        <v>0</v>
      </c>
      <c r="M1751">
        <v>0</v>
      </c>
      <c r="S1751">
        <f t="shared" si="407"/>
        <v>0</v>
      </c>
      <c r="T1751">
        <f t="shared" si="408"/>
        <v>0</v>
      </c>
      <c r="U1751">
        <f t="shared" si="406"/>
        <v>1</v>
      </c>
      <c r="V1751">
        <f t="shared" si="409"/>
        <v>0</v>
      </c>
      <c r="W1751">
        <f t="shared" si="410"/>
        <v>1</v>
      </c>
      <c r="X1751">
        <f t="shared" si="419"/>
        <v>0</v>
      </c>
      <c r="Y1751">
        <f t="shared" si="420"/>
        <v>0</v>
      </c>
      <c r="Z1751">
        <f t="shared" si="411"/>
        <v>0</v>
      </c>
      <c r="AA1751">
        <f t="shared" si="412"/>
        <v>0</v>
      </c>
      <c r="AB1751">
        <f t="shared" si="413"/>
        <v>0</v>
      </c>
      <c r="AC1751">
        <f t="shared" si="414"/>
        <v>0</v>
      </c>
      <c r="AD1751" s="1">
        <f t="shared" si="415"/>
        <v>0</v>
      </c>
      <c r="AE1751">
        <f t="shared" si="416"/>
        <v>0</v>
      </c>
      <c r="AF1751">
        <f t="shared" si="417"/>
        <v>0</v>
      </c>
      <c r="AG1751">
        <f t="shared" si="418"/>
        <v>0</v>
      </c>
    </row>
    <row r="1752" spans="1:33" x14ac:dyDescent="0.25">
      <c r="A1752" t="s">
        <v>2857</v>
      </c>
      <c r="B1752" t="s">
        <v>2844</v>
      </c>
      <c r="C1752">
        <v>168265</v>
      </c>
      <c r="D1752">
        <v>168265</v>
      </c>
      <c r="E1752">
        <v>40</v>
      </c>
      <c r="F1752">
        <v>20</v>
      </c>
      <c r="G1752">
        <v>40</v>
      </c>
      <c r="O1752">
        <v>100</v>
      </c>
      <c r="S1752">
        <f t="shared" si="407"/>
        <v>6.25</v>
      </c>
      <c r="T1752">
        <f t="shared" si="408"/>
        <v>0</v>
      </c>
      <c r="U1752">
        <f t="shared" si="406"/>
        <v>1</v>
      </c>
      <c r="V1752">
        <f t="shared" si="409"/>
        <v>1</v>
      </c>
      <c r="W1752">
        <f t="shared" si="410"/>
        <v>0</v>
      </c>
      <c r="X1752">
        <f t="shared" si="419"/>
        <v>1</v>
      </c>
      <c r="Y1752">
        <f t="shared" si="420"/>
        <v>0</v>
      </c>
      <c r="Z1752">
        <f t="shared" si="411"/>
        <v>8</v>
      </c>
      <c r="AA1752">
        <f t="shared" si="412"/>
        <v>5</v>
      </c>
      <c r="AB1752">
        <f t="shared" si="413"/>
        <v>5.7142857142857144</v>
      </c>
      <c r="AC1752">
        <f t="shared" si="414"/>
        <v>0</v>
      </c>
      <c r="AD1752" s="1">
        <f t="shared" si="415"/>
        <v>0</v>
      </c>
      <c r="AE1752">
        <f t="shared" si="416"/>
        <v>0</v>
      </c>
      <c r="AF1752">
        <f t="shared" si="417"/>
        <v>0</v>
      </c>
      <c r="AG1752">
        <f t="shared" si="418"/>
        <v>0</v>
      </c>
    </row>
    <row r="1753" spans="1:33" x14ac:dyDescent="0.25">
      <c r="A1753" t="s">
        <v>2858</v>
      </c>
      <c r="B1753" t="s">
        <v>2859</v>
      </c>
      <c r="C1753">
        <v>166522</v>
      </c>
      <c r="D1753">
        <v>166522</v>
      </c>
      <c r="H1753">
        <v>10</v>
      </c>
      <c r="I1753">
        <v>30</v>
      </c>
      <c r="J1753">
        <v>10</v>
      </c>
      <c r="K1753">
        <v>10</v>
      </c>
      <c r="L1753">
        <v>10</v>
      </c>
      <c r="M1753">
        <v>70</v>
      </c>
      <c r="N1753" t="s">
        <v>20</v>
      </c>
      <c r="S1753">
        <f t="shared" si="407"/>
        <v>0</v>
      </c>
      <c r="T1753">
        <f t="shared" si="408"/>
        <v>5.833333333333333</v>
      </c>
      <c r="U1753">
        <f t="shared" si="406"/>
        <v>1</v>
      </c>
      <c r="V1753">
        <f t="shared" si="409"/>
        <v>0</v>
      </c>
      <c r="W1753">
        <f t="shared" si="410"/>
        <v>1</v>
      </c>
      <c r="X1753">
        <f t="shared" si="419"/>
        <v>0</v>
      </c>
      <c r="Y1753">
        <f t="shared" si="420"/>
        <v>0</v>
      </c>
      <c r="Z1753">
        <f t="shared" si="411"/>
        <v>0</v>
      </c>
      <c r="AA1753">
        <f t="shared" si="412"/>
        <v>0</v>
      </c>
      <c r="AB1753">
        <f t="shared" si="413"/>
        <v>0</v>
      </c>
      <c r="AC1753">
        <f t="shared" si="414"/>
        <v>5</v>
      </c>
      <c r="AD1753" s="1">
        <f t="shared" si="415"/>
        <v>5</v>
      </c>
      <c r="AE1753">
        <f t="shared" si="416"/>
        <v>5</v>
      </c>
      <c r="AF1753">
        <f t="shared" si="417"/>
        <v>10</v>
      </c>
      <c r="AG1753">
        <f t="shared" si="418"/>
        <v>10</v>
      </c>
    </row>
    <row r="1754" spans="1:33" x14ac:dyDescent="0.25">
      <c r="A1754" t="s">
        <v>2860</v>
      </c>
      <c r="B1754" t="s">
        <v>67</v>
      </c>
      <c r="C1754">
        <v>166815</v>
      </c>
      <c r="D1754">
        <v>166815</v>
      </c>
      <c r="E1754">
        <v>20</v>
      </c>
      <c r="F1754">
        <v>20</v>
      </c>
      <c r="G1754">
        <v>10</v>
      </c>
      <c r="O1754">
        <v>50</v>
      </c>
      <c r="S1754">
        <f t="shared" si="407"/>
        <v>3.125</v>
      </c>
      <c r="T1754">
        <f t="shared" si="408"/>
        <v>0</v>
      </c>
      <c r="U1754">
        <f t="shared" si="406"/>
        <v>1</v>
      </c>
      <c r="V1754">
        <f t="shared" si="409"/>
        <v>1</v>
      </c>
      <c r="W1754">
        <f t="shared" si="410"/>
        <v>0</v>
      </c>
      <c r="X1754">
        <f t="shared" si="419"/>
        <v>0</v>
      </c>
      <c r="Y1754">
        <f t="shared" si="420"/>
        <v>0</v>
      </c>
      <c r="Z1754">
        <f t="shared" si="411"/>
        <v>4</v>
      </c>
      <c r="AA1754">
        <f t="shared" si="412"/>
        <v>5</v>
      </c>
      <c r="AB1754">
        <f t="shared" si="413"/>
        <v>1.4285714285714286</v>
      </c>
      <c r="AC1754">
        <f t="shared" si="414"/>
        <v>0</v>
      </c>
      <c r="AD1754" s="1">
        <f t="shared" si="415"/>
        <v>0</v>
      </c>
      <c r="AE1754">
        <f t="shared" si="416"/>
        <v>0</v>
      </c>
      <c r="AF1754">
        <f t="shared" si="417"/>
        <v>0</v>
      </c>
      <c r="AG1754">
        <f t="shared" si="418"/>
        <v>0</v>
      </c>
    </row>
    <row r="1755" spans="1:33" x14ac:dyDescent="0.25">
      <c r="A1755" t="s">
        <v>2861</v>
      </c>
      <c r="B1755" t="s">
        <v>1924</v>
      </c>
      <c r="C1755">
        <v>166327</v>
      </c>
      <c r="D1755">
        <v>166327</v>
      </c>
      <c r="E1755">
        <v>40</v>
      </c>
      <c r="F1755">
        <v>30</v>
      </c>
      <c r="G1755">
        <v>40</v>
      </c>
      <c r="O1755">
        <v>110</v>
      </c>
      <c r="S1755">
        <f t="shared" si="407"/>
        <v>6.875</v>
      </c>
      <c r="T1755">
        <f t="shared" si="408"/>
        <v>0</v>
      </c>
      <c r="U1755">
        <f t="shared" si="406"/>
        <v>1</v>
      </c>
      <c r="V1755">
        <f t="shared" si="409"/>
        <v>1</v>
      </c>
      <c r="W1755">
        <f t="shared" si="410"/>
        <v>0</v>
      </c>
      <c r="X1755">
        <f t="shared" si="419"/>
        <v>1</v>
      </c>
      <c r="Y1755">
        <f t="shared" si="420"/>
        <v>0</v>
      </c>
      <c r="Z1755">
        <f t="shared" si="411"/>
        <v>8</v>
      </c>
      <c r="AA1755">
        <f t="shared" si="412"/>
        <v>7.5</v>
      </c>
      <c r="AB1755">
        <f t="shared" si="413"/>
        <v>5.7142857142857144</v>
      </c>
      <c r="AC1755">
        <f t="shared" si="414"/>
        <v>0</v>
      </c>
      <c r="AD1755" s="1">
        <f t="shared" si="415"/>
        <v>0</v>
      </c>
      <c r="AE1755">
        <f t="shared" si="416"/>
        <v>0</v>
      </c>
      <c r="AF1755">
        <f t="shared" si="417"/>
        <v>0</v>
      </c>
      <c r="AG1755">
        <f t="shared" si="418"/>
        <v>0</v>
      </c>
    </row>
    <row r="1756" spans="1:33" x14ac:dyDescent="0.25">
      <c r="A1756" t="s">
        <v>2862</v>
      </c>
      <c r="B1756" t="s">
        <v>2863</v>
      </c>
      <c r="C1756">
        <v>168343</v>
      </c>
      <c r="D1756">
        <v>168343</v>
      </c>
      <c r="E1756">
        <v>20</v>
      </c>
      <c r="F1756">
        <v>30</v>
      </c>
      <c r="G1756">
        <v>20</v>
      </c>
      <c r="O1756">
        <v>70</v>
      </c>
      <c r="S1756">
        <f t="shared" si="407"/>
        <v>4.375</v>
      </c>
      <c r="T1756">
        <f t="shared" si="408"/>
        <v>0</v>
      </c>
      <c r="U1756">
        <f t="shared" si="406"/>
        <v>1</v>
      </c>
      <c r="V1756">
        <f t="shared" si="409"/>
        <v>1</v>
      </c>
      <c r="W1756">
        <f t="shared" si="410"/>
        <v>0</v>
      </c>
      <c r="X1756">
        <f t="shared" si="419"/>
        <v>0</v>
      </c>
      <c r="Y1756">
        <f t="shared" si="420"/>
        <v>0</v>
      </c>
      <c r="Z1756">
        <f t="shared" si="411"/>
        <v>4</v>
      </c>
      <c r="AA1756">
        <f t="shared" si="412"/>
        <v>7.5</v>
      </c>
      <c r="AB1756">
        <f t="shared" si="413"/>
        <v>2.8571428571428572</v>
      </c>
      <c r="AC1756">
        <f t="shared" si="414"/>
        <v>0</v>
      </c>
      <c r="AD1756" s="1">
        <f t="shared" si="415"/>
        <v>0</v>
      </c>
      <c r="AE1756">
        <f t="shared" si="416"/>
        <v>0</v>
      </c>
      <c r="AF1756">
        <f t="shared" si="417"/>
        <v>0</v>
      </c>
      <c r="AG1756">
        <f t="shared" si="418"/>
        <v>0</v>
      </c>
    </row>
    <row r="1757" spans="1:33" x14ac:dyDescent="0.25">
      <c r="A1757" t="s">
        <v>2864</v>
      </c>
      <c r="B1757" t="s">
        <v>286</v>
      </c>
      <c r="C1757">
        <v>166369</v>
      </c>
      <c r="D1757">
        <v>166369</v>
      </c>
      <c r="E1757">
        <v>30</v>
      </c>
      <c r="O1757">
        <v>30</v>
      </c>
      <c r="S1757">
        <f t="shared" si="407"/>
        <v>1.875</v>
      </c>
      <c r="T1757">
        <f t="shared" si="408"/>
        <v>0</v>
      </c>
      <c r="U1757">
        <f t="shared" si="406"/>
        <v>1</v>
      </c>
      <c r="V1757">
        <f t="shared" si="409"/>
        <v>1</v>
      </c>
      <c r="W1757">
        <f t="shared" si="410"/>
        <v>0</v>
      </c>
      <c r="X1757">
        <f t="shared" si="419"/>
        <v>0</v>
      </c>
      <c r="Y1757">
        <f t="shared" si="420"/>
        <v>0</v>
      </c>
      <c r="Z1757">
        <f t="shared" si="411"/>
        <v>6</v>
      </c>
      <c r="AA1757">
        <f t="shared" si="412"/>
        <v>0</v>
      </c>
      <c r="AB1757">
        <f t="shared" si="413"/>
        <v>0</v>
      </c>
      <c r="AC1757">
        <f t="shared" si="414"/>
        <v>0</v>
      </c>
      <c r="AD1757" s="1">
        <f t="shared" si="415"/>
        <v>0</v>
      </c>
      <c r="AE1757">
        <f t="shared" si="416"/>
        <v>0</v>
      </c>
      <c r="AF1757">
        <f t="shared" si="417"/>
        <v>0</v>
      </c>
      <c r="AG1757">
        <f t="shared" si="418"/>
        <v>0</v>
      </c>
    </row>
    <row r="1758" spans="1:33" x14ac:dyDescent="0.25">
      <c r="A1758" t="s">
        <v>2865</v>
      </c>
      <c r="B1758" t="s">
        <v>944</v>
      </c>
      <c r="C1758">
        <v>166890</v>
      </c>
      <c r="D1758">
        <v>166890</v>
      </c>
      <c r="S1758">
        <f t="shared" si="407"/>
        <v>0</v>
      </c>
      <c r="T1758">
        <f t="shared" si="408"/>
        <v>0</v>
      </c>
      <c r="U1758">
        <f t="shared" si="406"/>
        <v>0</v>
      </c>
      <c r="V1758">
        <f t="shared" si="409"/>
        <v>0</v>
      </c>
      <c r="W1758">
        <f t="shared" si="410"/>
        <v>0</v>
      </c>
      <c r="X1758">
        <f t="shared" si="419"/>
        <v>0</v>
      </c>
      <c r="Y1758">
        <f t="shared" si="420"/>
        <v>0</v>
      </c>
      <c r="Z1758">
        <f t="shared" si="411"/>
        <v>0</v>
      </c>
      <c r="AA1758">
        <f t="shared" si="412"/>
        <v>0</v>
      </c>
      <c r="AB1758">
        <f t="shared" si="413"/>
        <v>0</v>
      </c>
      <c r="AC1758">
        <f t="shared" si="414"/>
        <v>0</v>
      </c>
      <c r="AD1758" s="1">
        <f t="shared" si="415"/>
        <v>0</v>
      </c>
      <c r="AE1758">
        <f t="shared" si="416"/>
        <v>0</v>
      </c>
      <c r="AF1758">
        <f t="shared" si="417"/>
        <v>0</v>
      </c>
      <c r="AG1758">
        <f t="shared" si="418"/>
        <v>0</v>
      </c>
    </row>
    <row r="1759" spans="1:33" x14ac:dyDescent="0.25">
      <c r="A1759" t="s">
        <v>2866</v>
      </c>
      <c r="B1759" t="s">
        <v>1392</v>
      </c>
      <c r="C1759">
        <v>166830</v>
      </c>
      <c r="D1759">
        <v>166830</v>
      </c>
      <c r="E1759">
        <v>50</v>
      </c>
      <c r="F1759">
        <v>40</v>
      </c>
      <c r="G1759">
        <v>20</v>
      </c>
      <c r="O1759">
        <v>110</v>
      </c>
      <c r="S1759">
        <f t="shared" si="407"/>
        <v>6.875</v>
      </c>
      <c r="T1759">
        <f t="shared" si="408"/>
        <v>0</v>
      </c>
      <c r="U1759">
        <f t="shared" si="406"/>
        <v>1</v>
      </c>
      <c r="V1759">
        <f t="shared" si="409"/>
        <v>1</v>
      </c>
      <c r="W1759">
        <f t="shared" si="410"/>
        <v>0</v>
      </c>
      <c r="X1759">
        <f t="shared" si="419"/>
        <v>1</v>
      </c>
      <c r="Y1759">
        <f t="shared" si="420"/>
        <v>0</v>
      </c>
      <c r="Z1759">
        <f t="shared" si="411"/>
        <v>10</v>
      </c>
      <c r="AA1759">
        <f t="shared" si="412"/>
        <v>10</v>
      </c>
      <c r="AB1759">
        <f t="shared" si="413"/>
        <v>2.8571428571428572</v>
      </c>
      <c r="AC1759">
        <f t="shared" si="414"/>
        <v>0</v>
      </c>
      <c r="AD1759" s="1">
        <f t="shared" si="415"/>
        <v>0</v>
      </c>
      <c r="AE1759">
        <f t="shared" si="416"/>
        <v>0</v>
      </c>
      <c r="AF1759">
        <f t="shared" si="417"/>
        <v>0</v>
      </c>
      <c r="AG1759">
        <f t="shared" si="418"/>
        <v>0</v>
      </c>
    </row>
    <row r="1760" spans="1:33" x14ac:dyDescent="0.25">
      <c r="A1760" t="s">
        <v>2867</v>
      </c>
      <c r="B1760" t="s">
        <v>958</v>
      </c>
      <c r="C1760">
        <v>168039</v>
      </c>
      <c r="D1760">
        <v>168039</v>
      </c>
      <c r="H1760">
        <v>20</v>
      </c>
      <c r="I1760">
        <v>40</v>
      </c>
      <c r="J1760">
        <v>20</v>
      </c>
      <c r="K1760">
        <v>10</v>
      </c>
      <c r="L1760">
        <v>10</v>
      </c>
      <c r="M1760">
        <v>100</v>
      </c>
      <c r="S1760">
        <f t="shared" si="407"/>
        <v>0</v>
      </c>
      <c r="T1760">
        <f t="shared" si="408"/>
        <v>8.3333333333333339</v>
      </c>
      <c r="U1760">
        <f t="shared" si="406"/>
        <v>1</v>
      </c>
      <c r="V1760">
        <f t="shared" si="409"/>
        <v>0</v>
      </c>
      <c r="W1760">
        <f t="shared" si="410"/>
        <v>1</v>
      </c>
      <c r="X1760">
        <f t="shared" si="419"/>
        <v>0</v>
      </c>
      <c r="Y1760">
        <f t="shared" si="420"/>
        <v>1</v>
      </c>
      <c r="Z1760">
        <f t="shared" si="411"/>
        <v>0</v>
      </c>
      <c r="AA1760">
        <f t="shared" si="412"/>
        <v>0</v>
      </c>
      <c r="AB1760">
        <f t="shared" si="413"/>
        <v>0</v>
      </c>
      <c r="AC1760">
        <f t="shared" si="414"/>
        <v>10</v>
      </c>
      <c r="AD1760" s="1">
        <f t="shared" si="415"/>
        <v>6.666666666666667</v>
      </c>
      <c r="AE1760">
        <f t="shared" si="416"/>
        <v>10</v>
      </c>
      <c r="AF1760">
        <f t="shared" si="417"/>
        <v>10</v>
      </c>
      <c r="AG1760">
        <f t="shared" si="418"/>
        <v>10</v>
      </c>
    </row>
    <row r="1761" spans="1:33" x14ac:dyDescent="0.25">
      <c r="A1761" t="s">
        <v>2868</v>
      </c>
      <c r="B1761" t="s">
        <v>2869</v>
      </c>
      <c r="C1761">
        <v>168641</v>
      </c>
      <c r="D1761">
        <v>168641</v>
      </c>
      <c r="H1761">
        <v>20</v>
      </c>
      <c r="I1761">
        <v>30</v>
      </c>
      <c r="J1761">
        <v>20</v>
      </c>
      <c r="K1761">
        <v>10</v>
      </c>
      <c r="L1761">
        <v>10</v>
      </c>
      <c r="M1761">
        <v>90</v>
      </c>
      <c r="S1761">
        <f t="shared" si="407"/>
        <v>0</v>
      </c>
      <c r="T1761">
        <f t="shared" si="408"/>
        <v>7.5</v>
      </c>
      <c r="U1761">
        <f t="shared" si="406"/>
        <v>1</v>
      </c>
      <c r="V1761">
        <f t="shared" si="409"/>
        <v>0</v>
      </c>
      <c r="W1761">
        <f t="shared" si="410"/>
        <v>1</v>
      </c>
      <c r="X1761">
        <f t="shared" si="419"/>
        <v>0</v>
      </c>
      <c r="Y1761">
        <f t="shared" si="420"/>
        <v>1</v>
      </c>
      <c r="Z1761">
        <f t="shared" si="411"/>
        <v>0</v>
      </c>
      <c r="AA1761">
        <f t="shared" si="412"/>
        <v>0</v>
      </c>
      <c r="AB1761">
        <f t="shared" si="413"/>
        <v>0</v>
      </c>
      <c r="AC1761">
        <f t="shared" si="414"/>
        <v>10</v>
      </c>
      <c r="AD1761" s="1">
        <f t="shared" si="415"/>
        <v>5</v>
      </c>
      <c r="AE1761">
        <f t="shared" si="416"/>
        <v>10</v>
      </c>
      <c r="AF1761">
        <f t="shared" si="417"/>
        <v>10</v>
      </c>
      <c r="AG1761">
        <f t="shared" si="418"/>
        <v>10</v>
      </c>
    </row>
    <row r="1762" spans="1:33" x14ac:dyDescent="0.25">
      <c r="A1762" t="s">
        <v>2870</v>
      </c>
      <c r="B1762" t="s">
        <v>995</v>
      </c>
      <c r="C1762">
        <v>168277</v>
      </c>
      <c r="D1762">
        <v>168277</v>
      </c>
      <c r="E1762">
        <v>10</v>
      </c>
      <c r="F1762">
        <v>20</v>
      </c>
      <c r="G1762">
        <v>10</v>
      </c>
      <c r="O1762">
        <v>40</v>
      </c>
      <c r="S1762">
        <f t="shared" si="407"/>
        <v>2.5</v>
      </c>
      <c r="T1762">
        <f t="shared" si="408"/>
        <v>0</v>
      </c>
      <c r="U1762">
        <f t="shared" si="406"/>
        <v>1</v>
      </c>
      <c r="V1762">
        <f t="shared" si="409"/>
        <v>1</v>
      </c>
      <c r="W1762">
        <f t="shared" si="410"/>
        <v>0</v>
      </c>
      <c r="X1762">
        <f t="shared" si="419"/>
        <v>0</v>
      </c>
      <c r="Y1762">
        <f t="shared" si="420"/>
        <v>0</v>
      </c>
      <c r="Z1762">
        <f t="shared" si="411"/>
        <v>2</v>
      </c>
      <c r="AA1762">
        <f t="shared" si="412"/>
        <v>5</v>
      </c>
      <c r="AB1762">
        <f t="shared" si="413"/>
        <v>1.4285714285714286</v>
      </c>
      <c r="AC1762">
        <f t="shared" si="414"/>
        <v>0</v>
      </c>
      <c r="AD1762" s="1">
        <f t="shared" si="415"/>
        <v>0</v>
      </c>
      <c r="AE1762">
        <f t="shared" si="416"/>
        <v>0</v>
      </c>
      <c r="AF1762">
        <f t="shared" si="417"/>
        <v>0</v>
      </c>
      <c r="AG1762">
        <f t="shared" si="418"/>
        <v>0</v>
      </c>
    </row>
    <row r="1763" spans="1:33" x14ac:dyDescent="0.25">
      <c r="A1763" t="s">
        <v>2871</v>
      </c>
      <c r="B1763" t="s">
        <v>2872</v>
      </c>
      <c r="C1763">
        <v>166511</v>
      </c>
      <c r="D1763">
        <v>166511</v>
      </c>
      <c r="E1763">
        <v>50</v>
      </c>
      <c r="F1763">
        <v>20</v>
      </c>
      <c r="G1763">
        <v>30</v>
      </c>
      <c r="O1763">
        <v>100</v>
      </c>
      <c r="S1763">
        <f t="shared" si="407"/>
        <v>6.25</v>
      </c>
      <c r="T1763">
        <f t="shared" si="408"/>
        <v>0</v>
      </c>
      <c r="U1763">
        <f t="shared" si="406"/>
        <v>1</v>
      </c>
      <c r="V1763">
        <f t="shared" si="409"/>
        <v>1</v>
      </c>
      <c r="W1763">
        <f t="shared" si="410"/>
        <v>0</v>
      </c>
      <c r="X1763">
        <f t="shared" si="419"/>
        <v>1</v>
      </c>
      <c r="Y1763">
        <f t="shared" si="420"/>
        <v>0</v>
      </c>
      <c r="Z1763">
        <f t="shared" si="411"/>
        <v>10</v>
      </c>
      <c r="AA1763">
        <f t="shared" si="412"/>
        <v>5</v>
      </c>
      <c r="AB1763">
        <f t="shared" si="413"/>
        <v>4.2857142857142856</v>
      </c>
      <c r="AC1763">
        <f t="shared" si="414"/>
        <v>0</v>
      </c>
      <c r="AD1763" s="1">
        <f t="shared" si="415"/>
        <v>0</v>
      </c>
      <c r="AE1763">
        <f t="shared" si="416"/>
        <v>0</v>
      </c>
      <c r="AF1763">
        <f t="shared" si="417"/>
        <v>0</v>
      </c>
      <c r="AG1763">
        <f t="shared" si="418"/>
        <v>0</v>
      </c>
    </row>
    <row r="1764" spans="1:33" x14ac:dyDescent="0.25">
      <c r="A1764" t="s">
        <v>2873</v>
      </c>
      <c r="B1764" t="s">
        <v>2874</v>
      </c>
      <c r="C1764">
        <v>166761</v>
      </c>
      <c r="D1764">
        <v>166761</v>
      </c>
      <c r="H1764">
        <v>20</v>
      </c>
      <c r="I1764">
        <v>40</v>
      </c>
      <c r="J1764">
        <v>10</v>
      </c>
      <c r="K1764">
        <v>10</v>
      </c>
      <c r="L1764">
        <v>10</v>
      </c>
      <c r="M1764">
        <v>90</v>
      </c>
      <c r="S1764">
        <f t="shared" si="407"/>
        <v>0</v>
      </c>
      <c r="T1764">
        <f t="shared" si="408"/>
        <v>7.5</v>
      </c>
      <c r="U1764">
        <f t="shared" si="406"/>
        <v>1</v>
      </c>
      <c r="V1764">
        <f t="shared" si="409"/>
        <v>0</v>
      </c>
      <c r="W1764">
        <f t="shared" si="410"/>
        <v>1</v>
      </c>
      <c r="X1764">
        <f t="shared" si="419"/>
        <v>0</v>
      </c>
      <c r="Y1764">
        <f t="shared" si="420"/>
        <v>1</v>
      </c>
      <c r="Z1764">
        <f t="shared" si="411"/>
        <v>0</v>
      </c>
      <c r="AA1764">
        <f t="shared" si="412"/>
        <v>0</v>
      </c>
      <c r="AB1764">
        <f t="shared" si="413"/>
        <v>0</v>
      </c>
      <c r="AC1764">
        <f t="shared" si="414"/>
        <v>10</v>
      </c>
      <c r="AD1764" s="1">
        <f t="shared" si="415"/>
        <v>6.666666666666667</v>
      </c>
      <c r="AE1764">
        <f t="shared" si="416"/>
        <v>5</v>
      </c>
      <c r="AF1764">
        <f t="shared" si="417"/>
        <v>10</v>
      </c>
      <c r="AG1764">
        <f t="shared" si="418"/>
        <v>10</v>
      </c>
    </row>
    <row r="1765" spans="1:33" x14ac:dyDescent="0.25">
      <c r="A1765" t="s">
        <v>2875</v>
      </c>
      <c r="B1765" t="s">
        <v>209</v>
      </c>
      <c r="C1765">
        <v>168617</v>
      </c>
      <c r="D1765">
        <v>168617</v>
      </c>
      <c r="H1765">
        <v>10</v>
      </c>
      <c r="I1765">
        <v>50</v>
      </c>
      <c r="J1765">
        <v>10</v>
      </c>
      <c r="K1765">
        <v>10</v>
      </c>
      <c r="L1765">
        <v>10</v>
      </c>
      <c r="M1765">
        <v>90</v>
      </c>
      <c r="S1765">
        <f t="shared" si="407"/>
        <v>0</v>
      </c>
      <c r="T1765">
        <f t="shared" si="408"/>
        <v>7.5</v>
      </c>
      <c r="U1765">
        <f t="shared" si="406"/>
        <v>1</v>
      </c>
      <c r="V1765">
        <f t="shared" si="409"/>
        <v>0</v>
      </c>
      <c r="W1765">
        <f t="shared" si="410"/>
        <v>1</v>
      </c>
      <c r="X1765">
        <f t="shared" si="419"/>
        <v>0</v>
      </c>
      <c r="Y1765">
        <f t="shared" si="420"/>
        <v>1</v>
      </c>
      <c r="Z1765">
        <f t="shared" si="411"/>
        <v>0</v>
      </c>
      <c r="AA1765">
        <f t="shared" si="412"/>
        <v>0</v>
      </c>
      <c r="AB1765">
        <f t="shared" si="413"/>
        <v>0</v>
      </c>
      <c r="AC1765">
        <f t="shared" si="414"/>
        <v>5</v>
      </c>
      <c r="AD1765" s="1">
        <f t="shared" si="415"/>
        <v>8.3333333333333339</v>
      </c>
      <c r="AE1765">
        <f t="shared" si="416"/>
        <v>5</v>
      </c>
      <c r="AF1765">
        <f t="shared" si="417"/>
        <v>10</v>
      </c>
      <c r="AG1765">
        <f t="shared" si="418"/>
        <v>10</v>
      </c>
    </row>
    <row r="1766" spans="1:33" x14ac:dyDescent="0.25">
      <c r="A1766" t="s">
        <v>2876</v>
      </c>
      <c r="B1766" t="s">
        <v>512</v>
      </c>
      <c r="C1766">
        <v>166755</v>
      </c>
      <c r="D1766">
        <v>166755</v>
      </c>
      <c r="H1766">
        <v>20</v>
      </c>
      <c r="I1766">
        <v>50</v>
      </c>
      <c r="J1766">
        <v>0</v>
      </c>
      <c r="K1766">
        <v>10</v>
      </c>
      <c r="L1766">
        <v>0</v>
      </c>
      <c r="M1766">
        <v>80</v>
      </c>
      <c r="S1766">
        <f t="shared" si="407"/>
        <v>0</v>
      </c>
      <c r="T1766">
        <f t="shared" si="408"/>
        <v>6.666666666666667</v>
      </c>
      <c r="U1766">
        <f t="shared" si="406"/>
        <v>1</v>
      </c>
      <c r="V1766">
        <f t="shared" si="409"/>
        <v>0</v>
      </c>
      <c r="W1766">
        <f t="shared" si="410"/>
        <v>1</v>
      </c>
      <c r="X1766">
        <f t="shared" si="419"/>
        <v>0</v>
      </c>
      <c r="Y1766">
        <f t="shared" si="420"/>
        <v>1</v>
      </c>
      <c r="Z1766">
        <f t="shared" si="411"/>
        <v>0</v>
      </c>
      <c r="AA1766">
        <f t="shared" si="412"/>
        <v>0</v>
      </c>
      <c r="AB1766">
        <f t="shared" si="413"/>
        <v>0</v>
      </c>
      <c r="AC1766">
        <f t="shared" si="414"/>
        <v>10</v>
      </c>
      <c r="AD1766" s="1">
        <f t="shared" si="415"/>
        <v>8.3333333333333339</v>
      </c>
      <c r="AE1766">
        <f t="shared" si="416"/>
        <v>0</v>
      </c>
      <c r="AF1766">
        <f t="shared" si="417"/>
        <v>10</v>
      </c>
      <c r="AG1766">
        <f t="shared" si="418"/>
        <v>0</v>
      </c>
    </row>
    <row r="1767" spans="1:33" x14ac:dyDescent="0.25">
      <c r="A1767" t="s">
        <v>2877</v>
      </c>
      <c r="B1767" t="s">
        <v>824</v>
      </c>
      <c r="C1767">
        <v>163632</v>
      </c>
      <c r="D1767">
        <v>163632</v>
      </c>
      <c r="S1767">
        <f t="shared" si="407"/>
        <v>0</v>
      </c>
      <c r="T1767">
        <f t="shared" si="408"/>
        <v>0</v>
      </c>
      <c r="U1767">
        <f t="shared" si="406"/>
        <v>0</v>
      </c>
      <c r="V1767">
        <f t="shared" si="409"/>
        <v>0</v>
      </c>
      <c r="W1767">
        <f t="shared" si="410"/>
        <v>0</v>
      </c>
      <c r="X1767">
        <f t="shared" si="419"/>
        <v>0</v>
      </c>
      <c r="Y1767">
        <f t="shared" si="420"/>
        <v>0</v>
      </c>
      <c r="Z1767">
        <f t="shared" si="411"/>
        <v>0</v>
      </c>
      <c r="AA1767">
        <f t="shared" si="412"/>
        <v>0</v>
      </c>
      <c r="AB1767">
        <f t="shared" si="413"/>
        <v>0</v>
      </c>
      <c r="AC1767">
        <f t="shared" si="414"/>
        <v>0</v>
      </c>
      <c r="AD1767" s="1">
        <f t="shared" si="415"/>
        <v>0</v>
      </c>
      <c r="AE1767">
        <f t="shared" si="416"/>
        <v>0</v>
      </c>
      <c r="AF1767">
        <f t="shared" si="417"/>
        <v>0</v>
      </c>
      <c r="AG1767">
        <f t="shared" si="418"/>
        <v>0</v>
      </c>
    </row>
    <row r="1768" spans="1:33" x14ac:dyDescent="0.25">
      <c r="A1768" t="s">
        <v>2878</v>
      </c>
      <c r="B1768" t="s">
        <v>2879</v>
      </c>
      <c r="C1768">
        <v>162226</v>
      </c>
      <c r="D1768">
        <v>162226</v>
      </c>
      <c r="S1768">
        <f t="shared" si="407"/>
        <v>0</v>
      </c>
      <c r="T1768">
        <f t="shared" si="408"/>
        <v>0</v>
      </c>
      <c r="U1768">
        <f t="shared" si="406"/>
        <v>0</v>
      </c>
      <c r="V1768">
        <f t="shared" si="409"/>
        <v>0</v>
      </c>
      <c r="W1768">
        <f t="shared" si="410"/>
        <v>0</v>
      </c>
      <c r="X1768">
        <f t="shared" si="419"/>
        <v>0</v>
      </c>
      <c r="Y1768">
        <f t="shared" si="420"/>
        <v>0</v>
      </c>
      <c r="Z1768">
        <f t="shared" si="411"/>
        <v>0</v>
      </c>
      <c r="AA1768">
        <f t="shared" si="412"/>
        <v>0</v>
      </c>
      <c r="AB1768">
        <f t="shared" si="413"/>
        <v>0</v>
      </c>
      <c r="AC1768">
        <f t="shared" si="414"/>
        <v>0</v>
      </c>
      <c r="AD1768" s="1">
        <f t="shared" si="415"/>
        <v>0</v>
      </c>
      <c r="AE1768">
        <f t="shared" si="416"/>
        <v>0</v>
      </c>
      <c r="AF1768">
        <f t="shared" si="417"/>
        <v>0</v>
      </c>
      <c r="AG1768">
        <f t="shared" si="418"/>
        <v>0</v>
      </c>
    </row>
    <row r="1769" spans="1:33" x14ac:dyDescent="0.25">
      <c r="A1769" t="s">
        <v>2880</v>
      </c>
      <c r="B1769" t="s">
        <v>2881</v>
      </c>
      <c r="C1769">
        <v>167061</v>
      </c>
      <c r="D1769">
        <v>167061</v>
      </c>
      <c r="H1769">
        <v>0</v>
      </c>
      <c r="I1769">
        <v>20</v>
      </c>
      <c r="J1769">
        <v>10</v>
      </c>
      <c r="K1769">
        <v>10</v>
      </c>
      <c r="L1769">
        <v>0</v>
      </c>
      <c r="M1769">
        <v>40</v>
      </c>
      <c r="S1769">
        <f t="shared" si="407"/>
        <v>0</v>
      </c>
      <c r="T1769">
        <f t="shared" si="408"/>
        <v>3.3333333333333335</v>
      </c>
      <c r="U1769">
        <f t="shared" si="406"/>
        <v>1</v>
      </c>
      <c r="V1769">
        <f t="shared" si="409"/>
        <v>0</v>
      </c>
      <c r="W1769">
        <f t="shared" si="410"/>
        <v>1</v>
      </c>
      <c r="X1769">
        <f t="shared" si="419"/>
        <v>0</v>
      </c>
      <c r="Y1769">
        <f t="shared" si="420"/>
        <v>0</v>
      </c>
      <c r="Z1769">
        <f t="shared" si="411"/>
        <v>0</v>
      </c>
      <c r="AA1769">
        <f t="shared" si="412"/>
        <v>0</v>
      </c>
      <c r="AB1769">
        <f t="shared" si="413"/>
        <v>0</v>
      </c>
      <c r="AC1769">
        <f t="shared" si="414"/>
        <v>0</v>
      </c>
      <c r="AD1769" s="1">
        <f t="shared" si="415"/>
        <v>3.3333333333333335</v>
      </c>
      <c r="AE1769">
        <f t="shared" si="416"/>
        <v>5</v>
      </c>
      <c r="AF1769">
        <f t="shared" si="417"/>
        <v>10</v>
      </c>
      <c r="AG1769">
        <f t="shared" si="418"/>
        <v>0</v>
      </c>
    </row>
    <row r="1770" spans="1:33" x14ac:dyDescent="0.25">
      <c r="A1770" t="s">
        <v>2882</v>
      </c>
      <c r="B1770" t="s">
        <v>2883</v>
      </c>
      <c r="C1770">
        <v>166386</v>
      </c>
      <c r="D1770">
        <v>166386</v>
      </c>
      <c r="S1770">
        <f t="shared" si="407"/>
        <v>0</v>
      </c>
      <c r="T1770">
        <f t="shared" si="408"/>
        <v>0</v>
      </c>
      <c r="U1770">
        <f t="shared" si="406"/>
        <v>0</v>
      </c>
      <c r="V1770">
        <f t="shared" si="409"/>
        <v>0</v>
      </c>
      <c r="W1770">
        <f t="shared" si="410"/>
        <v>0</v>
      </c>
      <c r="X1770">
        <f t="shared" si="419"/>
        <v>0</v>
      </c>
      <c r="Y1770">
        <f t="shared" si="420"/>
        <v>0</v>
      </c>
      <c r="Z1770">
        <f t="shared" si="411"/>
        <v>0</v>
      </c>
      <c r="AA1770">
        <f t="shared" si="412"/>
        <v>0</v>
      </c>
      <c r="AB1770">
        <f t="shared" si="413"/>
        <v>0</v>
      </c>
      <c r="AC1770">
        <f t="shared" si="414"/>
        <v>0</v>
      </c>
      <c r="AD1770" s="1">
        <f t="shared" si="415"/>
        <v>0</v>
      </c>
      <c r="AE1770">
        <f t="shared" si="416"/>
        <v>0</v>
      </c>
      <c r="AF1770">
        <f t="shared" si="417"/>
        <v>0</v>
      </c>
      <c r="AG1770">
        <f t="shared" si="418"/>
        <v>0</v>
      </c>
    </row>
    <row r="1771" spans="1:33" x14ac:dyDescent="0.25">
      <c r="A1771" t="s">
        <v>2884</v>
      </c>
      <c r="B1771" t="s">
        <v>2885</v>
      </c>
      <c r="C1771">
        <v>166967</v>
      </c>
      <c r="D1771">
        <v>166967</v>
      </c>
      <c r="E1771">
        <v>30</v>
      </c>
      <c r="F1771">
        <v>20</v>
      </c>
      <c r="G1771">
        <v>50</v>
      </c>
      <c r="O1771">
        <v>100</v>
      </c>
      <c r="S1771">
        <f t="shared" si="407"/>
        <v>6.25</v>
      </c>
      <c r="T1771">
        <f t="shared" si="408"/>
        <v>0</v>
      </c>
      <c r="U1771">
        <f t="shared" si="406"/>
        <v>1</v>
      </c>
      <c r="V1771">
        <f t="shared" si="409"/>
        <v>1</v>
      </c>
      <c r="W1771">
        <f t="shared" si="410"/>
        <v>0</v>
      </c>
      <c r="X1771">
        <f t="shared" si="419"/>
        <v>1</v>
      </c>
      <c r="Y1771">
        <f t="shared" si="420"/>
        <v>0</v>
      </c>
      <c r="Z1771">
        <f t="shared" si="411"/>
        <v>6</v>
      </c>
      <c r="AA1771">
        <f t="shared" si="412"/>
        <v>5</v>
      </c>
      <c r="AB1771">
        <f t="shared" si="413"/>
        <v>7.1428571428571432</v>
      </c>
      <c r="AC1771">
        <f t="shared" si="414"/>
        <v>0</v>
      </c>
      <c r="AD1771" s="1">
        <f t="shared" si="415"/>
        <v>0</v>
      </c>
      <c r="AE1771">
        <f t="shared" si="416"/>
        <v>0</v>
      </c>
      <c r="AF1771">
        <f t="shared" si="417"/>
        <v>0</v>
      </c>
      <c r="AG1771">
        <f t="shared" si="418"/>
        <v>0</v>
      </c>
    </row>
    <row r="1772" spans="1:33" x14ac:dyDescent="0.25">
      <c r="A1772" t="s">
        <v>2886</v>
      </c>
      <c r="B1772" t="s">
        <v>340</v>
      </c>
      <c r="C1772">
        <v>167295</v>
      </c>
      <c r="D1772">
        <v>167295</v>
      </c>
      <c r="E1772">
        <v>10</v>
      </c>
      <c r="F1772">
        <v>30</v>
      </c>
      <c r="G1772">
        <v>10</v>
      </c>
      <c r="O1772">
        <v>50</v>
      </c>
      <c r="S1772">
        <f t="shared" si="407"/>
        <v>3.125</v>
      </c>
      <c r="T1772">
        <f t="shared" si="408"/>
        <v>0</v>
      </c>
      <c r="U1772">
        <f t="shared" si="406"/>
        <v>1</v>
      </c>
      <c r="V1772">
        <f t="shared" si="409"/>
        <v>1</v>
      </c>
      <c r="W1772">
        <f t="shared" si="410"/>
        <v>0</v>
      </c>
      <c r="X1772">
        <f t="shared" si="419"/>
        <v>0</v>
      </c>
      <c r="Y1772">
        <f t="shared" si="420"/>
        <v>0</v>
      </c>
      <c r="Z1772">
        <f t="shared" si="411"/>
        <v>2</v>
      </c>
      <c r="AA1772">
        <f t="shared" si="412"/>
        <v>7.5</v>
      </c>
      <c r="AB1772">
        <f t="shared" si="413"/>
        <v>1.4285714285714286</v>
      </c>
      <c r="AC1772">
        <f t="shared" si="414"/>
        <v>0</v>
      </c>
      <c r="AD1772" s="1">
        <f t="shared" si="415"/>
        <v>0</v>
      </c>
      <c r="AE1772">
        <f t="shared" si="416"/>
        <v>0</v>
      </c>
      <c r="AF1772">
        <f t="shared" si="417"/>
        <v>0</v>
      </c>
      <c r="AG1772">
        <f t="shared" si="418"/>
        <v>0</v>
      </c>
    </row>
    <row r="1773" spans="1:33" x14ac:dyDescent="0.25">
      <c r="A1773" t="s">
        <v>2887</v>
      </c>
      <c r="B1773" t="s">
        <v>2888</v>
      </c>
      <c r="C1773">
        <v>165704</v>
      </c>
      <c r="D1773">
        <v>165704</v>
      </c>
      <c r="E1773">
        <v>10</v>
      </c>
      <c r="F1773">
        <v>30</v>
      </c>
      <c r="G1773">
        <v>40</v>
      </c>
      <c r="O1773">
        <v>80</v>
      </c>
      <c r="S1773">
        <f t="shared" si="407"/>
        <v>5</v>
      </c>
      <c r="T1773">
        <f t="shared" si="408"/>
        <v>0</v>
      </c>
      <c r="U1773">
        <f t="shared" si="406"/>
        <v>1</v>
      </c>
      <c r="V1773">
        <f t="shared" si="409"/>
        <v>1</v>
      </c>
      <c r="W1773">
        <f t="shared" si="410"/>
        <v>0</v>
      </c>
      <c r="X1773">
        <f t="shared" si="419"/>
        <v>0</v>
      </c>
      <c r="Y1773">
        <f t="shared" si="420"/>
        <v>0</v>
      </c>
      <c r="Z1773">
        <f t="shared" si="411"/>
        <v>2</v>
      </c>
      <c r="AA1773">
        <f t="shared" si="412"/>
        <v>7.5</v>
      </c>
      <c r="AB1773">
        <f t="shared" si="413"/>
        <v>5.7142857142857144</v>
      </c>
      <c r="AC1773">
        <f t="shared" si="414"/>
        <v>0</v>
      </c>
      <c r="AD1773" s="1">
        <f t="shared" si="415"/>
        <v>0</v>
      </c>
      <c r="AE1773">
        <f t="shared" si="416"/>
        <v>0</v>
      </c>
      <c r="AF1773">
        <f t="shared" si="417"/>
        <v>0</v>
      </c>
      <c r="AG1773">
        <f t="shared" si="418"/>
        <v>0</v>
      </c>
    </row>
    <row r="1774" spans="1:33" x14ac:dyDescent="0.25">
      <c r="A1774" t="s">
        <v>2889</v>
      </c>
      <c r="B1774" t="s">
        <v>93</v>
      </c>
      <c r="C1774">
        <v>167658</v>
      </c>
      <c r="D1774">
        <v>167658</v>
      </c>
      <c r="H1774">
        <v>0</v>
      </c>
      <c r="I1774">
        <v>60</v>
      </c>
      <c r="J1774">
        <v>10</v>
      </c>
      <c r="K1774">
        <v>0</v>
      </c>
      <c r="L1774">
        <v>0</v>
      </c>
      <c r="M1774">
        <v>70</v>
      </c>
      <c r="S1774">
        <f t="shared" si="407"/>
        <v>0</v>
      </c>
      <c r="T1774">
        <f t="shared" si="408"/>
        <v>5.833333333333333</v>
      </c>
      <c r="U1774">
        <f t="shared" si="406"/>
        <v>1</v>
      </c>
      <c r="V1774">
        <f t="shared" si="409"/>
        <v>0</v>
      </c>
      <c r="W1774">
        <f t="shared" si="410"/>
        <v>1</v>
      </c>
      <c r="X1774">
        <f t="shared" si="419"/>
        <v>0</v>
      </c>
      <c r="Y1774">
        <f t="shared" si="420"/>
        <v>0</v>
      </c>
      <c r="Z1774">
        <f t="shared" si="411"/>
        <v>0</v>
      </c>
      <c r="AA1774">
        <f t="shared" si="412"/>
        <v>0</v>
      </c>
      <c r="AB1774">
        <f t="shared" si="413"/>
        <v>0</v>
      </c>
      <c r="AC1774">
        <f t="shared" si="414"/>
        <v>0</v>
      </c>
      <c r="AD1774" s="1">
        <f t="shared" si="415"/>
        <v>10</v>
      </c>
      <c r="AE1774">
        <f t="shared" si="416"/>
        <v>5</v>
      </c>
      <c r="AF1774">
        <f t="shared" si="417"/>
        <v>0</v>
      </c>
      <c r="AG1774">
        <f t="shared" si="418"/>
        <v>0</v>
      </c>
    </row>
    <row r="1775" spans="1:33" x14ac:dyDescent="0.25">
      <c r="A1775" t="s">
        <v>2890</v>
      </c>
      <c r="B1775" t="s">
        <v>2844</v>
      </c>
      <c r="C1775">
        <v>168419</v>
      </c>
      <c r="D1775">
        <v>168419</v>
      </c>
      <c r="H1775">
        <v>10</v>
      </c>
      <c r="I1775">
        <v>30</v>
      </c>
      <c r="J1775">
        <v>10</v>
      </c>
      <c r="K1775">
        <v>10</v>
      </c>
      <c r="L1775">
        <v>10</v>
      </c>
      <c r="M1775">
        <v>70</v>
      </c>
      <c r="S1775">
        <f t="shared" si="407"/>
        <v>0</v>
      </c>
      <c r="T1775">
        <f t="shared" si="408"/>
        <v>5.833333333333333</v>
      </c>
      <c r="U1775">
        <f t="shared" si="406"/>
        <v>1</v>
      </c>
      <c r="V1775">
        <f t="shared" si="409"/>
        <v>0</v>
      </c>
      <c r="W1775">
        <f t="shared" si="410"/>
        <v>1</v>
      </c>
      <c r="X1775">
        <f t="shared" si="419"/>
        <v>0</v>
      </c>
      <c r="Y1775">
        <f t="shared" si="420"/>
        <v>0</v>
      </c>
      <c r="Z1775">
        <f t="shared" si="411"/>
        <v>0</v>
      </c>
      <c r="AA1775">
        <f t="shared" si="412"/>
        <v>0</v>
      </c>
      <c r="AB1775">
        <f t="shared" si="413"/>
        <v>0</v>
      </c>
      <c r="AC1775">
        <f t="shared" si="414"/>
        <v>5</v>
      </c>
      <c r="AD1775" s="1">
        <f t="shared" si="415"/>
        <v>5</v>
      </c>
      <c r="AE1775">
        <f t="shared" si="416"/>
        <v>5</v>
      </c>
      <c r="AF1775">
        <f t="shared" si="417"/>
        <v>10</v>
      </c>
      <c r="AG1775">
        <f t="shared" si="418"/>
        <v>10</v>
      </c>
    </row>
    <row r="1776" spans="1:33" x14ac:dyDescent="0.25">
      <c r="A1776" t="s">
        <v>2891</v>
      </c>
      <c r="B1776" t="s">
        <v>2892</v>
      </c>
      <c r="C1776">
        <v>166426</v>
      </c>
      <c r="D1776">
        <v>166426</v>
      </c>
      <c r="E1776">
        <v>20</v>
      </c>
      <c r="F1776">
        <v>20</v>
      </c>
      <c r="G1776">
        <v>50</v>
      </c>
      <c r="O1776">
        <v>90</v>
      </c>
      <c r="S1776">
        <f t="shared" si="407"/>
        <v>5.625</v>
      </c>
      <c r="T1776">
        <f t="shared" si="408"/>
        <v>0</v>
      </c>
      <c r="U1776">
        <f t="shared" si="406"/>
        <v>1</v>
      </c>
      <c r="V1776">
        <f t="shared" si="409"/>
        <v>1</v>
      </c>
      <c r="W1776">
        <f t="shared" si="410"/>
        <v>0</v>
      </c>
      <c r="X1776">
        <f t="shared" si="419"/>
        <v>0</v>
      </c>
      <c r="Y1776">
        <f t="shared" si="420"/>
        <v>0</v>
      </c>
      <c r="Z1776">
        <f t="shared" si="411"/>
        <v>4</v>
      </c>
      <c r="AA1776">
        <f t="shared" si="412"/>
        <v>5</v>
      </c>
      <c r="AB1776">
        <f t="shared" si="413"/>
        <v>7.1428571428571432</v>
      </c>
      <c r="AC1776">
        <f t="shared" si="414"/>
        <v>0</v>
      </c>
      <c r="AD1776" s="1">
        <f t="shared" si="415"/>
        <v>0</v>
      </c>
      <c r="AE1776">
        <f t="shared" si="416"/>
        <v>0</v>
      </c>
      <c r="AF1776">
        <f t="shared" si="417"/>
        <v>0</v>
      </c>
      <c r="AG1776">
        <f t="shared" si="418"/>
        <v>0</v>
      </c>
    </row>
    <row r="1777" spans="1:33" x14ac:dyDescent="0.25">
      <c r="A1777" t="s">
        <v>2893</v>
      </c>
      <c r="B1777" t="s">
        <v>2894</v>
      </c>
      <c r="C1777">
        <v>167461</v>
      </c>
      <c r="D1777">
        <v>167461</v>
      </c>
      <c r="H1777">
        <v>0</v>
      </c>
      <c r="I1777">
        <v>30</v>
      </c>
      <c r="J1777">
        <v>10</v>
      </c>
      <c r="K1777">
        <v>10</v>
      </c>
      <c r="L1777">
        <v>0</v>
      </c>
      <c r="M1777">
        <v>50</v>
      </c>
      <c r="S1777">
        <f t="shared" si="407"/>
        <v>0</v>
      </c>
      <c r="T1777">
        <f t="shared" si="408"/>
        <v>4.166666666666667</v>
      </c>
      <c r="U1777">
        <f t="shared" si="406"/>
        <v>1</v>
      </c>
      <c r="V1777">
        <f t="shared" si="409"/>
        <v>0</v>
      </c>
      <c r="W1777">
        <f t="shared" si="410"/>
        <v>1</v>
      </c>
      <c r="X1777">
        <f t="shared" si="419"/>
        <v>0</v>
      </c>
      <c r="Y1777">
        <f t="shared" si="420"/>
        <v>0</v>
      </c>
      <c r="Z1777">
        <f t="shared" si="411"/>
        <v>0</v>
      </c>
      <c r="AA1777">
        <f t="shared" si="412"/>
        <v>0</v>
      </c>
      <c r="AB1777">
        <f t="shared" si="413"/>
        <v>0</v>
      </c>
      <c r="AC1777">
        <f t="shared" si="414"/>
        <v>0</v>
      </c>
      <c r="AD1777" s="1">
        <f t="shared" si="415"/>
        <v>5</v>
      </c>
      <c r="AE1777">
        <f t="shared" si="416"/>
        <v>5</v>
      </c>
      <c r="AF1777">
        <f t="shared" si="417"/>
        <v>10</v>
      </c>
      <c r="AG1777">
        <f t="shared" si="418"/>
        <v>0</v>
      </c>
    </row>
    <row r="1778" spans="1:33" x14ac:dyDescent="0.25">
      <c r="A1778" t="s">
        <v>2895</v>
      </c>
      <c r="B1778" t="s">
        <v>2896</v>
      </c>
      <c r="C1778">
        <v>166812</v>
      </c>
      <c r="D1778">
        <v>166812</v>
      </c>
      <c r="E1778">
        <v>40</v>
      </c>
      <c r="F1778">
        <v>30</v>
      </c>
      <c r="G1778">
        <v>40</v>
      </c>
      <c r="O1778">
        <v>110</v>
      </c>
      <c r="S1778">
        <f t="shared" si="407"/>
        <v>6.875</v>
      </c>
      <c r="T1778">
        <f t="shared" si="408"/>
        <v>0</v>
      </c>
      <c r="U1778">
        <f t="shared" si="406"/>
        <v>1</v>
      </c>
      <c r="V1778">
        <f t="shared" si="409"/>
        <v>1</v>
      </c>
      <c r="W1778">
        <f t="shared" si="410"/>
        <v>0</v>
      </c>
      <c r="X1778">
        <f t="shared" si="419"/>
        <v>1</v>
      </c>
      <c r="Y1778">
        <f t="shared" si="420"/>
        <v>0</v>
      </c>
      <c r="Z1778">
        <f t="shared" si="411"/>
        <v>8</v>
      </c>
      <c r="AA1778">
        <f t="shared" si="412"/>
        <v>7.5</v>
      </c>
      <c r="AB1778">
        <f t="shared" si="413"/>
        <v>5.7142857142857144</v>
      </c>
      <c r="AC1778">
        <f t="shared" si="414"/>
        <v>0</v>
      </c>
      <c r="AD1778" s="1">
        <f t="shared" si="415"/>
        <v>0</v>
      </c>
      <c r="AE1778">
        <f t="shared" si="416"/>
        <v>0</v>
      </c>
      <c r="AF1778">
        <f t="shared" si="417"/>
        <v>0</v>
      </c>
      <c r="AG1778">
        <f t="shared" si="418"/>
        <v>0</v>
      </c>
    </row>
    <row r="1779" spans="1:33" x14ac:dyDescent="0.25">
      <c r="A1779" t="s">
        <v>2897</v>
      </c>
      <c r="B1779" t="s">
        <v>2898</v>
      </c>
      <c r="C1779">
        <v>167257</v>
      </c>
      <c r="D1779">
        <v>167257</v>
      </c>
      <c r="H1779">
        <v>0</v>
      </c>
      <c r="I1779">
        <v>40</v>
      </c>
      <c r="J1779">
        <v>10</v>
      </c>
      <c r="K1779">
        <v>10</v>
      </c>
      <c r="L1779">
        <v>10</v>
      </c>
      <c r="M1779">
        <v>70</v>
      </c>
      <c r="S1779">
        <f t="shared" si="407"/>
        <v>0</v>
      </c>
      <c r="T1779">
        <f t="shared" si="408"/>
        <v>5.833333333333333</v>
      </c>
      <c r="U1779">
        <f t="shared" si="406"/>
        <v>1</v>
      </c>
      <c r="V1779">
        <f t="shared" si="409"/>
        <v>0</v>
      </c>
      <c r="W1779">
        <f t="shared" si="410"/>
        <v>1</v>
      </c>
      <c r="X1779">
        <f t="shared" si="419"/>
        <v>0</v>
      </c>
      <c r="Y1779">
        <f t="shared" si="420"/>
        <v>0</v>
      </c>
      <c r="Z1779">
        <f t="shared" si="411"/>
        <v>0</v>
      </c>
      <c r="AA1779">
        <f t="shared" si="412"/>
        <v>0</v>
      </c>
      <c r="AB1779">
        <f t="shared" si="413"/>
        <v>0</v>
      </c>
      <c r="AC1779">
        <f t="shared" si="414"/>
        <v>0</v>
      </c>
      <c r="AD1779" s="1">
        <f t="shared" si="415"/>
        <v>6.666666666666667</v>
      </c>
      <c r="AE1779">
        <f t="shared" si="416"/>
        <v>5</v>
      </c>
      <c r="AF1779">
        <f t="shared" si="417"/>
        <v>10</v>
      </c>
      <c r="AG1779">
        <f t="shared" si="418"/>
        <v>10</v>
      </c>
    </row>
    <row r="1780" spans="1:33" x14ac:dyDescent="0.25">
      <c r="A1780" t="s">
        <v>2899</v>
      </c>
      <c r="B1780" t="s">
        <v>2900</v>
      </c>
      <c r="C1780">
        <v>167122</v>
      </c>
      <c r="D1780">
        <v>167122</v>
      </c>
      <c r="E1780">
        <v>20</v>
      </c>
      <c r="F1780">
        <v>10</v>
      </c>
      <c r="G1780">
        <v>50</v>
      </c>
      <c r="O1780">
        <v>80</v>
      </c>
      <c r="S1780">
        <f t="shared" si="407"/>
        <v>5</v>
      </c>
      <c r="T1780">
        <f t="shared" si="408"/>
        <v>0</v>
      </c>
      <c r="U1780">
        <f t="shared" si="406"/>
        <v>1</v>
      </c>
      <c r="V1780">
        <f t="shared" si="409"/>
        <v>1</v>
      </c>
      <c r="W1780">
        <f t="shared" si="410"/>
        <v>0</v>
      </c>
      <c r="X1780">
        <f t="shared" si="419"/>
        <v>0</v>
      </c>
      <c r="Y1780">
        <f t="shared" si="420"/>
        <v>0</v>
      </c>
      <c r="Z1780">
        <f t="shared" si="411"/>
        <v>4</v>
      </c>
      <c r="AA1780">
        <f t="shared" si="412"/>
        <v>2.5</v>
      </c>
      <c r="AB1780">
        <f t="shared" si="413"/>
        <v>7.1428571428571432</v>
      </c>
      <c r="AC1780">
        <f t="shared" si="414"/>
        <v>0</v>
      </c>
      <c r="AD1780" s="1">
        <f t="shared" si="415"/>
        <v>0</v>
      </c>
      <c r="AE1780">
        <f t="shared" si="416"/>
        <v>0</v>
      </c>
      <c r="AF1780">
        <f t="shared" si="417"/>
        <v>0</v>
      </c>
      <c r="AG1780">
        <f t="shared" si="418"/>
        <v>0</v>
      </c>
    </row>
    <row r="1781" spans="1:33" x14ac:dyDescent="0.25">
      <c r="A1781" t="s">
        <v>2901</v>
      </c>
      <c r="B1781" t="s">
        <v>286</v>
      </c>
      <c r="C1781">
        <v>168020</v>
      </c>
      <c r="D1781">
        <v>168020</v>
      </c>
      <c r="H1781">
        <v>10</v>
      </c>
      <c r="I1781">
        <v>50</v>
      </c>
      <c r="J1781">
        <v>20</v>
      </c>
      <c r="K1781">
        <v>10</v>
      </c>
      <c r="L1781">
        <v>0</v>
      </c>
      <c r="M1781">
        <v>90</v>
      </c>
      <c r="S1781">
        <f t="shared" si="407"/>
        <v>0</v>
      </c>
      <c r="T1781">
        <f t="shared" si="408"/>
        <v>7.5</v>
      </c>
      <c r="U1781">
        <f t="shared" si="406"/>
        <v>1</v>
      </c>
      <c r="V1781">
        <f t="shared" si="409"/>
        <v>0</v>
      </c>
      <c r="W1781">
        <f t="shared" si="410"/>
        <v>1</v>
      </c>
      <c r="X1781">
        <f t="shared" si="419"/>
        <v>0</v>
      </c>
      <c r="Y1781">
        <f t="shared" si="420"/>
        <v>1</v>
      </c>
      <c r="Z1781">
        <f t="shared" si="411"/>
        <v>0</v>
      </c>
      <c r="AA1781">
        <f t="shared" si="412"/>
        <v>0</v>
      </c>
      <c r="AB1781">
        <f t="shared" si="413"/>
        <v>0</v>
      </c>
      <c r="AC1781">
        <f t="shared" si="414"/>
        <v>5</v>
      </c>
      <c r="AD1781" s="1">
        <f t="shared" si="415"/>
        <v>8.3333333333333339</v>
      </c>
      <c r="AE1781">
        <f t="shared" si="416"/>
        <v>10</v>
      </c>
      <c r="AF1781">
        <f t="shared" si="417"/>
        <v>10</v>
      </c>
      <c r="AG1781">
        <f t="shared" si="418"/>
        <v>0</v>
      </c>
    </row>
    <row r="1782" spans="1:33" x14ac:dyDescent="0.25">
      <c r="A1782" t="s">
        <v>2902</v>
      </c>
      <c r="B1782" t="s">
        <v>67</v>
      </c>
      <c r="C1782">
        <v>165856</v>
      </c>
      <c r="D1782">
        <v>165856</v>
      </c>
      <c r="H1782">
        <v>0</v>
      </c>
      <c r="I1782">
        <v>20</v>
      </c>
      <c r="J1782">
        <v>0</v>
      </c>
      <c r="K1782">
        <v>0</v>
      </c>
      <c r="L1782">
        <v>10</v>
      </c>
      <c r="M1782">
        <v>30</v>
      </c>
      <c r="R1782" t="s">
        <v>20</v>
      </c>
      <c r="S1782">
        <f t="shared" si="407"/>
        <v>0</v>
      </c>
      <c r="T1782">
        <f t="shared" si="408"/>
        <v>2.5</v>
      </c>
      <c r="U1782">
        <f t="shared" si="406"/>
        <v>1</v>
      </c>
      <c r="V1782">
        <f t="shared" si="409"/>
        <v>0</v>
      </c>
      <c r="W1782">
        <f t="shared" si="410"/>
        <v>1</v>
      </c>
      <c r="X1782">
        <f t="shared" si="419"/>
        <v>0</v>
      </c>
      <c r="Y1782">
        <f t="shared" si="420"/>
        <v>0</v>
      </c>
      <c r="Z1782">
        <f t="shared" si="411"/>
        <v>0</v>
      </c>
      <c r="AA1782">
        <f t="shared" si="412"/>
        <v>0</v>
      </c>
      <c r="AB1782">
        <f t="shared" si="413"/>
        <v>0</v>
      </c>
      <c r="AC1782">
        <f t="shared" si="414"/>
        <v>0</v>
      </c>
      <c r="AD1782" s="1">
        <f t="shared" si="415"/>
        <v>3.3333333333333335</v>
      </c>
      <c r="AE1782">
        <f t="shared" si="416"/>
        <v>0</v>
      </c>
      <c r="AF1782">
        <f t="shared" si="417"/>
        <v>0</v>
      </c>
      <c r="AG1782">
        <f t="shared" si="418"/>
        <v>10</v>
      </c>
    </row>
    <row r="1783" spans="1:33" x14ac:dyDescent="0.25">
      <c r="A1783" t="s">
        <v>2903</v>
      </c>
      <c r="B1783" t="s">
        <v>725</v>
      </c>
      <c r="C1783">
        <v>163401</v>
      </c>
      <c r="D1783">
        <v>163401</v>
      </c>
      <c r="E1783">
        <v>10</v>
      </c>
      <c r="F1783">
        <v>30</v>
      </c>
      <c r="G1783">
        <v>40</v>
      </c>
      <c r="O1783">
        <v>80</v>
      </c>
      <c r="S1783">
        <f t="shared" si="407"/>
        <v>5</v>
      </c>
      <c r="T1783">
        <f t="shared" si="408"/>
        <v>0</v>
      </c>
      <c r="U1783">
        <f t="shared" si="406"/>
        <v>1</v>
      </c>
      <c r="V1783">
        <f t="shared" si="409"/>
        <v>1</v>
      </c>
      <c r="W1783">
        <f t="shared" si="410"/>
        <v>0</v>
      </c>
      <c r="X1783">
        <f t="shared" si="419"/>
        <v>0</v>
      </c>
      <c r="Y1783">
        <f t="shared" si="420"/>
        <v>0</v>
      </c>
      <c r="Z1783">
        <f t="shared" si="411"/>
        <v>2</v>
      </c>
      <c r="AA1783">
        <f t="shared" si="412"/>
        <v>7.5</v>
      </c>
      <c r="AB1783">
        <f t="shared" si="413"/>
        <v>5.7142857142857144</v>
      </c>
      <c r="AC1783">
        <f t="shared" si="414"/>
        <v>0</v>
      </c>
      <c r="AD1783" s="1">
        <f t="shared" si="415"/>
        <v>0</v>
      </c>
      <c r="AE1783">
        <f t="shared" si="416"/>
        <v>0</v>
      </c>
      <c r="AF1783">
        <f t="shared" si="417"/>
        <v>0</v>
      </c>
      <c r="AG1783">
        <f t="shared" si="418"/>
        <v>0</v>
      </c>
    </row>
    <row r="1784" spans="1:33" x14ac:dyDescent="0.25">
      <c r="A1784" t="s">
        <v>2904</v>
      </c>
      <c r="B1784" t="s">
        <v>418</v>
      </c>
      <c r="C1784">
        <v>168006</v>
      </c>
      <c r="D1784">
        <v>168006</v>
      </c>
      <c r="S1784">
        <f t="shared" si="407"/>
        <v>0</v>
      </c>
      <c r="T1784">
        <f t="shared" si="408"/>
        <v>0</v>
      </c>
      <c r="U1784">
        <f t="shared" si="406"/>
        <v>0</v>
      </c>
      <c r="V1784">
        <f t="shared" si="409"/>
        <v>0</v>
      </c>
      <c r="W1784">
        <f t="shared" si="410"/>
        <v>0</v>
      </c>
      <c r="X1784">
        <f t="shared" si="419"/>
        <v>0</v>
      </c>
      <c r="Y1784">
        <f t="shared" si="420"/>
        <v>0</v>
      </c>
      <c r="Z1784">
        <f t="shared" si="411"/>
        <v>0</v>
      </c>
      <c r="AA1784">
        <f t="shared" si="412"/>
        <v>0</v>
      </c>
      <c r="AB1784">
        <f t="shared" si="413"/>
        <v>0</v>
      </c>
      <c r="AC1784">
        <f t="shared" si="414"/>
        <v>0</v>
      </c>
      <c r="AD1784" s="1">
        <f t="shared" si="415"/>
        <v>0</v>
      </c>
      <c r="AE1784">
        <f t="shared" si="416"/>
        <v>0</v>
      </c>
      <c r="AF1784">
        <f t="shared" si="417"/>
        <v>0</v>
      </c>
      <c r="AG1784">
        <f t="shared" si="418"/>
        <v>0</v>
      </c>
    </row>
    <row r="1785" spans="1:33" x14ac:dyDescent="0.25">
      <c r="A1785" t="s">
        <v>2905</v>
      </c>
      <c r="B1785" t="s">
        <v>2906</v>
      </c>
      <c r="C1785">
        <v>168351</v>
      </c>
      <c r="D1785">
        <v>168351</v>
      </c>
      <c r="H1785">
        <v>10</v>
      </c>
      <c r="I1785">
        <v>40</v>
      </c>
      <c r="J1785">
        <v>20</v>
      </c>
      <c r="K1785">
        <v>10</v>
      </c>
      <c r="L1785">
        <v>10</v>
      </c>
      <c r="M1785">
        <v>90</v>
      </c>
      <c r="S1785">
        <f t="shared" si="407"/>
        <v>0</v>
      </c>
      <c r="T1785">
        <f t="shared" si="408"/>
        <v>7.5</v>
      </c>
      <c r="U1785">
        <f t="shared" si="406"/>
        <v>1</v>
      </c>
      <c r="V1785">
        <f t="shared" si="409"/>
        <v>0</v>
      </c>
      <c r="W1785">
        <f t="shared" si="410"/>
        <v>1</v>
      </c>
      <c r="X1785">
        <f t="shared" si="419"/>
        <v>0</v>
      </c>
      <c r="Y1785">
        <f t="shared" si="420"/>
        <v>1</v>
      </c>
      <c r="Z1785">
        <f t="shared" si="411"/>
        <v>0</v>
      </c>
      <c r="AA1785">
        <f t="shared" si="412"/>
        <v>0</v>
      </c>
      <c r="AB1785">
        <f t="shared" si="413"/>
        <v>0</v>
      </c>
      <c r="AC1785">
        <f t="shared" si="414"/>
        <v>5</v>
      </c>
      <c r="AD1785" s="1">
        <f t="shared" si="415"/>
        <v>6.666666666666667</v>
      </c>
      <c r="AE1785">
        <f t="shared" si="416"/>
        <v>10</v>
      </c>
      <c r="AF1785">
        <f t="shared" si="417"/>
        <v>10</v>
      </c>
      <c r="AG1785">
        <f t="shared" si="418"/>
        <v>10</v>
      </c>
    </row>
    <row r="1786" spans="1:33" x14ac:dyDescent="0.25">
      <c r="A1786" t="s">
        <v>2907</v>
      </c>
      <c r="B1786" t="s">
        <v>43</v>
      </c>
      <c r="C1786">
        <v>166036</v>
      </c>
      <c r="D1786">
        <v>166036</v>
      </c>
      <c r="E1786">
        <v>10</v>
      </c>
      <c r="F1786">
        <v>30</v>
      </c>
      <c r="G1786">
        <v>30</v>
      </c>
      <c r="O1786">
        <v>70</v>
      </c>
      <c r="S1786">
        <f t="shared" si="407"/>
        <v>4.375</v>
      </c>
      <c r="T1786">
        <f t="shared" si="408"/>
        <v>0</v>
      </c>
      <c r="U1786">
        <f t="shared" si="406"/>
        <v>1</v>
      </c>
      <c r="V1786">
        <f t="shared" si="409"/>
        <v>1</v>
      </c>
      <c r="W1786">
        <f t="shared" si="410"/>
        <v>0</v>
      </c>
      <c r="X1786">
        <f t="shared" si="419"/>
        <v>0</v>
      </c>
      <c r="Y1786">
        <f t="shared" si="420"/>
        <v>0</v>
      </c>
      <c r="Z1786">
        <f t="shared" si="411"/>
        <v>2</v>
      </c>
      <c r="AA1786">
        <f t="shared" si="412"/>
        <v>7.5</v>
      </c>
      <c r="AB1786">
        <f t="shared" si="413"/>
        <v>4.2857142857142856</v>
      </c>
      <c r="AC1786">
        <f t="shared" si="414"/>
        <v>0</v>
      </c>
      <c r="AD1786" s="1">
        <f t="shared" si="415"/>
        <v>0</v>
      </c>
      <c r="AE1786">
        <f t="shared" si="416"/>
        <v>0</v>
      </c>
      <c r="AF1786">
        <f t="shared" si="417"/>
        <v>0</v>
      </c>
      <c r="AG1786">
        <f t="shared" si="418"/>
        <v>0</v>
      </c>
    </row>
    <row r="1787" spans="1:33" x14ac:dyDescent="0.25">
      <c r="A1787" t="s">
        <v>2908</v>
      </c>
      <c r="B1787" t="s">
        <v>2336</v>
      </c>
      <c r="C1787">
        <v>168224</v>
      </c>
      <c r="D1787">
        <v>168224</v>
      </c>
      <c r="E1787">
        <v>30</v>
      </c>
      <c r="F1787">
        <v>10</v>
      </c>
      <c r="G1787">
        <v>20</v>
      </c>
      <c r="O1787">
        <v>60</v>
      </c>
      <c r="S1787">
        <f t="shared" si="407"/>
        <v>3.75</v>
      </c>
      <c r="T1787">
        <f t="shared" si="408"/>
        <v>0</v>
      </c>
      <c r="U1787">
        <f t="shared" si="406"/>
        <v>1</v>
      </c>
      <c r="V1787">
        <f t="shared" si="409"/>
        <v>1</v>
      </c>
      <c r="W1787">
        <f t="shared" si="410"/>
        <v>0</v>
      </c>
      <c r="X1787">
        <f t="shared" si="419"/>
        <v>0</v>
      </c>
      <c r="Y1787">
        <f t="shared" si="420"/>
        <v>0</v>
      </c>
      <c r="Z1787">
        <f t="shared" si="411"/>
        <v>6</v>
      </c>
      <c r="AA1787">
        <f t="shared" si="412"/>
        <v>2.5</v>
      </c>
      <c r="AB1787">
        <f t="shared" si="413"/>
        <v>2.8571428571428572</v>
      </c>
      <c r="AC1787">
        <f t="shared" si="414"/>
        <v>0</v>
      </c>
      <c r="AD1787" s="1">
        <f t="shared" si="415"/>
        <v>0</v>
      </c>
      <c r="AE1787">
        <f t="shared" si="416"/>
        <v>0</v>
      </c>
      <c r="AF1787">
        <f t="shared" si="417"/>
        <v>0</v>
      </c>
      <c r="AG1787">
        <f t="shared" si="418"/>
        <v>0</v>
      </c>
    </row>
    <row r="1788" spans="1:33" x14ac:dyDescent="0.25">
      <c r="A1788" t="s">
        <v>2909</v>
      </c>
      <c r="B1788" t="s">
        <v>393</v>
      </c>
      <c r="C1788">
        <v>168787</v>
      </c>
      <c r="D1788">
        <v>168787</v>
      </c>
      <c r="H1788">
        <v>0</v>
      </c>
      <c r="I1788">
        <v>10</v>
      </c>
      <c r="J1788">
        <v>10</v>
      </c>
      <c r="K1788">
        <v>10</v>
      </c>
      <c r="L1788">
        <v>0</v>
      </c>
      <c r="M1788">
        <v>30</v>
      </c>
      <c r="S1788">
        <f t="shared" si="407"/>
        <v>0</v>
      </c>
      <c r="T1788">
        <f t="shared" si="408"/>
        <v>2.5</v>
      </c>
      <c r="U1788">
        <f t="shared" si="406"/>
        <v>1</v>
      </c>
      <c r="V1788">
        <f t="shared" si="409"/>
        <v>0</v>
      </c>
      <c r="W1788">
        <f t="shared" si="410"/>
        <v>1</v>
      </c>
      <c r="X1788">
        <f t="shared" si="419"/>
        <v>0</v>
      </c>
      <c r="Y1788">
        <f t="shared" si="420"/>
        <v>0</v>
      </c>
      <c r="Z1788">
        <f t="shared" si="411"/>
        <v>0</v>
      </c>
      <c r="AA1788">
        <f t="shared" si="412"/>
        <v>0</v>
      </c>
      <c r="AB1788">
        <f t="shared" si="413"/>
        <v>0</v>
      </c>
      <c r="AC1788">
        <f t="shared" si="414"/>
        <v>0</v>
      </c>
      <c r="AD1788" s="1">
        <f t="shared" si="415"/>
        <v>1.6666666666666667</v>
      </c>
      <c r="AE1788">
        <f t="shared" si="416"/>
        <v>5</v>
      </c>
      <c r="AF1788">
        <f t="shared" si="417"/>
        <v>10</v>
      </c>
      <c r="AG1788">
        <f t="shared" si="418"/>
        <v>0</v>
      </c>
    </row>
    <row r="1789" spans="1:33" x14ac:dyDescent="0.25">
      <c r="A1789" t="s">
        <v>2910</v>
      </c>
      <c r="B1789" t="s">
        <v>195</v>
      </c>
      <c r="C1789">
        <v>166018</v>
      </c>
      <c r="D1789">
        <v>166018</v>
      </c>
      <c r="E1789">
        <v>10</v>
      </c>
      <c r="F1789">
        <v>10</v>
      </c>
      <c r="G1789">
        <v>30</v>
      </c>
      <c r="O1789">
        <v>50</v>
      </c>
      <c r="S1789">
        <f t="shared" si="407"/>
        <v>3.125</v>
      </c>
      <c r="T1789">
        <f t="shared" si="408"/>
        <v>0</v>
      </c>
      <c r="U1789">
        <f t="shared" si="406"/>
        <v>1</v>
      </c>
      <c r="V1789">
        <f t="shared" si="409"/>
        <v>1</v>
      </c>
      <c r="W1789">
        <f t="shared" si="410"/>
        <v>0</v>
      </c>
      <c r="X1789">
        <f t="shared" si="419"/>
        <v>0</v>
      </c>
      <c r="Y1789">
        <f t="shared" si="420"/>
        <v>0</v>
      </c>
      <c r="Z1789">
        <f t="shared" si="411"/>
        <v>2</v>
      </c>
      <c r="AA1789">
        <f t="shared" si="412"/>
        <v>2.5</v>
      </c>
      <c r="AB1789">
        <f t="shared" si="413"/>
        <v>4.2857142857142856</v>
      </c>
      <c r="AC1789">
        <f t="shared" si="414"/>
        <v>0</v>
      </c>
      <c r="AD1789" s="1">
        <f t="shared" si="415"/>
        <v>0</v>
      </c>
      <c r="AE1789">
        <f t="shared" si="416"/>
        <v>0</v>
      </c>
      <c r="AF1789">
        <f t="shared" si="417"/>
        <v>0</v>
      </c>
      <c r="AG1789">
        <f t="shared" si="418"/>
        <v>0</v>
      </c>
    </row>
    <row r="1790" spans="1:33" x14ac:dyDescent="0.25">
      <c r="A1790" t="s">
        <v>2911</v>
      </c>
      <c r="B1790" t="s">
        <v>67</v>
      </c>
      <c r="C1790">
        <v>167777</v>
      </c>
      <c r="D1790">
        <v>167777</v>
      </c>
      <c r="H1790">
        <v>10</v>
      </c>
      <c r="I1790">
        <v>10</v>
      </c>
      <c r="J1790">
        <v>10</v>
      </c>
      <c r="K1790">
        <v>10</v>
      </c>
      <c r="L1790">
        <v>10</v>
      </c>
      <c r="M1790">
        <v>50</v>
      </c>
      <c r="S1790">
        <f t="shared" si="407"/>
        <v>0</v>
      </c>
      <c r="T1790">
        <f t="shared" si="408"/>
        <v>4.166666666666667</v>
      </c>
      <c r="U1790">
        <f t="shared" si="406"/>
        <v>1</v>
      </c>
      <c r="V1790">
        <f t="shared" si="409"/>
        <v>0</v>
      </c>
      <c r="W1790">
        <f t="shared" si="410"/>
        <v>1</v>
      </c>
      <c r="X1790">
        <f t="shared" si="419"/>
        <v>0</v>
      </c>
      <c r="Y1790">
        <f t="shared" si="420"/>
        <v>0</v>
      </c>
      <c r="Z1790">
        <f t="shared" si="411"/>
        <v>0</v>
      </c>
      <c r="AA1790">
        <f t="shared" si="412"/>
        <v>0</v>
      </c>
      <c r="AB1790">
        <f t="shared" si="413"/>
        <v>0</v>
      </c>
      <c r="AC1790">
        <f t="shared" si="414"/>
        <v>5</v>
      </c>
      <c r="AD1790" s="1">
        <f t="shared" si="415"/>
        <v>1.6666666666666667</v>
      </c>
      <c r="AE1790">
        <f t="shared" si="416"/>
        <v>5</v>
      </c>
      <c r="AF1790">
        <f t="shared" si="417"/>
        <v>10</v>
      </c>
      <c r="AG1790">
        <f t="shared" si="418"/>
        <v>10</v>
      </c>
    </row>
    <row r="1791" spans="1:33" x14ac:dyDescent="0.25">
      <c r="A1791" t="s">
        <v>2912</v>
      </c>
      <c r="B1791" t="s">
        <v>2913</v>
      </c>
      <c r="C1791">
        <v>167214</v>
      </c>
      <c r="D1791">
        <v>167214</v>
      </c>
      <c r="H1791">
        <v>10</v>
      </c>
      <c r="I1791">
        <v>20</v>
      </c>
      <c r="J1791">
        <v>0</v>
      </c>
      <c r="K1791">
        <v>0</v>
      </c>
      <c r="L1791">
        <v>10</v>
      </c>
      <c r="M1791">
        <v>40</v>
      </c>
      <c r="S1791">
        <f t="shared" si="407"/>
        <v>0</v>
      </c>
      <c r="T1791">
        <f t="shared" si="408"/>
        <v>3.3333333333333335</v>
      </c>
      <c r="U1791">
        <f t="shared" si="406"/>
        <v>1</v>
      </c>
      <c r="V1791">
        <f t="shared" si="409"/>
        <v>0</v>
      </c>
      <c r="W1791">
        <f t="shared" si="410"/>
        <v>1</v>
      </c>
      <c r="X1791">
        <f t="shared" si="419"/>
        <v>0</v>
      </c>
      <c r="Y1791">
        <f t="shared" si="420"/>
        <v>0</v>
      </c>
      <c r="Z1791">
        <f t="shared" si="411"/>
        <v>0</v>
      </c>
      <c r="AA1791">
        <f t="shared" si="412"/>
        <v>0</v>
      </c>
      <c r="AB1791">
        <f t="shared" si="413"/>
        <v>0</v>
      </c>
      <c r="AC1791">
        <f t="shared" si="414"/>
        <v>5</v>
      </c>
      <c r="AD1791" s="1">
        <f t="shared" si="415"/>
        <v>3.3333333333333335</v>
      </c>
      <c r="AE1791">
        <f t="shared" si="416"/>
        <v>0</v>
      </c>
      <c r="AF1791">
        <f t="shared" si="417"/>
        <v>0</v>
      </c>
      <c r="AG1791">
        <f t="shared" si="418"/>
        <v>10</v>
      </c>
    </row>
    <row r="1792" spans="1:33" x14ac:dyDescent="0.25">
      <c r="A1792" t="s">
        <v>2914</v>
      </c>
      <c r="B1792" t="s">
        <v>344</v>
      </c>
      <c r="C1792">
        <v>167760</v>
      </c>
      <c r="D1792">
        <v>167760</v>
      </c>
      <c r="H1792">
        <v>10</v>
      </c>
      <c r="I1792">
        <v>40</v>
      </c>
      <c r="J1792">
        <v>10</v>
      </c>
      <c r="K1792">
        <v>10</v>
      </c>
      <c r="L1792">
        <v>10</v>
      </c>
      <c r="M1792">
        <v>80</v>
      </c>
      <c r="S1792">
        <f t="shared" si="407"/>
        <v>0</v>
      </c>
      <c r="T1792">
        <f t="shared" si="408"/>
        <v>6.666666666666667</v>
      </c>
      <c r="U1792">
        <f t="shared" si="406"/>
        <v>1</v>
      </c>
      <c r="V1792">
        <f t="shared" si="409"/>
        <v>0</v>
      </c>
      <c r="W1792">
        <f t="shared" si="410"/>
        <v>1</v>
      </c>
      <c r="X1792">
        <f t="shared" si="419"/>
        <v>0</v>
      </c>
      <c r="Y1792">
        <f t="shared" si="420"/>
        <v>1</v>
      </c>
      <c r="Z1792">
        <f t="shared" si="411"/>
        <v>0</v>
      </c>
      <c r="AA1792">
        <f t="shared" si="412"/>
        <v>0</v>
      </c>
      <c r="AB1792">
        <f t="shared" si="413"/>
        <v>0</v>
      </c>
      <c r="AC1792">
        <f t="shared" si="414"/>
        <v>5</v>
      </c>
      <c r="AD1792" s="1">
        <f t="shared" si="415"/>
        <v>6.666666666666667</v>
      </c>
      <c r="AE1792">
        <f t="shared" si="416"/>
        <v>5</v>
      </c>
      <c r="AF1792">
        <f t="shared" si="417"/>
        <v>10</v>
      </c>
      <c r="AG1792">
        <f t="shared" si="418"/>
        <v>10</v>
      </c>
    </row>
    <row r="1793" spans="1:33" x14ac:dyDescent="0.25">
      <c r="A1793" t="s">
        <v>2915</v>
      </c>
      <c r="B1793" t="s">
        <v>2916</v>
      </c>
      <c r="C1793">
        <v>167384</v>
      </c>
      <c r="D1793">
        <v>167384</v>
      </c>
      <c r="H1793">
        <v>0</v>
      </c>
      <c r="I1793">
        <v>30</v>
      </c>
      <c r="J1793">
        <v>10</v>
      </c>
      <c r="K1793">
        <v>10</v>
      </c>
      <c r="L1793">
        <v>0</v>
      </c>
      <c r="M1793">
        <v>50</v>
      </c>
      <c r="S1793">
        <f t="shared" si="407"/>
        <v>0</v>
      </c>
      <c r="T1793">
        <f t="shared" si="408"/>
        <v>4.166666666666667</v>
      </c>
      <c r="U1793">
        <f t="shared" si="406"/>
        <v>1</v>
      </c>
      <c r="V1793">
        <f t="shared" si="409"/>
        <v>0</v>
      </c>
      <c r="W1793">
        <f t="shared" si="410"/>
        <v>1</v>
      </c>
      <c r="X1793">
        <f t="shared" si="419"/>
        <v>0</v>
      </c>
      <c r="Y1793">
        <f t="shared" si="420"/>
        <v>0</v>
      </c>
      <c r="Z1793">
        <f t="shared" si="411"/>
        <v>0</v>
      </c>
      <c r="AA1793">
        <f t="shared" si="412"/>
        <v>0</v>
      </c>
      <c r="AB1793">
        <f t="shared" si="413"/>
        <v>0</v>
      </c>
      <c r="AC1793">
        <f t="shared" si="414"/>
        <v>0</v>
      </c>
      <c r="AD1793" s="1">
        <f t="shared" si="415"/>
        <v>5</v>
      </c>
      <c r="AE1793">
        <f t="shared" si="416"/>
        <v>5</v>
      </c>
      <c r="AF1793">
        <f t="shared" si="417"/>
        <v>10</v>
      </c>
      <c r="AG1793">
        <f t="shared" si="418"/>
        <v>0</v>
      </c>
    </row>
    <row r="1794" spans="1:33" x14ac:dyDescent="0.25">
      <c r="A1794" t="s">
        <v>2917</v>
      </c>
      <c r="B1794" t="s">
        <v>49</v>
      </c>
      <c r="C1794">
        <v>153683</v>
      </c>
      <c r="D1794">
        <v>153683</v>
      </c>
      <c r="H1794">
        <v>20</v>
      </c>
      <c r="I1794">
        <v>40</v>
      </c>
      <c r="J1794">
        <v>20</v>
      </c>
      <c r="K1794">
        <v>0</v>
      </c>
      <c r="L1794">
        <v>10</v>
      </c>
      <c r="M1794">
        <v>90</v>
      </c>
      <c r="S1794">
        <f t="shared" si="407"/>
        <v>0</v>
      </c>
      <c r="T1794">
        <f t="shared" si="408"/>
        <v>7.5</v>
      </c>
      <c r="U1794">
        <f t="shared" ref="U1794:U1857" si="421">IF(AND(E1794="",F1794="",G1794="",H1794="",I1794="",J1794="",K1794="",L1794="",M1794=""),0,1)</f>
        <v>1</v>
      </c>
      <c r="V1794">
        <f t="shared" si="409"/>
        <v>0</v>
      </c>
      <c r="W1794">
        <f t="shared" si="410"/>
        <v>1</v>
      </c>
      <c r="X1794">
        <f t="shared" si="419"/>
        <v>0</v>
      </c>
      <c r="Y1794">
        <f t="shared" si="420"/>
        <v>1</v>
      </c>
      <c r="Z1794">
        <f t="shared" si="411"/>
        <v>0</v>
      </c>
      <c r="AA1794">
        <f t="shared" si="412"/>
        <v>0</v>
      </c>
      <c r="AB1794">
        <f t="shared" si="413"/>
        <v>0</v>
      </c>
      <c r="AC1794">
        <f t="shared" si="414"/>
        <v>10</v>
      </c>
      <c r="AD1794" s="1">
        <f t="shared" si="415"/>
        <v>6.666666666666667</v>
      </c>
      <c r="AE1794">
        <f t="shared" si="416"/>
        <v>10</v>
      </c>
      <c r="AF1794">
        <f t="shared" si="417"/>
        <v>0</v>
      </c>
      <c r="AG1794">
        <f t="shared" si="418"/>
        <v>10</v>
      </c>
    </row>
    <row r="1795" spans="1:33" x14ac:dyDescent="0.25">
      <c r="A1795" t="s">
        <v>2918</v>
      </c>
      <c r="B1795" t="s">
        <v>2919</v>
      </c>
      <c r="C1795">
        <v>167055</v>
      </c>
      <c r="D1795">
        <v>167055</v>
      </c>
      <c r="E1795">
        <v>10</v>
      </c>
      <c r="F1795">
        <v>30</v>
      </c>
      <c r="G1795">
        <v>40</v>
      </c>
      <c r="O1795">
        <v>80</v>
      </c>
      <c r="S1795">
        <f t="shared" ref="S1795:S1858" si="422">O1795/16</f>
        <v>5</v>
      </c>
      <c r="T1795">
        <f t="shared" ref="T1795:T1858" si="423">M1795/12</f>
        <v>0</v>
      </c>
      <c r="U1795">
        <f t="shared" si="421"/>
        <v>1</v>
      </c>
      <c r="V1795">
        <f t="shared" ref="V1795:V1858" si="424">IF(O1795="",0,1)</f>
        <v>1</v>
      </c>
      <c r="W1795">
        <f t="shared" ref="W1795:W1858" si="425">IF(M1795="",0,1)</f>
        <v>0</v>
      </c>
      <c r="X1795">
        <f t="shared" si="419"/>
        <v>0</v>
      </c>
      <c r="Y1795">
        <f t="shared" si="420"/>
        <v>0</v>
      </c>
      <c r="Z1795">
        <f t="shared" ref="Z1795:Z1858" si="426">E1795/5</f>
        <v>2</v>
      </c>
      <c r="AA1795">
        <f t="shared" ref="AA1795:AA1858" si="427">F1795/4</f>
        <v>7.5</v>
      </c>
      <c r="AB1795">
        <f t="shared" ref="AB1795:AB1858" si="428">G1795/7</f>
        <v>5.7142857142857144</v>
      </c>
      <c r="AC1795">
        <f t="shared" ref="AC1795:AC1858" si="429">H1795/2</f>
        <v>0</v>
      </c>
      <c r="AD1795" s="1">
        <f t="shared" ref="AD1795:AD1858" si="430">I1795/6</f>
        <v>0</v>
      </c>
      <c r="AE1795">
        <f t="shared" ref="AE1795:AE1858" si="431">J1795/2</f>
        <v>0</v>
      </c>
      <c r="AF1795">
        <f t="shared" ref="AF1795:AF1858" si="432">K1795</f>
        <v>0</v>
      </c>
      <c r="AG1795">
        <f t="shared" ref="AG1795:AG1858" si="433">L1795</f>
        <v>0</v>
      </c>
    </row>
    <row r="1796" spans="1:33" x14ac:dyDescent="0.25">
      <c r="A1796" t="s">
        <v>2920</v>
      </c>
      <c r="B1796" t="s">
        <v>2095</v>
      </c>
      <c r="C1796">
        <v>166218</v>
      </c>
      <c r="D1796">
        <v>166218</v>
      </c>
      <c r="S1796">
        <f t="shared" si="422"/>
        <v>0</v>
      </c>
      <c r="T1796">
        <f t="shared" si="423"/>
        <v>0</v>
      </c>
      <c r="U1796">
        <f t="shared" si="421"/>
        <v>0</v>
      </c>
      <c r="V1796">
        <f t="shared" si="424"/>
        <v>0</v>
      </c>
      <c r="W1796">
        <f t="shared" si="425"/>
        <v>0</v>
      </c>
      <c r="X1796">
        <f t="shared" si="419"/>
        <v>0</v>
      </c>
      <c r="Y1796">
        <f t="shared" si="420"/>
        <v>0</v>
      </c>
      <c r="Z1796">
        <f t="shared" si="426"/>
        <v>0</v>
      </c>
      <c r="AA1796">
        <f t="shared" si="427"/>
        <v>0</v>
      </c>
      <c r="AB1796">
        <f t="shared" si="428"/>
        <v>0</v>
      </c>
      <c r="AC1796">
        <f t="shared" si="429"/>
        <v>0</v>
      </c>
      <c r="AD1796" s="1">
        <f t="shared" si="430"/>
        <v>0</v>
      </c>
      <c r="AE1796">
        <f t="shared" si="431"/>
        <v>0</v>
      </c>
      <c r="AF1796">
        <f t="shared" si="432"/>
        <v>0</v>
      </c>
      <c r="AG1796">
        <f t="shared" si="433"/>
        <v>0</v>
      </c>
    </row>
    <row r="1797" spans="1:33" x14ac:dyDescent="0.25">
      <c r="A1797" t="s">
        <v>2921</v>
      </c>
      <c r="B1797" t="s">
        <v>2922</v>
      </c>
      <c r="C1797">
        <v>164518</v>
      </c>
      <c r="D1797">
        <v>164518</v>
      </c>
      <c r="S1797">
        <f t="shared" si="422"/>
        <v>0</v>
      </c>
      <c r="T1797">
        <f t="shared" si="423"/>
        <v>0</v>
      </c>
      <c r="U1797">
        <f t="shared" si="421"/>
        <v>0</v>
      </c>
      <c r="V1797">
        <f t="shared" si="424"/>
        <v>0</v>
      </c>
      <c r="W1797">
        <f t="shared" si="425"/>
        <v>0</v>
      </c>
      <c r="X1797">
        <f t="shared" ref="X1797:X1860" si="434">IF(AND(V1797=1,S1797&gt;6),1,0)</f>
        <v>0</v>
      </c>
      <c r="Y1797">
        <f t="shared" ref="Y1797:Y1860" si="435">IF(AND(W1797=1,T1797&gt;6),1,0)</f>
        <v>0</v>
      </c>
      <c r="Z1797">
        <f t="shared" si="426"/>
        <v>0</v>
      </c>
      <c r="AA1797">
        <f t="shared" si="427"/>
        <v>0</v>
      </c>
      <c r="AB1797">
        <f t="shared" si="428"/>
        <v>0</v>
      </c>
      <c r="AC1797">
        <f t="shared" si="429"/>
        <v>0</v>
      </c>
      <c r="AD1797" s="1">
        <f t="shared" si="430"/>
        <v>0</v>
      </c>
      <c r="AE1797">
        <f t="shared" si="431"/>
        <v>0</v>
      </c>
      <c r="AF1797">
        <f t="shared" si="432"/>
        <v>0</v>
      </c>
      <c r="AG1797">
        <f t="shared" si="433"/>
        <v>0</v>
      </c>
    </row>
    <row r="1798" spans="1:33" x14ac:dyDescent="0.25">
      <c r="A1798" t="s">
        <v>2923</v>
      </c>
      <c r="B1798" t="s">
        <v>2791</v>
      </c>
      <c r="C1798">
        <v>168595</v>
      </c>
      <c r="D1798">
        <v>168595</v>
      </c>
      <c r="E1798">
        <v>40</v>
      </c>
      <c r="F1798">
        <v>20</v>
      </c>
      <c r="G1798">
        <v>50</v>
      </c>
      <c r="O1798">
        <v>110</v>
      </c>
      <c r="S1798">
        <f t="shared" si="422"/>
        <v>6.875</v>
      </c>
      <c r="T1798">
        <f t="shared" si="423"/>
        <v>0</v>
      </c>
      <c r="U1798">
        <f t="shared" si="421"/>
        <v>1</v>
      </c>
      <c r="V1798">
        <f t="shared" si="424"/>
        <v>1</v>
      </c>
      <c r="W1798">
        <f t="shared" si="425"/>
        <v>0</v>
      </c>
      <c r="X1798">
        <f t="shared" si="434"/>
        <v>1</v>
      </c>
      <c r="Y1798">
        <f t="shared" si="435"/>
        <v>0</v>
      </c>
      <c r="Z1798">
        <f t="shared" si="426"/>
        <v>8</v>
      </c>
      <c r="AA1798">
        <f t="shared" si="427"/>
        <v>5</v>
      </c>
      <c r="AB1798">
        <f t="shared" si="428"/>
        <v>7.1428571428571432</v>
      </c>
      <c r="AC1798">
        <f t="shared" si="429"/>
        <v>0</v>
      </c>
      <c r="AD1798" s="1">
        <f t="shared" si="430"/>
        <v>0</v>
      </c>
      <c r="AE1798">
        <f t="shared" si="431"/>
        <v>0</v>
      </c>
      <c r="AF1798">
        <f t="shared" si="432"/>
        <v>0</v>
      </c>
      <c r="AG1798">
        <f t="shared" si="433"/>
        <v>0</v>
      </c>
    </row>
    <row r="1799" spans="1:33" x14ac:dyDescent="0.25">
      <c r="A1799" t="s">
        <v>2924</v>
      </c>
      <c r="B1799" t="s">
        <v>2925</v>
      </c>
      <c r="C1799">
        <v>162156</v>
      </c>
      <c r="D1799">
        <v>162156</v>
      </c>
      <c r="S1799">
        <f t="shared" si="422"/>
        <v>0</v>
      </c>
      <c r="T1799">
        <f t="shared" si="423"/>
        <v>0</v>
      </c>
      <c r="U1799">
        <f t="shared" si="421"/>
        <v>0</v>
      </c>
      <c r="V1799">
        <f t="shared" si="424"/>
        <v>0</v>
      </c>
      <c r="W1799">
        <f t="shared" si="425"/>
        <v>0</v>
      </c>
      <c r="X1799">
        <f t="shared" si="434"/>
        <v>0</v>
      </c>
      <c r="Y1799">
        <f t="shared" si="435"/>
        <v>0</v>
      </c>
      <c r="Z1799">
        <f t="shared" si="426"/>
        <v>0</v>
      </c>
      <c r="AA1799">
        <f t="shared" si="427"/>
        <v>0</v>
      </c>
      <c r="AB1799">
        <f t="shared" si="428"/>
        <v>0</v>
      </c>
      <c r="AC1799">
        <f t="shared" si="429"/>
        <v>0</v>
      </c>
      <c r="AD1799" s="1">
        <f t="shared" si="430"/>
        <v>0</v>
      </c>
      <c r="AE1799">
        <f t="shared" si="431"/>
        <v>0</v>
      </c>
      <c r="AF1799">
        <f t="shared" si="432"/>
        <v>0</v>
      </c>
      <c r="AG1799">
        <f t="shared" si="433"/>
        <v>0</v>
      </c>
    </row>
    <row r="1800" spans="1:33" x14ac:dyDescent="0.25">
      <c r="A1800" t="s">
        <v>2926</v>
      </c>
      <c r="B1800" t="s">
        <v>2927</v>
      </c>
      <c r="C1800">
        <v>163423</v>
      </c>
      <c r="D1800">
        <v>163423</v>
      </c>
      <c r="E1800">
        <v>20</v>
      </c>
      <c r="F1800">
        <v>10</v>
      </c>
      <c r="G1800">
        <v>40</v>
      </c>
      <c r="O1800">
        <v>70</v>
      </c>
      <c r="S1800">
        <f t="shared" si="422"/>
        <v>4.375</v>
      </c>
      <c r="T1800">
        <f t="shared" si="423"/>
        <v>0</v>
      </c>
      <c r="U1800">
        <f t="shared" si="421"/>
        <v>1</v>
      </c>
      <c r="V1800">
        <f t="shared" si="424"/>
        <v>1</v>
      </c>
      <c r="W1800">
        <f t="shared" si="425"/>
        <v>0</v>
      </c>
      <c r="X1800">
        <f t="shared" si="434"/>
        <v>0</v>
      </c>
      <c r="Y1800">
        <f t="shared" si="435"/>
        <v>0</v>
      </c>
      <c r="Z1800">
        <f t="shared" si="426"/>
        <v>4</v>
      </c>
      <c r="AA1800">
        <f t="shared" si="427"/>
        <v>2.5</v>
      </c>
      <c r="AB1800">
        <f t="shared" si="428"/>
        <v>5.7142857142857144</v>
      </c>
      <c r="AC1800">
        <f t="shared" si="429"/>
        <v>0</v>
      </c>
      <c r="AD1800" s="1">
        <f t="shared" si="430"/>
        <v>0</v>
      </c>
      <c r="AE1800">
        <f t="shared" si="431"/>
        <v>0</v>
      </c>
      <c r="AF1800">
        <f t="shared" si="432"/>
        <v>0</v>
      </c>
      <c r="AG1800">
        <f t="shared" si="433"/>
        <v>0</v>
      </c>
    </row>
    <row r="1801" spans="1:33" x14ac:dyDescent="0.25">
      <c r="A1801" t="s">
        <v>2928</v>
      </c>
      <c r="B1801" t="s">
        <v>340</v>
      </c>
      <c r="C1801">
        <v>165258</v>
      </c>
      <c r="D1801">
        <v>165258</v>
      </c>
      <c r="S1801">
        <f t="shared" si="422"/>
        <v>0</v>
      </c>
      <c r="T1801">
        <f t="shared" si="423"/>
        <v>0</v>
      </c>
      <c r="U1801">
        <f t="shared" si="421"/>
        <v>0</v>
      </c>
      <c r="V1801">
        <f t="shared" si="424"/>
        <v>0</v>
      </c>
      <c r="W1801">
        <f t="shared" si="425"/>
        <v>0</v>
      </c>
      <c r="X1801">
        <f t="shared" si="434"/>
        <v>0</v>
      </c>
      <c r="Y1801">
        <f t="shared" si="435"/>
        <v>0</v>
      </c>
      <c r="Z1801">
        <f t="shared" si="426"/>
        <v>0</v>
      </c>
      <c r="AA1801">
        <f t="shared" si="427"/>
        <v>0</v>
      </c>
      <c r="AB1801">
        <f t="shared" si="428"/>
        <v>0</v>
      </c>
      <c r="AC1801">
        <f t="shared" si="429"/>
        <v>0</v>
      </c>
      <c r="AD1801" s="1">
        <f t="shared" si="430"/>
        <v>0</v>
      </c>
      <c r="AE1801">
        <f t="shared" si="431"/>
        <v>0</v>
      </c>
      <c r="AF1801">
        <f t="shared" si="432"/>
        <v>0</v>
      </c>
      <c r="AG1801">
        <f t="shared" si="433"/>
        <v>0</v>
      </c>
    </row>
    <row r="1802" spans="1:33" x14ac:dyDescent="0.25">
      <c r="A1802" t="s">
        <v>2929</v>
      </c>
      <c r="B1802" t="s">
        <v>2930</v>
      </c>
      <c r="C1802">
        <v>166765</v>
      </c>
      <c r="D1802">
        <v>166765</v>
      </c>
      <c r="E1802">
        <v>40</v>
      </c>
      <c r="F1802">
        <v>10</v>
      </c>
      <c r="G1802">
        <v>40</v>
      </c>
      <c r="O1802">
        <v>90</v>
      </c>
      <c r="S1802">
        <f t="shared" si="422"/>
        <v>5.625</v>
      </c>
      <c r="T1802">
        <f t="shared" si="423"/>
        <v>0</v>
      </c>
      <c r="U1802">
        <f t="shared" si="421"/>
        <v>1</v>
      </c>
      <c r="V1802">
        <f t="shared" si="424"/>
        <v>1</v>
      </c>
      <c r="W1802">
        <f t="shared" si="425"/>
        <v>0</v>
      </c>
      <c r="X1802">
        <f t="shared" si="434"/>
        <v>0</v>
      </c>
      <c r="Y1802">
        <f t="shared" si="435"/>
        <v>0</v>
      </c>
      <c r="Z1802">
        <f t="shared" si="426"/>
        <v>8</v>
      </c>
      <c r="AA1802">
        <f t="shared" si="427"/>
        <v>2.5</v>
      </c>
      <c r="AB1802">
        <f t="shared" si="428"/>
        <v>5.7142857142857144</v>
      </c>
      <c r="AC1802">
        <f t="shared" si="429"/>
        <v>0</v>
      </c>
      <c r="AD1802" s="1">
        <f t="shared" si="430"/>
        <v>0</v>
      </c>
      <c r="AE1802">
        <f t="shared" si="431"/>
        <v>0</v>
      </c>
      <c r="AF1802">
        <f t="shared" si="432"/>
        <v>0</v>
      </c>
      <c r="AG1802">
        <f t="shared" si="433"/>
        <v>0</v>
      </c>
    </row>
    <row r="1803" spans="1:33" x14ac:dyDescent="0.25">
      <c r="A1803" t="s">
        <v>2931</v>
      </c>
      <c r="B1803" t="s">
        <v>1695</v>
      </c>
      <c r="C1803">
        <v>168172</v>
      </c>
      <c r="D1803">
        <v>168172</v>
      </c>
      <c r="H1803">
        <v>20</v>
      </c>
      <c r="I1803">
        <v>60</v>
      </c>
      <c r="J1803">
        <v>10</v>
      </c>
      <c r="K1803">
        <v>10</v>
      </c>
      <c r="L1803">
        <v>10</v>
      </c>
      <c r="M1803">
        <v>110</v>
      </c>
      <c r="S1803">
        <f t="shared" si="422"/>
        <v>0</v>
      </c>
      <c r="T1803">
        <f t="shared" si="423"/>
        <v>9.1666666666666661</v>
      </c>
      <c r="U1803">
        <f t="shared" si="421"/>
        <v>1</v>
      </c>
      <c r="V1803">
        <f t="shared" si="424"/>
        <v>0</v>
      </c>
      <c r="W1803">
        <f t="shared" si="425"/>
        <v>1</v>
      </c>
      <c r="X1803">
        <f t="shared" si="434"/>
        <v>0</v>
      </c>
      <c r="Y1803">
        <f t="shared" si="435"/>
        <v>1</v>
      </c>
      <c r="Z1803">
        <f t="shared" si="426"/>
        <v>0</v>
      </c>
      <c r="AA1803">
        <f t="shared" si="427"/>
        <v>0</v>
      </c>
      <c r="AB1803">
        <f t="shared" si="428"/>
        <v>0</v>
      </c>
      <c r="AC1803">
        <f t="shared" si="429"/>
        <v>10</v>
      </c>
      <c r="AD1803" s="1">
        <f t="shared" si="430"/>
        <v>10</v>
      </c>
      <c r="AE1803">
        <f t="shared" si="431"/>
        <v>5</v>
      </c>
      <c r="AF1803">
        <f t="shared" si="432"/>
        <v>10</v>
      </c>
      <c r="AG1803">
        <f t="shared" si="433"/>
        <v>10</v>
      </c>
    </row>
    <row r="1804" spans="1:33" x14ac:dyDescent="0.25">
      <c r="A1804" t="s">
        <v>2932</v>
      </c>
      <c r="B1804" t="s">
        <v>2933</v>
      </c>
      <c r="C1804">
        <v>168825</v>
      </c>
      <c r="D1804">
        <v>168825</v>
      </c>
      <c r="E1804">
        <v>30</v>
      </c>
      <c r="F1804">
        <v>0</v>
      </c>
      <c r="G1804">
        <v>20</v>
      </c>
      <c r="O1804">
        <v>50</v>
      </c>
      <c r="S1804">
        <f t="shared" si="422"/>
        <v>3.125</v>
      </c>
      <c r="T1804">
        <f t="shared" si="423"/>
        <v>0</v>
      </c>
      <c r="U1804">
        <f t="shared" si="421"/>
        <v>1</v>
      </c>
      <c r="V1804">
        <f t="shared" si="424"/>
        <v>1</v>
      </c>
      <c r="W1804">
        <f t="shared" si="425"/>
        <v>0</v>
      </c>
      <c r="X1804">
        <f t="shared" si="434"/>
        <v>0</v>
      </c>
      <c r="Y1804">
        <f t="shared" si="435"/>
        <v>0</v>
      </c>
      <c r="Z1804">
        <f t="shared" si="426"/>
        <v>6</v>
      </c>
      <c r="AA1804">
        <f t="shared" si="427"/>
        <v>0</v>
      </c>
      <c r="AB1804">
        <f t="shared" si="428"/>
        <v>2.8571428571428572</v>
      </c>
      <c r="AC1804">
        <f t="shared" si="429"/>
        <v>0</v>
      </c>
      <c r="AD1804" s="1">
        <f t="shared" si="430"/>
        <v>0</v>
      </c>
      <c r="AE1804">
        <f t="shared" si="431"/>
        <v>0</v>
      </c>
      <c r="AF1804">
        <f t="shared" si="432"/>
        <v>0</v>
      </c>
      <c r="AG1804">
        <f t="shared" si="433"/>
        <v>0</v>
      </c>
    </row>
    <row r="1805" spans="1:33" x14ac:dyDescent="0.25">
      <c r="A1805" t="s">
        <v>2934</v>
      </c>
      <c r="B1805" t="s">
        <v>808</v>
      </c>
      <c r="C1805">
        <v>168848</v>
      </c>
      <c r="D1805">
        <v>168848</v>
      </c>
      <c r="S1805">
        <f t="shared" si="422"/>
        <v>0</v>
      </c>
      <c r="T1805">
        <f t="shared" si="423"/>
        <v>0</v>
      </c>
      <c r="U1805">
        <f t="shared" si="421"/>
        <v>0</v>
      </c>
      <c r="V1805">
        <f t="shared" si="424"/>
        <v>0</v>
      </c>
      <c r="W1805">
        <f t="shared" si="425"/>
        <v>0</v>
      </c>
      <c r="X1805">
        <f t="shared" si="434"/>
        <v>0</v>
      </c>
      <c r="Y1805">
        <f t="shared" si="435"/>
        <v>0</v>
      </c>
      <c r="Z1805">
        <f t="shared" si="426"/>
        <v>0</v>
      </c>
      <c r="AA1805">
        <f t="shared" si="427"/>
        <v>0</v>
      </c>
      <c r="AB1805">
        <f t="shared" si="428"/>
        <v>0</v>
      </c>
      <c r="AC1805">
        <f t="shared" si="429"/>
        <v>0</v>
      </c>
      <c r="AD1805" s="1">
        <f t="shared" si="430"/>
        <v>0</v>
      </c>
      <c r="AE1805">
        <f t="shared" si="431"/>
        <v>0</v>
      </c>
      <c r="AF1805">
        <f t="shared" si="432"/>
        <v>0</v>
      </c>
      <c r="AG1805">
        <f t="shared" si="433"/>
        <v>0</v>
      </c>
    </row>
    <row r="1806" spans="1:33" x14ac:dyDescent="0.25">
      <c r="A1806" t="s">
        <v>2935</v>
      </c>
      <c r="B1806" t="s">
        <v>2936</v>
      </c>
      <c r="C1806">
        <v>165491</v>
      </c>
      <c r="D1806">
        <v>165491</v>
      </c>
      <c r="E1806">
        <v>0</v>
      </c>
      <c r="F1806">
        <v>30</v>
      </c>
      <c r="G1806">
        <v>30</v>
      </c>
      <c r="O1806">
        <v>60</v>
      </c>
      <c r="S1806">
        <f t="shared" si="422"/>
        <v>3.75</v>
      </c>
      <c r="T1806">
        <f t="shared" si="423"/>
        <v>0</v>
      </c>
      <c r="U1806">
        <f t="shared" si="421"/>
        <v>1</v>
      </c>
      <c r="V1806">
        <f t="shared" si="424"/>
        <v>1</v>
      </c>
      <c r="W1806">
        <f t="shared" si="425"/>
        <v>0</v>
      </c>
      <c r="X1806">
        <f t="shared" si="434"/>
        <v>0</v>
      </c>
      <c r="Y1806">
        <f t="shared" si="435"/>
        <v>0</v>
      </c>
      <c r="Z1806">
        <f t="shared" si="426"/>
        <v>0</v>
      </c>
      <c r="AA1806">
        <f t="shared" si="427"/>
        <v>7.5</v>
      </c>
      <c r="AB1806">
        <f t="shared" si="428"/>
        <v>4.2857142857142856</v>
      </c>
      <c r="AC1806">
        <f t="shared" si="429"/>
        <v>0</v>
      </c>
      <c r="AD1806" s="1">
        <f t="shared" si="430"/>
        <v>0</v>
      </c>
      <c r="AE1806">
        <f t="shared" si="431"/>
        <v>0</v>
      </c>
      <c r="AF1806">
        <f t="shared" si="432"/>
        <v>0</v>
      </c>
      <c r="AG1806">
        <f t="shared" si="433"/>
        <v>0</v>
      </c>
    </row>
    <row r="1807" spans="1:33" x14ac:dyDescent="0.25">
      <c r="A1807" t="s">
        <v>2937</v>
      </c>
      <c r="B1807" t="s">
        <v>218</v>
      </c>
      <c r="C1807">
        <v>166171</v>
      </c>
      <c r="D1807">
        <v>166171</v>
      </c>
      <c r="H1807">
        <v>10</v>
      </c>
      <c r="I1807">
        <v>50</v>
      </c>
      <c r="J1807">
        <v>20</v>
      </c>
      <c r="K1807">
        <v>10</v>
      </c>
      <c r="L1807">
        <v>10</v>
      </c>
      <c r="M1807">
        <v>100</v>
      </c>
      <c r="S1807">
        <f t="shared" si="422"/>
        <v>0</v>
      </c>
      <c r="T1807">
        <f t="shared" si="423"/>
        <v>8.3333333333333339</v>
      </c>
      <c r="U1807">
        <f t="shared" si="421"/>
        <v>1</v>
      </c>
      <c r="V1807">
        <f t="shared" si="424"/>
        <v>0</v>
      </c>
      <c r="W1807">
        <f t="shared" si="425"/>
        <v>1</v>
      </c>
      <c r="X1807">
        <f t="shared" si="434"/>
        <v>0</v>
      </c>
      <c r="Y1807">
        <f t="shared" si="435"/>
        <v>1</v>
      </c>
      <c r="Z1807">
        <f t="shared" si="426"/>
        <v>0</v>
      </c>
      <c r="AA1807">
        <f t="shared" si="427"/>
        <v>0</v>
      </c>
      <c r="AB1807">
        <f t="shared" si="428"/>
        <v>0</v>
      </c>
      <c r="AC1807">
        <f t="shared" si="429"/>
        <v>5</v>
      </c>
      <c r="AD1807" s="1">
        <f t="shared" si="430"/>
        <v>8.3333333333333339</v>
      </c>
      <c r="AE1807">
        <f t="shared" si="431"/>
        <v>10</v>
      </c>
      <c r="AF1807">
        <f t="shared" si="432"/>
        <v>10</v>
      </c>
      <c r="AG1807">
        <f t="shared" si="433"/>
        <v>10</v>
      </c>
    </row>
    <row r="1808" spans="1:33" x14ac:dyDescent="0.25">
      <c r="A1808" t="s">
        <v>2938</v>
      </c>
      <c r="B1808" t="s">
        <v>2939</v>
      </c>
      <c r="C1808">
        <v>166418</v>
      </c>
      <c r="D1808">
        <v>166418</v>
      </c>
      <c r="H1808">
        <v>0</v>
      </c>
      <c r="I1808">
        <v>30</v>
      </c>
      <c r="J1808">
        <v>0</v>
      </c>
      <c r="K1808">
        <v>0</v>
      </c>
      <c r="L1808">
        <v>0</v>
      </c>
      <c r="M1808">
        <v>30</v>
      </c>
      <c r="S1808">
        <f t="shared" si="422"/>
        <v>0</v>
      </c>
      <c r="T1808">
        <f t="shared" si="423"/>
        <v>2.5</v>
      </c>
      <c r="U1808">
        <f t="shared" si="421"/>
        <v>1</v>
      </c>
      <c r="V1808">
        <f t="shared" si="424"/>
        <v>0</v>
      </c>
      <c r="W1808">
        <f t="shared" si="425"/>
        <v>1</v>
      </c>
      <c r="X1808">
        <f t="shared" si="434"/>
        <v>0</v>
      </c>
      <c r="Y1808">
        <f t="shared" si="435"/>
        <v>0</v>
      </c>
      <c r="Z1808">
        <f t="shared" si="426"/>
        <v>0</v>
      </c>
      <c r="AA1808">
        <f t="shared" si="427"/>
        <v>0</v>
      </c>
      <c r="AB1808">
        <f t="shared" si="428"/>
        <v>0</v>
      </c>
      <c r="AC1808">
        <f t="shared" si="429"/>
        <v>0</v>
      </c>
      <c r="AD1808" s="1">
        <f t="shared" si="430"/>
        <v>5</v>
      </c>
      <c r="AE1808">
        <f t="shared" si="431"/>
        <v>0</v>
      </c>
      <c r="AF1808">
        <f t="shared" si="432"/>
        <v>0</v>
      </c>
      <c r="AG1808">
        <f t="shared" si="433"/>
        <v>0</v>
      </c>
    </row>
    <row r="1809" spans="1:33" x14ac:dyDescent="0.25">
      <c r="A1809" t="s">
        <v>2940</v>
      </c>
      <c r="B1809" t="s">
        <v>87</v>
      </c>
      <c r="C1809">
        <v>168293</v>
      </c>
      <c r="D1809">
        <v>168293</v>
      </c>
      <c r="H1809">
        <v>0</v>
      </c>
      <c r="I1809">
        <v>20</v>
      </c>
      <c r="J1809">
        <v>0</v>
      </c>
      <c r="K1809">
        <v>10</v>
      </c>
      <c r="L1809">
        <v>10</v>
      </c>
      <c r="M1809">
        <v>40</v>
      </c>
      <c r="S1809">
        <f t="shared" si="422"/>
        <v>0</v>
      </c>
      <c r="T1809">
        <f t="shared" si="423"/>
        <v>3.3333333333333335</v>
      </c>
      <c r="U1809">
        <f t="shared" si="421"/>
        <v>1</v>
      </c>
      <c r="V1809">
        <f t="shared" si="424"/>
        <v>0</v>
      </c>
      <c r="W1809">
        <f t="shared" si="425"/>
        <v>1</v>
      </c>
      <c r="X1809">
        <f t="shared" si="434"/>
        <v>0</v>
      </c>
      <c r="Y1809">
        <f t="shared" si="435"/>
        <v>0</v>
      </c>
      <c r="Z1809">
        <f t="shared" si="426"/>
        <v>0</v>
      </c>
      <c r="AA1809">
        <f t="shared" si="427"/>
        <v>0</v>
      </c>
      <c r="AB1809">
        <f t="shared" si="428"/>
        <v>0</v>
      </c>
      <c r="AC1809">
        <f t="shared" si="429"/>
        <v>0</v>
      </c>
      <c r="AD1809" s="1">
        <f t="shared" si="430"/>
        <v>3.3333333333333335</v>
      </c>
      <c r="AE1809">
        <f t="shared" si="431"/>
        <v>0</v>
      </c>
      <c r="AF1809">
        <f t="shared" si="432"/>
        <v>10</v>
      </c>
      <c r="AG1809">
        <f t="shared" si="433"/>
        <v>10</v>
      </c>
    </row>
    <row r="1810" spans="1:33" x14ac:dyDescent="0.25">
      <c r="A1810" t="s">
        <v>2941</v>
      </c>
      <c r="B1810" t="s">
        <v>2942</v>
      </c>
      <c r="C1810">
        <v>166861</v>
      </c>
      <c r="D1810">
        <v>166861</v>
      </c>
      <c r="S1810">
        <f t="shared" si="422"/>
        <v>0</v>
      </c>
      <c r="T1810">
        <f t="shared" si="423"/>
        <v>0</v>
      </c>
      <c r="U1810">
        <f t="shared" si="421"/>
        <v>0</v>
      </c>
      <c r="V1810">
        <f t="shared" si="424"/>
        <v>0</v>
      </c>
      <c r="W1810">
        <f t="shared" si="425"/>
        <v>0</v>
      </c>
      <c r="X1810">
        <f t="shared" si="434"/>
        <v>0</v>
      </c>
      <c r="Y1810">
        <f t="shared" si="435"/>
        <v>0</v>
      </c>
      <c r="Z1810">
        <f t="shared" si="426"/>
        <v>0</v>
      </c>
      <c r="AA1810">
        <f t="shared" si="427"/>
        <v>0</v>
      </c>
      <c r="AB1810">
        <f t="shared" si="428"/>
        <v>0</v>
      </c>
      <c r="AC1810">
        <f t="shared" si="429"/>
        <v>0</v>
      </c>
      <c r="AD1810" s="1">
        <f t="shared" si="430"/>
        <v>0</v>
      </c>
      <c r="AE1810">
        <f t="shared" si="431"/>
        <v>0</v>
      </c>
      <c r="AF1810">
        <f t="shared" si="432"/>
        <v>0</v>
      </c>
      <c r="AG1810">
        <f t="shared" si="433"/>
        <v>0</v>
      </c>
    </row>
    <row r="1811" spans="1:33" x14ac:dyDescent="0.25">
      <c r="A1811" t="s">
        <v>2943</v>
      </c>
      <c r="B1811" t="s">
        <v>674</v>
      </c>
      <c r="C1811">
        <v>167707</v>
      </c>
      <c r="D1811">
        <v>167707</v>
      </c>
      <c r="S1811">
        <f t="shared" si="422"/>
        <v>0</v>
      </c>
      <c r="T1811">
        <f t="shared" si="423"/>
        <v>0</v>
      </c>
      <c r="U1811">
        <f t="shared" si="421"/>
        <v>0</v>
      </c>
      <c r="V1811">
        <f t="shared" si="424"/>
        <v>0</v>
      </c>
      <c r="W1811">
        <f t="shared" si="425"/>
        <v>0</v>
      </c>
      <c r="X1811">
        <f t="shared" si="434"/>
        <v>0</v>
      </c>
      <c r="Y1811">
        <f t="shared" si="435"/>
        <v>0</v>
      </c>
      <c r="Z1811">
        <f t="shared" si="426"/>
        <v>0</v>
      </c>
      <c r="AA1811">
        <f t="shared" si="427"/>
        <v>0</v>
      </c>
      <c r="AB1811">
        <f t="shared" si="428"/>
        <v>0</v>
      </c>
      <c r="AC1811">
        <f t="shared" si="429"/>
        <v>0</v>
      </c>
      <c r="AD1811" s="1">
        <f t="shared" si="430"/>
        <v>0</v>
      </c>
      <c r="AE1811">
        <f t="shared" si="431"/>
        <v>0</v>
      </c>
      <c r="AF1811">
        <f t="shared" si="432"/>
        <v>0</v>
      </c>
      <c r="AG1811">
        <f t="shared" si="433"/>
        <v>0</v>
      </c>
    </row>
    <row r="1812" spans="1:33" x14ac:dyDescent="0.25">
      <c r="A1812" t="s">
        <v>2944</v>
      </c>
      <c r="B1812" t="s">
        <v>209</v>
      </c>
      <c r="C1812">
        <v>167568</v>
      </c>
      <c r="D1812">
        <v>167568</v>
      </c>
      <c r="E1812">
        <v>0</v>
      </c>
      <c r="F1812">
        <v>10</v>
      </c>
      <c r="G1812">
        <v>50</v>
      </c>
      <c r="O1812">
        <v>60</v>
      </c>
      <c r="S1812">
        <f t="shared" si="422"/>
        <v>3.75</v>
      </c>
      <c r="T1812">
        <f t="shared" si="423"/>
        <v>0</v>
      </c>
      <c r="U1812">
        <f t="shared" si="421"/>
        <v>1</v>
      </c>
      <c r="V1812">
        <f t="shared" si="424"/>
        <v>1</v>
      </c>
      <c r="W1812">
        <f t="shared" si="425"/>
        <v>0</v>
      </c>
      <c r="X1812">
        <f t="shared" si="434"/>
        <v>0</v>
      </c>
      <c r="Y1812">
        <f t="shared" si="435"/>
        <v>0</v>
      </c>
      <c r="Z1812">
        <f t="shared" si="426"/>
        <v>0</v>
      </c>
      <c r="AA1812">
        <f t="shared" si="427"/>
        <v>2.5</v>
      </c>
      <c r="AB1812">
        <f t="shared" si="428"/>
        <v>7.1428571428571432</v>
      </c>
      <c r="AC1812">
        <f t="shared" si="429"/>
        <v>0</v>
      </c>
      <c r="AD1812" s="1">
        <f t="shared" si="430"/>
        <v>0</v>
      </c>
      <c r="AE1812">
        <f t="shared" si="431"/>
        <v>0</v>
      </c>
      <c r="AF1812">
        <f t="shared" si="432"/>
        <v>0</v>
      </c>
      <c r="AG1812">
        <f t="shared" si="433"/>
        <v>0</v>
      </c>
    </row>
    <row r="1813" spans="1:33" x14ac:dyDescent="0.25">
      <c r="A1813" t="s">
        <v>2945</v>
      </c>
      <c r="B1813" t="s">
        <v>266</v>
      </c>
      <c r="C1813">
        <v>165804</v>
      </c>
      <c r="D1813">
        <v>165804</v>
      </c>
      <c r="H1813">
        <v>20</v>
      </c>
      <c r="I1813">
        <v>50</v>
      </c>
      <c r="J1813">
        <v>10</v>
      </c>
      <c r="K1813">
        <v>10</v>
      </c>
      <c r="L1813">
        <v>10</v>
      </c>
      <c r="M1813">
        <v>100</v>
      </c>
      <c r="S1813">
        <f t="shared" si="422"/>
        <v>0</v>
      </c>
      <c r="T1813">
        <f t="shared" si="423"/>
        <v>8.3333333333333339</v>
      </c>
      <c r="U1813">
        <f t="shared" si="421"/>
        <v>1</v>
      </c>
      <c r="V1813">
        <f t="shared" si="424"/>
        <v>0</v>
      </c>
      <c r="W1813">
        <f t="shared" si="425"/>
        <v>1</v>
      </c>
      <c r="X1813">
        <f t="shared" si="434"/>
        <v>0</v>
      </c>
      <c r="Y1813">
        <f t="shared" si="435"/>
        <v>1</v>
      </c>
      <c r="Z1813">
        <f t="shared" si="426"/>
        <v>0</v>
      </c>
      <c r="AA1813">
        <f t="shared" si="427"/>
        <v>0</v>
      </c>
      <c r="AB1813">
        <f t="shared" si="428"/>
        <v>0</v>
      </c>
      <c r="AC1813">
        <f t="shared" si="429"/>
        <v>10</v>
      </c>
      <c r="AD1813" s="1">
        <f t="shared" si="430"/>
        <v>8.3333333333333339</v>
      </c>
      <c r="AE1813">
        <f t="shared" si="431"/>
        <v>5</v>
      </c>
      <c r="AF1813">
        <f t="shared" si="432"/>
        <v>10</v>
      </c>
      <c r="AG1813">
        <f t="shared" si="433"/>
        <v>10</v>
      </c>
    </row>
    <row r="1814" spans="1:33" x14ac:dyDescent="0.25">
      <c r="A1814" t="s">
        <v>2946</v>
      </c>
      <c r="B1814" t="s">
        <v>2947</v>
      </c>
      <c r="C1814">
        <v>166963</v>
      </c>
      <c r="D1814">
        <v>166963</v>
      </c>
      <c r="H1814">
        <v>20</v>
      </c>
      <c r="I1814">
        <v>40</v>
      </c>
      <c r="J1814">
        <v>10</v>
      </c>
      <c r="K1814">
        <v>10</v>
      </c>
      <c r="L1814">
        <v>10</v>
      </c>
      <c r="M1814">
        <v>90</v>
      </c>
      <c r="S1814">
        <f t="shared" si="422"/>
        <v>0</v>
      </c>
      <c r="T1814">
        <f t="shared" si="423"/>
        <v>7.5</v>
      </c>
      <c r="U1814">
        <f t="shared" si="421"/>
        <v>1</v>
      </c>
      <c r="V1814">
        <f t="shared" si="424"/>
        <v>0</v>
      </c>
      <c r="W1814">
        <f t="shared" si="425"/>
        <v>1</v>
      </c>
      <c r="X1814">
        <f t="shared" si="434"/>
        <v>0</v>
      </c>
      <c r="Y1814">
        <f t="shared" si="435"/>
        <v>1</v>
      </c>
      <c r="Z1814">
        <f t="shared" si="426"/>
        <v>0</v>
      </c>
      <c r="AA1814">
        <f t="shared" si="427"/>
        <v>0</v>
      </c>
      <c r="AB1814">
        <f t="shared" si="428"/>
        <v>0</v>
      </c>
      <c r="AC1814">
        <f t="shared" si="429"/>
        <v>10</v>
      </c>
      <c r="AD1814" s="1">
        <f t="shared" si="430"/>
        <v>6.666666666666667</v>
      </c>
      <c r="AE1814">
        <f t="shared" si="431"/>
        <v>5</v>
      </c>
      <c r="AF1814">
        <f t="shared" si="432"/>
        <v>10</v>
      </c>
      <c r="AG1814">
        <f t="shared" si="433"/>
        <v>10</v>
      </c>
    </row>
    <row r="1815" spans="1:33" x14ac:dyDescent="0.25">
      <c r="A1815" t="s">
        <v>2948</v>
      </c>
      <c r="B1815" t="s">
        <v>418</v>
      </c>
      <c r="C1815">
        <v>164413</v>
      </c>
      <c r="D1815">
        <v>164413</v>
      </c>
      <c r="E1815">
        <v>30</v>
      </c>
      <c r="F1815">
        <v>10</v>
      </c>
      <c r="G1815">
        <v>50</v>
      </c>
      <c r="O1815">
        <v>90</v>
      </c>
      <c r="S1815">
        <f t="shared" si="422"/>
        <v>5.625</v>
      </c>
      <c r="T1815">
        <f t="shared" si="423"/>
        <v>0</v>
      </c>
      <c r="U1815">
        <f t="shared" si="421"/>
        <v>1</v>
      </c>
      <c r="V1815">
        <f t="shared" si="424"/>
        <v>1</v>
      </c>
      <c r="W1815">
        <f t="shared" si="425"/>
        <v>0</v>
      </c>
      <c r="X1815">
        <f t="shared" si="434"/>
        <v>0</v>
      </c>
      <c r="Y1815">
        <f t="shared" si="435"/>
        <v>0</v>
      </c>
      <c r="Z1815">
        <f t="shared" si="426"/>
        <v>6</v>
      </c>
      <c r="AA1815">
        <f t="shared" si="427"/>
        <v>2.5</v>
      </c>
      <c r="AB1815">
        <f t="shared" si="428"/>
        <v>7.1428571428571432</v>
      </c>
      <c r="AC1815">
        <f t="shared" si="429"/>
        <v>0</v>
      </c>
      <c r="AD1815" s="1">
        <f t="shared" si="430"/>
        <v>0</v>
      </c>
      <c r="AE1815">
        <f t="shared" si="431"/>
        <v>0</v>
      </c>
      <c r="AF1815">
        <f t="shared" si="432"/>
        <v>0</v>
      </c>
      <c r="AG1815">
        <f t="shared" si="433"/>
        <v>0</v>
      </c>
    </row>
    <row r="1816" spans="1:33" x14ac:dyDescent="0.25">
      <c r="A1816" t="s">
        <v>2949</v>
      </c>
      <c r="B1816" t="s">
        <v>2950</v>
      </c>
      <c r="C1816">
        <v>165922</v>
      </c>
      <c r="D1816">
        <v>165922</v>
      </c>
      <c r="H1816">
        <v>20</v>
      </c>
      <c r="I1816">
        <v>20</v>
      </c>
      <c r="J1816">
        <v>20</v>
      </c>
      <c r="K1816">
        <v>10</v>
      </c>
      <c r="L1816">
        <v>10</v>
      </c>
      <c r="M1816">
        <v>80</v>
      </c>
      <c r="S1816">
        <f t="shared" si="422"/>
        <v>0</v>
      </c>
      <c r="T1816">
        <f t="shared" si="423"/>
        <v>6.666666666666667</v>
      </c>
      <c r="U1816">
        <f t="shared" si="421"/>
        <v>1</v>
      </c>
      <c r="V1816">
        <f t="shared" si="424"/>
        <v>0</v>
      </c>
      <c r="W1816">
        <f t="shared" si="425"/>
        <v>1</v>
      </c>
      <c r="X1816">
        <f t="shared" si="434"/>
        <v>0</v>
      </c>
      <c r="Y1816">
        <f t="shared" si="435"/>
        <v>1</v>
      </c>
      <c r="Z1816">
        <f t="shared" si="426"/>
        <v>0</v>
      </c>
      <c r="AA1816">
        <f t="shared" si="427"/>
        <v>0</v>
      </c>
      <c r="AB1816">
        <f t="shared" si="428"/>
        <v>0</v>
      </c>
      <c r="AC1816">
        <f t="shared" si="429"/>
        <v>10</v>
      </c>
      <c r="AD1816" s="1">
        <f t="shared" si="430"/>
        <v>3.3333333333333335</v>
      </c>
      <c r="AE1816">
        <f t="shared" si="431"/>
        <v>10</v>
      </c>
      <c r="AF1816">
        <f t="shared" si="432"/>
        <v>10</v>
      </c>
      <c r="AG1816">
        <f t="shared" si="433"/>
        <v>10</v>
      </c>
    </row>
    <row r="1817" spans="1:33" x14ac:dyDescent="0.25">
      <c r="A1817" t="s">
        <v>2951</v>
      </c>
      <c r="B1817" t="s">
        <v>2952</v>
      </c>
      <c r="C1817">
        <v>165935</v>
      </c>
      <c r="D1817">
        <v>165935</v>
      </c>
      <c r="H1817">
        <v>20</v>
      </c>
      <c r="I1817">
        <v>40</v>
      </c>
      <c r="J1817">
        <v>10</v>
      </c>
      <c r="K1817">
        <v>10</v>
      </c>
      <c r="L1817">
        <v>10</v>
      </c>
      <c r="M1817">
        <v>90</v>
      </c>
      <c r="S1817">
        <f t="shared" si="422"/>
        <v>0</v>
      </c>
      <c r="T1817">
        <f t="shared" si="423"/>
        <v>7.5</v>
      </c>
      <c r="U1817">
        <f t="shared" si="421"/>
        <v>1</v>
      </c>
      <c r="V1817">
        <f t="shared" si="424"/>
        <v>0</v>
      </c>
      <c r="W1817">
        <f t="shared" si="425"/>
        <v>1</v>
      </c>
      <c r="X1817">
        <f t="shared" si="434"/>
        <v>0</v>
      </c>
      <c r="Y1817">
        <f t="shared" si="435"/>
        <v>1</v>
      </c>
      <c r="Z1817">
        <f t="shared" si="426"/>
        <v>0</v>
      </c>
      <c r="AA1817">
        <f t="shared" si="427"/>
        <v>0</v>
      </c>
      <c r="AB1817">
        <f t="shared" si="428"/>
        <v>0</v>
      </c>
      <c r="AC1817">
        <f t="shared" si="429"/>
        <v>10</v>
      </c>
      <c r="AD1817" s="1">
        <f t="shared" si="430"/>
        <v>6.666666666666667</v>
      </c>
      <c r="AE1817">
        <f t="shared" si="431"/>
        <v>5</v>
      </c>
      <c r="AF1817">
        <f t="shared" si="432"/>
        <v>10</v>
      </c>
      <c r="AG1817">
        <f t="shared" si="433"/>
        <v>10</v>
      </c>
    </row>
    <row r="1818" spans="1:33" x14ac:dyDescent="0.25">
      <c r="A1818" t="s">
        <v>2953</v>
      </c>
      <c r="B1818" t="s">
        <v>489</v>
      </c>
      <c r="C1818">
        <v>166592</v>
      </c>
      <c r="D1818">
        <v>166592</v>
      </c>
      <c r="E1818">
        <v>20</v>
      </c>
      <c r="F1818">
        <v>30</v>
      </c>
      <c r="G1818">
        <v>30</v>
      </c>
      <c r="O1818">
        <v>80</v>
      </c>
      <c r="S1818">
        <f t="shared" si="422"/>
        <v>5</v>
      </c>
      <c r="T1818">
        <f t="shared" si="423"/>
        <v>0</v>
      </c>
      <c r="U1818">
        <f t="shared" si="421"/>
        <v>1</v>
      </c>
      <c r="V1818">
        <f t="shared" si="424"/>
        <v>1</v>
      </c>
      <c r="W1818">
        <f t="shared" si="425"/>
        <v>0</v>
      </c>
      <c r="X1818">
        <f t="shared" si="434"/>
        <v>0</v>
      </c>
      <c r="Y1818">
        <f t="shared" si="435"/>
        <v>0</v>
      </c>
      <c r="Z1818">
        <f t="shared" si="426"/>
        <v>4</v>
      </c>
      <c r="AA1818">
        <f t="shared" si="427"/>
        <v>7.5</v>
      </c>
      <c r="AB1818">
        <f t="shared" si="428"/>
        <v>4.2857142857142856</v>
      </c>
      <c r="AC1818">
        <f t="shared" si="429"/>
        <v>0</v>
      </c>
      <c r="AD1818" s="1">
        <f t="shared" si="430"/>
        <v>0</v>
      </c>
      <c r="AE1818">
        <f t="shared" si="431"/>
        <v>0</v>
      </c>
      <c r="AF1818">
        <f t="shared" si="432"/>
        <v>0</v>
      </c>
      <c r="AG1818">
        <f t="shared" si="433"/>
        <v>0</v>
      </c>
    </row>
    <row r="1819" spans="1:33" x14ac:dyDescent="0.25">
      <c r="A1819" t="s">
        <v>2954</v>
      </c>
      <c r="B1819" t="s">
        <v>2955</v>
      </c>
      <c r="C1819">
        <v>168445</v>
      </c>
      <c r="D1819">
        <v>168445</v>
      </c>
      <c r="S1819">
        <f t="shared" si="422"/>
        <v>0</v>
      </c>
      <c r="T1819">
        <f t="shared" si="423"/>
        <v>0</v>
      </c>
      <c r="U1819">
        <f t="shared" si="421"/>
        <v>0</v>
      </c>
      <c r="V1819">
        <f t="shared" si="424"/>
        <v>0</v>
      </c>
      <c r="W1819">
        <f t="shared" si="425"/>
        <v>0</v>
      </c>
      <c r="X1819">
        <f t="shared" si="434"/>
        <v>0</v>
      </c>
      <c r="Y1819">
        <f t="shared" si="435"/>
        <v>0</v>
      </c>
      <c r="Z1819">
        <f t="shared" si="426"/>
        <v>0</v>
      </c>
      <c r="AA1819">
        <f t="shared" si="427"/>
        <v>0</v>
      </c>
      <c r="AB1819">
        <f t="shared" si="428"/>
        <v>0</v>
      </c>
      <c r="AC1819">
        <f t="shared" si="429"/>
        <v>0</v>
      </c>
      <c r="AD1819" s="1">
        <f t="shared" si="430"/>
        <v>0</v>
      </c>
      <c r="AE1819">
        <f t="shared" si="431"/>
        <v>0</v>
      </c>
      <c r="AF1819">
        <f t="shared" si="432"/>
        <v>0</v>
      </c>
      <c r="AG1819">
        <f t="shared" si="433"/>
        <v>0</v>
      </c>
    </row>
    <row r="1820" spans="1:33" x14ac:dyDescent="0.25">
      <c r="A1820" t="s">
        <v>2956</v>
      </c>
      <c r="B1820" t="s">
        <v>904</v>
      </c>
      <c r="C1820">
        <v>168295</v>
      </c>
      <c r="D1820">
        <v>168295</v>
      </c>
      <c r="E1820">
        <v>40</v>
      </c>
      <c r="F1820">
        <v>30</v>
      </c>
      <c r="O1820">
        <v>70</v>
      </c>
      <c r="S1820">
        <f t="shared" si="422"/>
        <v>4.375</v>
      </c>
      <c r="T1820">
        <f t="shared" si="423"/>
        <v>0</v>
      </c>
      <c r="U1820">
        <f t="shared" si="421"/>
        <v>1</v>
      </c>
      <c r="V1820">
        <f t="shared" si="424"/>
        <v>1</v>
      </c>
      <c r="W1820">
        <f t="shared" si="425"/>
        <v>0</v>
      </c>
      <c r="X1820">
        <f t="shared" si="434"/>
        <v>0</v>
      </c>
      <c r="Y1820">
        <f t="shared" si="435"/>
        <v>0</v>
      </c>
      <c r="Z1820">
        <f t="shared" si="426"/>
        <v>8</v>
      </c>
      <c r="AA1820">
        <f t="shared" si="427"/>
        <v>7.5</v>
      </c>
      <c r="AB1820">
        <f t="shared" si="428"/>
        <v>0</v>
      </c>
      <c r="AC1820">
        <f t="shared" si="429"/>
        <v>0</v>
      </c>
      <c r="AD1820" s="1">
        <f t="shared" si="430"/>
        <v>0</v>
      </c>
      <c r="AE1820">
        <f t="shared" si="431"/>
        <v>0</v>
      </c>
      <c r="AF1820">
        <f t="shared" si="432"/>
        <v>0</v>
      </c>
      <c r="AG1820">
        <f t="shared" si="433"/>
        <v>0</v>
      </c>
    </row>
    <row r="1821" spans="1:33" x14ac:dyDescent="0.25">
      <c r="A1821" t="s">
        <v>2957</v>
      </c>
      <c r="B1821" t="s">
        <v>2958</v>
      </c>
      <c r="C1821">
        <v>166738</v>
      </c>
      <c r="D1821">
        <v>166738</v>
      </c>
      <c r="E1821">
        <v>40</v>
      </c>
      <c r="F1821">
        <v>30</v>
      </c>
      <c r="G1821">
        <v>30</v>
      </c>
      <c r="O1821">
        <v>100</v>
      </c>
      <c r="S1821">
        <f t="shared" si="422"/>
        <v>6.25</v>
      </c>
      <c r="T1821">
        <f t="shared" si="423"/>
        <v>0</v>
      </c>
      <c r="U1821">
        <f t="shared" si="421"/>
        <v>1</v>
      </c>
      <c r="V1821">
        <f t="shared" si="424"/>
        <v>1</v>
      </c>
      <c r="W1821">
        <f t="shared" si="425"/>
        <v>0</v>
      </c>
      <c r="X1821">
        <f t="shared" si="434"/>
        <v>1</v>
      </c>
      <c r="Y1821">
        <f t="shared" si="435"/>
        <v>0</v>
      </c>
      <c r="Z1821">
        <f t="shared" si="426"/>
        <v>8</v>
      </c>
      <c r="AA1821">
        <f t="shared" si="427"/>
        <v>7.5</v>
      </c>
      <c r="AB1821">
        <f t="shared" si="428"/>
        <v>4.2857142857142856</v>
      </c>
      <c r="AC1821">
        <f t="shared" si="429"/>
        <v>0</v>
      </c>
      <c r="AD1821" s="1">
        <f t="shared" si="430"/>
        <v>0</v>
      </c>
      <c r="AE1821">
        <f t="shared" si="431"/>
        <v>0</v>
      </c>
      <c r="AF1821">
        <f t="shared" si="432"/>
        <v>0</v>
      </c>
      <c r="AG1821">
        <f t="shared" si="433"/>
        <v>0</v>
      </c>
    </row>
    <row r="1822" spans="1:33" x14ac:dyDescent="0.25">
      <c r="A1822" t="s">
        <v>2959</v>
      </c>
      <c r="B1822" t="s">
        <v>130</v>
      </c>
      <c r="C1822">
        <v>168380</v>
      </c>
      <c r="D1822">
        <v>168380</v>
      </c>
      <c r="S1822">
        <f t="shared" si="422"/>
        <v>0</v>
      </c>
      <c r="T1822">
        <f t="shared" si="423"/>
        <v>0</v>
      </c>
      <c r="U1822">
        <f t="shared" si="421"/>
        <v>0</v>
      </c>
      <c r="V1822">
        <f t="shared" si="424"/>
        <v>0</v>
      </c>
      <c r="W1822">
        <f t="shared" si="425"/>
        <v>0</v>
      </c>
      <c r="X1822">
        <f t="shared" si="434"/>
        <v>0</v>
      </c>
      <c r="Y1822">
        <f t="shared" si="435"/>
        <v>0</v>
      </c>
      <c r="Z1822">
        <f t="shared" si="426"/>
        <v>0</v>
      </c>
      <c r="AA1822">
        <f t="shared" si="427"/>
        <v>0</v>
      </c>
      <c r="AB1822">
        <f t="shared" si="428"/>
        <v>0</v>
      </c>
      <c r="AC1822">
        <f t="shared" si="429"/>
        <v>0</v>
      </c>
      <c r="AD1822" s="1">
        <f t="shared" si="430"/>
        <v>0</v>
      </c>
      <c r="AE1822">
        <f t="shared" si="431"/>
        <v>0</v>
      </c>
      <c r="AF1822">
        <f t="shared" si="432"/>
        <v>0</v>
      </c>
      <c r="AG1822">
        <f t="shared" si="433"/>
        <v>0</v>
      </c>
    </row>
    <row r="1823" spans="1:33" x14ac:dyDescent="0.25">
      <c r="A1823" t="s">
        <v>2960</v>
      </c>
      <c r="B1823" t="s">
        <v>2961</v>
      </c>
      <c r="C1823">
        <v>165277</v>
      </c>
      <c r="D1823">
        <v>165277</v>
      </c>
      <c r="S1823">
        <f t="shared" si="422"/>
        <v>0</v>
      </c>
      <c r="T1823">
        <f t="shared" si="423"/>
        <v>0</v>
      </c>
      <c r="U1823">
        <f t="shared" si="421"/>
        <v>0</v>
      </c>
      <c r="V1823">
        <f t="shared" si="424"/>
        <v>0</v>
      </c>
      <c r="W1823">
        <f t="shared" si="425"/>
        <v>0</v>
      </c>
      <c r="X1823">
        <f t="shared" si="434"/>
        <v>0</v>
      </c>
      <c r="Y1823">
        <f t="shared" si="435"/>
        <v>0</v>
      </c>
      <c r="Z1823">
        <f t="shared" si="426"/>
        <v>0</v>
      </c>
      <c r="AA1823">
        <f t="shared" si="427"/>
        <v>0</v>
      </c>
      <c r="AB1823">
        <f t="shared" si="428"/>
        <v>0</v>
      </c>
      <c r="AC1823">
        <f t="shared" si="429"/>
        <v>0</v>
      </c>
      <c r="AD1823" s="1">
        <f t="shared" si="430"/>
        <v>0</v>
      </c>
      <c r="AE1823">
        <f t="shared" si="431"/>
        <v>0</v>
      </c>
      <c r="AF1823">
        <f t="shared" si="432"/>
        <v>0</v>
      </c>
      <c r="AG1823">
        <f t="shared" si="433"/>
        <v>0</v>
      </c>
    </row>
    <row r="1824" spans="1:33" x14ac:dyDescent="0.25">
      <c r="A1824" t="s">
        <v>2962</v>
      </c>
      <c r="B1824" t="s">
        <v>2963</v>
      </c>
      <c r="C1824">
        <v>168769</v>
      </c>
      <c r="D1824">
        <v>168769</v>
      </c>
      <c r="E1824">
        <v>20</v>
      </c>
      <c r="F1824">
        <v>20</v>
      </c>
      <c r="G1824">
        <v>30</v>
      </c>
      <c r="O1824">
        <v>70</v>
      </c>
      <c r="S1824">
        <f t="shared" si="422"/>
        <v>4.375</v>
      </c>
      <c r="T1824">
        <f t="shared" si="423"/>
        <v>0</v>
      </c>
      <c r="U1824">
        <f t="shared" si="421"/>
        <v>1</v>
      </c>
      <c r="V1824">
        <f t="shared" si="424"/>
        <v>1</v>
      </c>
      <c r="W1824">
        <f t="shared" si="425"/>
        <v>0</v>
      </c>
      <c r="X1824">
        <f t="shared" si="434"/>
        <v>0</v>
      </c>
      <c r="Y1824">
        <f t="shared" si="435"/>
        <v>0</v>
      </c>
      <c r="Z1824">
        <f t="shared" si="426"/>
        <v>4</v>
      </c>
      <c r="AA1824">
        <f t="shared" si="427"/>
        <v>5</v>
      </c>
      <c r="AB1824">
        <f t="shared" si="428"/>
        <v>4.2857142857142856</v>
      </c>
      <c r="AC1824">
        <f t="shared" si="429"/>
        <v>0</v>
      </c>
      <c r="AD1824" s="1">
        <f t="shared" si="430"/>
        <v>0</v>
      </c>
      <c r="AE1824">
        <f t="shared" si="431"/>
        <v>0</v>
      </c>
      <c r="AF1824">
        <f t="shared" si="432"/>
        <v>0</v>
      </c>
      <c r="AG1824">
        <f t="shared" si="433"/>
        <v>0</v>
      </c>
    </row>
    <row r="1825" spans="1:33" x14ac:dyDescent="0.25">
      <c r="A1825" t="s">
        <v>2964</v>
      </c>
      <c r="B1825" t="s">
        <v>2965</v>
      </c>
      <c r="C1825">
        <v>164624</v>
      </c>
      <c r="D1825">
        <v>164624</v>
      </c>
      <c r="S1825">
        <f t="shared" si="422"/>
        <v>0</v>
      </c>
      <c r="T1825">
        <f t="shared" si="423"/>
        <v>0</v>
      </c>
      <c r="U1825">
        <f t="shared" si="421"/>
        <v>0</v>
      </c>
      <c r="V1825">
        <f t="shared" si="424"/>
        <v>0</v>
      </c>
      <c r="W1825">
        <f t="shared" si="425"/>
        <v>0</v>
      </c>
      <c r="X1825">
        <f t="shared" si="434"/>
        <v>0</v>
      </c>
      <c r="Y1825">
        <f t="shared" si="435"/>
        <v>0</v>
      </c>
      <c r="Z1825">
        <f t="shared" si="426"/>
        <v>0</v>
      </c>
      <c r="AA1825">
        <f t="shared" si="427"/>
        <v>0</v>
      </c>
      <c r="AB1825">
        <f t="shared" si="428"/>
        <v>0</v>
      </c>
      <c r="AC1825">
        <f t="shared" si="429"/>
        <v>0</v>
      </c>
      <c r="AD1825" s="1">
        <f t="shared" si="430"/>
        <v>0</v>
      </c>
      <c r="AE1825">
        <f t="shared" si="431"/>
        <v>0</v>
      </c>
      <c r="AF1825">
        <f t="shared" si="432"/>
        <v>0</v>
      </c>
      <c r="AG1825">
        <f t="shared" si="433"/>
        <v>0</v>
      </c>
    </row>
    <row r="1826" spans="1:33" x14ac:dyDescent="0.25">
      <c r="A1826" t="s">
        <v>2966</v>
      </c>
      <c r="B1826" t="s">
        <v>1319</v>
      </c>
      <c r="C1826">
        <v>168210</v>
      </c>
      <c r="D1826">
        <v>168210</v>
      </c>
      <c r="E1826">
        <v>30</v>
      </c>
      <c r="F1826">
        <v>20</v>
      </c>
      <c r="G1826">
        <v>50</v>
      </c>
      <c r="O1826">
        <v>100</v>
      </c>
      <c r="S1826">
        <f t="shared" si="422"/>
        <v>6.25</v>
      </c>
      <c r="T1826">
        <f t="shared" si="423"/>
        <v>0</v>
      </c>
      <c r="U1826">
        <f t="shared" si="421"/>
        <v>1</v>
      </c>
      <c r="V1826">
        <f t="shared" si="424"/>
        <v>1</v>
      </c>
      <c r="W1826">
        <f t="shared" si="425"/>
        <v>0</v>
      </c>
      <c r="X1826">
        <f t="shared" si="434"/>
        <v>1</v>
      </c>
      <c r="Y1826">
        <f t="shared" si="435"/>
        <v>0</v>
      </c>
      <c r="Z1826">
        <f t="shared" si="426"/>
        <v>6</v>
      </c>
      <c r="AA1826">
        <f t="shared" si="427"/>
        <v>5</v>
      </c>
      <c r="AB1826">
        <f t="shared" si="428"/>
        <v>7.1428571428571432</v>
      </c>
      <c r="AC1826">
        <f t="shared" si="429"/>
        <v>0</v>
      </c>
      <c r="AD1826" s="1">
        <f t="shared" si="430"/>
        <v>0</v>
      </c>
      <c r="AE1826">
        <f t="shared" si="431"/>
        <v>0</v>
      </c>
      <c r="AF1826">
        <f t="shared" si="432"/>
        <v>0</v>
      </c>
      <c r="AG1826">
        <f t="shared" si="433"/>
        <v>0</v>
      </c>
    </row>
    <row r="1827" spans="1:33" x14ac:dyDescent="0.25">
      <c r="A1827" t="s">
        <v>2967</v>
      </c>
      <c r="B1827" t="s">
        <v>2968</v>
      </c>
      <c r="C1827">
        <v>165352</v>
      </c>
      <c r="D1827">
        <v>165352</v>
      </c>
      <c r="E1827">
        <v>30</v>
      </c>
      <c r="F1827">
        <v>10</v>
      </c>
      <c r="G1827">
        <v>60</v>
      </c>
      <c r="O1827">
        <v>100</v>
      </c>
      <c r="S1827">
        <f t="shared" si="422"/>
        <v>6.25</v>
      </c>
      <c r="T1827">
        <f t="shared" si="423"/>
        <v>0</v>
      </c>
      <c r="U1827">
        <f t="shared" si="421"/>
        <v>1</v>
      </c>
      <c r="V1827">
        <f t="shared" si="424"/>
        <v>1</v>
      </c>
      <c r="W1827">
        <f t="shared" si="425"/>
        <v>0</v>
      </c>
      <c r="X1827">
        <f t="shared" si="434"/>
        <v>1</v>
      </c>
      <c r="Y1827">
        <f t="shared" si="435"/>
        <v>0</v>
      </c>
      <c r="Z1827">
        <f t="shared" si="426"/>
        <v>6</v>
      </c>
      <c r="AA1827">
        <f t="shared" si="427"/>
        <v>2.5</v>
      </c>
      <c r="AB1827">
        <f t="shared" si="428"/>
        <v>8.5714285714285712</v>
      </c>
      <c r="AC1827">
        <f t="shared" si="429"/>
        <v>0</v>
      </c>
      <c r="AD1827" s="1">
        <f t="shared" si="430"/>
        <v>0</v>
      </c>
      <c r="AE1827">
        <f t="shared" si="431"/>
        <v>0</v>
      </c>
      <c r="AF1827">
        <f t="shared" si="432"/>
        <v>0</v>
      </c>
      <c r="AG1827">
        <f t="shared" si="433"/>
        <v>0</v>
      </c>
    </row>
    <row r="1828" spans="1:33" x14ac:dyDescent="0.25">
      <c r="A1828" t="s">
        <v>2969</v>
      </c>
      <c r="B1828" t="s">
        <v>2970</v>
      </c>
      <c r="C1828">
        <v>163332</v>
      </c>
      <c r="D1828">
        <v>163332</v>
      </c>
      <c r="E1828">
        <v>10</v>
      </c>
      <c r="F1828">
        <v>30</v>
      </c>
      <c r="G1828">
        <v>10</v>
      </c>
      <c r="O1828">
        <v>50</v>
      </c>
      <c r="S1828">
        <f t="shared" si="422"/>
        <v>3.125</v>
      </c>
      <c r="T1828">
        <f t="shared" si="423"/>
        <v>0</v>
      </c>
      <c r="U1828">
        <f t="shared" si="421"/>
        <v>1</v>
      </c>
      <c r="V1828">
        <f t="shared" si="424"/>
        <v>1</v>
      </c>
      <c r="W1828">
        <f t="shared" si="425"/>
        <v>0</v>
      </c>
      <c r="X1828">
        <f t="shared" si="434"/>
        <v>0</v>
      </c>
      <c r="Y1828">
        <f t="shared" si="435"/>
        <v>0</v>
      </c>
      <c r="Z1828">
        <f t="shared" si="426"/>
        <v>2</v>
      </c>
      <c r="AA1828">
        <f t="shared" si="427"/>
        <v>7.5</v>
      </c>
      <c r="AB1828">
        <f t="shared" si="428"/>
        <v>1.4285714285714286</v>
      </c>
      <c r="AC1828">
        <f t="shared" si="429"/>
        <v>0</v>
      </c>
      <c r="AD1828" s="1">
        <f t="shared" si="430"/>
        <v>0</v>
      </c>
      <c r="AE1828">
        <f t="shared" si="431"/>
        <v>0</v>
      </c>
      <c r="AF1828">
        <f t="shared" si="432"/>
        <v>0</v>
      </c>
      <c r="AG1828">
        <f t="shared" si="433"/>
        <v>0</v>
      </c>
    </row>
    <row r="1829" spans="1:33" x14ac:dyDescent="0.25">
      <c r="A1829" t="s">
        <v>2971</v>
      </c>
      <c r="B1829" t="s">
        <v>512</v>
      </c>
      <c r="C1829">
        <v>166097</v>
      </c>
      <c r="D1829">
        <v>166097</v>
      </c>
      <c r="H1829">
        <v>20</v>
      </c>
      <c r="I1829">
        <v>50</v>
      </c>
      <c r="J1829">
        <v>10</v>
      </c>
      <c r="K1829">
        <v>10</v>
      </c>
      <c r="L1829">
        <v>10</v>
      </c>
      <c r="M1829">
        <v>100</v>
      </c>
      <c r="S1829">
        <f t="shared" si="422"/>
        <v>0</v>
      </c>
      <c r="T1829">
        <f t="shared" si="423"/>
        <v>8.3333333333333339</v>
      </c>
      <c r="U1829">
        <f t="shared" si="421"/>
        <v>1</v>
      </c>
      <c r="V1829">
        <f t="shared" si="424"/>
        <v>0</v>
      </c>
      <c r="W1829">
        <f t="shared" si="425"/>
        <v>1</v>
      </c>
      <c r="X1829">
        <f t="shared" si="434"/>
        <v>0</v>
      </c>
      <c r="Y1829">
        <f t="shared" si="435"/>
        <v>1</v>
      </c>
      <c r="Z1829">
        <f t="shared" si="426"/>
        <v>0</v>
      </c>
      <c r="AA1829">
        <f t="shared" si="427"/>
        <v>0</v>
      </c>
      <c r="AB1829">
        <f t="shared" si="428"/>
        <v>0</v>
      </c>
      <c r="AC1829">
        <f t="shared" si="429"/>
        <v>10</v>
      </c>
      <c r="AD1829" s="1">
        <f t="shared" si="430"/>
        <v>8.3333333333333339</v>
      </c>
      <c r="AE1829">
        <f t="shared" si="431"/>
        <v>5</v>
      </c>
      <c r="AF1829">
        <f t="shared" si="432"/>
        <v>10</v>
      </c>
      <c r="AG1829">
        <f t="shared" si="433"/>
        <v>10</v>
      </c>
    </row>
    <row r="1830" spans="1:33" x14ac:dyDescent="0.25">
      <c r="A1830" t="s">
        <v>2972</v>
      </c>
      <c r="B1830" t="s">
        <v>2973</v>
      </c>
      <c r="C1830">
        <v>168089</v>
      </c>
      <c r="D1830">
        <v>168089</v>
      </c>
      <c r="E1830">
        <v>30</v>
      </c>
      <c r="F1830">
        <v>40</v>
      </c>
      <c r="G1830">
        <v>40</v>
      </c>
      <c r="O1830">
        <v>110</v>
      </c>
      <c r="S1830">
        <f t="shared" si="422"/>
        <v>6.875</v>
      </c>
      <c r="T1830">
        <f t="shared" si="423"/>
        <v>0</v>
      </c>
      <c r="U1830">
        <f t="shared" si="421"/>
        <v>1</v>
      </c>
      <c r="V1830">
        <f t="shared" si="424"/>
        <v>1</v>
      </c>
      <c r="W1830">
        <f t="shared" si="425"/>
        <v>0</v>
      </c>
      <c r="X1830">
        <f t="shared" si="434"/>
        <v>1</v>
      </c>
      <c r="Y1830">
        <f t="shared" si="435"/>
        <v>0</v>
      </c>
      <c r="Z1830">
        <f t="shared" si="426"/>
        <v>6</v>
      </c>
      <c r="AA1830">
        <f t="shared" si="427"/>
        <v>10</v>
      </c>
      <c r="AB1830">
        <f t="shared" si="428"/>
        <v>5.7142857142857144</v>
      </c>
      <c r="AC1830">
        <f t="shared" si="429"/>
        <v>0</v>
      </c>
      <c r="AD1830" s="1">
        <f t="shared" si="430"/>
        <v>0</v>
      </c>
      <c r="AE1830">
        <f t="shared" si="431"/>
        <v>0</v>
      </c>
      <c r="AF1830">
        <f t="shared" si="432"/>
        <v>0</v>
      </c>
      <c r="AG1830">
        <f t="shared" si="433"/>
        <v>0</v>
      </c>
    </row>
    <row r="1831" spans="1:33" x14ac:dyDescent="0.25">
      <c r="A1831" t="s">
        <v>2974</v>
      </c>
      <c r="B1831" t="s">
        <v>121</v>
      </c>
      <c r="C1831">
        <v>166014</v>
      </c>
      <c r="D1831">
        <v>166014</v>
      </c>
      <c r="S1831">
        <f t="shared" si="422"/>
        <v>0</v>
      </c>
      <c r="T1831">
        <f t="shared" si="423"/>
        <v>0</v>
      </c>
      <c r="U1831">
        <f t="shared" si="421"/>
        <v>0</v>
      </c>
      <c r="V1831">
        <f t="shared" si="424"/>
        <v>0</v>
      </c>
      <c r="W1831">
        <f t="shared" si="425"/>
        <v>0</v>
      </c>
      <c r="X1831">
        <f t="shared" si="434"/>
        <v>0</v>
      </c>
      <c r="Y1831">
        <f t="shared" si="435"/>
        <v>0</v>
      </c>
      <c r="Z1831">
        <f t="shared" si="426"/>
        <v>0</v>
      </c>
      <c r="AA1831">
        <f t="shared" si="427"/>
        <v>0</v>
      </c>
      <c r="AB1831">
        <f t="shared" si="428"/>
        <v>0</v>
      </c>
      <c r="AC1831">
        <f t="shared" si="429"/>
        <v>0</v>
      </c>
      <c r="AD1831" s="1">
        <f t="shared" si="430"/>
        <v>0</v>
      </c>
      <c r="AE1831">
        <f t="shared" si="431"/>
        <v>0</v>
      </c>
      <c r="AF1831">
        <f t="shared" si="432"/>
        <v>0</v>
      </c>
      <c r="AG1831">
        <f t="shared" si="433"/>
        <v>0</v>
      </c>
    </row>
    <row r="1832" spans="1:33" x14ac:dyDescent="0.25">
      <c r="A1832" t="s">
        <v>2975</v>
      </c>
      <c r="B1832" t="s">
        <v>2976</v>
      </c>
      <c r="C1832">
        <v>168656</v>
      </c>
      <c r="D1832">
        <v>168656</v>
      </c>
      <c r="E1832">
        <v>50</v>
      </c>
      <c r="F1832">
        <v>30</v>
      </c>
      <c r="G1832">
        <v>30</v>
      </c>
      <c r="O1832">
        <v>110</v>
      </c>
      <c r="S1832">
        <f t="shared" si="422"/>
        <v>6.875</v>
      </c>
      <c r="T1832">
        <f t="shared" si="423"/>
        <v>0</v>
      </c>
      <c r="U1832">
        <f t="shared" si="421"/>
        <v>1</v>
      </c>
      <c r="V1832">
        <f t="shared" si="424"/>
        <v>1</v>
      </c>
      <c r="W1832">
        <f t="shared" si="425"/>
        <v>0</v>
      </c>
      <c r="X1832">
        <f t="shared" si="434"/>
        <v>1</v>
      </c>
      <c r="Y1832">
        <f t="shared" si="435"/>
        <v>0</v>
      </c>
      <c r="Z1832">
        <f t="shared" si="426"/>
        <v>10</v>
      </c>
      <c r="AA1832">
        <f t="shared" si="427"/>
        <v>7.5</v>
      </c>
      <c r="AB1832">
        <f t="shared" si="428"/>
        <v>4.2857142857142856</v>
      </c>
      <c r="AC1832">
        <f t="shared" si="429"/>
        <v>0</v>
      </c>
      <c r="AD1832" s="1">
        <f t="shared" si="430"/>
        <v>0</v>
      </c>
      <c r="AE1832">
        <f t="shared" si="431"/>
        <v>0</v>
      </c>
      <c r="AF1832">
        <f t="shared" si="432"/>
        <v>0</v>
      </c>
      <c r="AG1832">
        <f t="shared" si="433"/>
        <v>0</v>
      </c>
    </row>
    <row r="1833" spans="1:33" x14ac:dyDescent="0.25">
      <c r="A1833" t="s">
        <v>2977</v>
      </c>
      <c r="B1833" t="s">
        <v>1033</v>
      </c>
      <c r="C1833">
        <v>166133</v>
      </c>
      <c r="D1833">
        <v>166133</v>
      </c>
      <c r="E1833">
        <v>10</v>
      </c>
      <c r="F1833">
        <v>20</v>
      </c>
      <c r="G1833">
        <v>30</v>
      </c>
      <c r="O1833">
        <v>60</v>
      </c>
      <c r="S1833">
        <f t="shared" si="422"/>
        <v>3.75</v>
      </c>
      <c r="T1833">
        <f t="shared" si="423"/>
        <v>0</v>
      </c>
      <c r="U1833">
        <f t="shared" si="421"/>
        <v>1</v>
      </c>
      <c r="V1833">
        <f t="shared" si="424"/>
        <v>1</v>
      </c>
      <c r="W1833">
        <f t="shared" si="425"/>
        <v>0</v>
      </c>
      <c r="X1833">
        <f t="shared" si="434"/>
        <v>0</v>
      </c>
      <c r="Y1833">
        <f t="shared" si="435"/>
        <v>0</v>
      </c>
      <c r="Z1833">
        <f t="shared" si="426"/>
        <v>2</v>
      </c>
      <c r="AA1833">
        <f t="shared" si="427"/>
        <v>5</v>
      </c>
      <c r="AB1833">
        <f t="shared" si="428"/>
        <v>4.2857142857142856</v>
      </c>
      <c r="AC1833">
        <f t="shared" si="429"/>
        <v>0</v>
      </c>
      <c r="AD1833" s="1">
        <f t="shared" si="430"/>
        <v>0</v>
      </c>
      <c r="AE1833">
        <f t="shared" si="431"/>
        <v>0</v>
      </c>
      <c r="AF1833">
        <f t="shared" si="432"/>
        <v>0</v>
      </c>
      <c r="AG1833">
        <f t="shared" si="433"/>
        <v>0</v>
      </c>
    </row>
    <row r="1834" spans="1:33" x14ac:dyDescent="0.25">
      <c r="A1834" t="s">
        <v>2978</v>
      </c>
      <c r="B1834" t="s">
        <v>67</v>
      </c>
      <c r="C1834">
        <v>166524</v>
      </c>
      <c r="D1834">
        <v>166524</v>
      </c>
      <c r="H1834">
        <v>20</v>
      </c>
      <c r="I1834">
        <v>50</v>
      </c>
      <c r="J1834">
        <v>20</v>
      </c>
      <c r="K1834">
        <v>10</v>
      </c>
      <c r="L1834">
        <v>0</v>
      </c>
      <c r="M1834">
        <v>100</v>
      </c>
      <c r="S1834">
        <f t="shared" si="422"/>
        <v>0</v>
      </c>
      <c r="T1834">
        <f t="shared" si="423"/>
        <v>8.3333333333333339</v>
      </c>
      <c r="U1834">
        <f t="shared" si="421"/>
        <v>1</v>
      </c>
      <c r="V1834">
        <f t="shared" si="424"/>
        <v>0</v>
      </c>
      <c r="W1834">
        <f t="shared" si="425"/>
        <v>1</v>
      </c>
      <c r="X1834">
        <f t="shared" si="434"/>
        <v>0</v>
      </c>
      <c r="Y1834">
        <f t="shared" si="435"/>
        <v>1</v>
      </c>
      <c r="Z1834">
        <f t="shared" si="426"/>
        <v>0</v>
      </c>
      <c r="AA1834">
        <f t="shared" si="427"/>
        <v>0</v>
      </c>
      <c r="AB1834">
        <f t="shared" si="428"/>
        <v>0</v>
      </c>
      <c r="AC1834">
        <f t="shared" si="429"/>
        <v>10</v>
      </c>
      <c r="AD1834" s="1">
        <f t="shared" si="430"/>
        <v>8.3333333333333339</v>
      </c>
      <c r="AE1834">
        <f t="shared" si="431"/>
        <v>10</v>
      </c>
      <c r="AF1834">
        <f t="shared" si="432"/>
        <v>10</v>
      </c>
      <c r="AG1834">
        <f t="shared" si="433"/>
        <v>0</v>
      </c>
    </row>
    <row r="1835" spans="1:33" x14ac:dyDescent="0.25">
      <c r="A1835" t="s">
        <v>2979</v>
      </c>
      <c r="B1835" t="s">
        <v>2980</v>
      </c>
      <c r="C1835">
        <v>166005</v>
      </c>
      <c r="D1835">
        <v>166005</v>
      </c>
      <c r="E1835">
        <v>40</v>
      </c>
      <c r="F1835">
        <v>20</v>
      </c>
      <c r="G1835">
        <v>40</v>
      </c>
      <c r="O1835">
        <v>100</v>
      </c>
      <c r="S1835">
        <f t="shared" si="422"/>
        <v>6.25</v>
      </c>
      <c r="T1835">
        <f t="shared" si="423"/>
        <v>0</v>
      </c>
      <c r="U1835">
        <f t="shared" si="421"/>
        <v>1</v>
      </c>
      <c r="V1835">
        <f t="shared" si="424"/>
        <v>1</v>
      </c>
      <c r="W1835">
        <f t="shared" si="425"/>
        <v>0</v>
      </c>
      <c r="X1835">
        <f t="shared" si="434"/>
        <v>1</v>
      </c>
      <c r="Y1835">
        <f t="shared" si="435"/>
        <v>0</v>
      </c>
      <c r="Z1835">
        <f t="shared" si="426"/>
        <v>8</v>
      </c>
      <c r="AA1835">
        <f t="shared" si="427"/>
        <v>5</v>
      </c>
      <c r="AB1835">
        <f t="shared" si="428"/>
        <v>5.7142857142857144</v>
      </c>
      <c r="AC1835">
        <f t="shared" si="429"/>
        <v>0</v>
      </c>
      <c r="AD1835" s="1">
        <f t="shared" si="430"/>
        <v>0</v>
      </c>
      <c r="AE1835">
        <f t="shared" si="431"/>
        <v>0</v>
      </c>
      <c r="AF1835">
        <f t="shared" si="432"/>
        <v>0</v>
      </c>
      <c r="AG1835">
        <f t="shared" si="433"/>
        <v>0</v>
      </c>
    </row>
    <row r="1836" spans="1:33" x14ac:dyDescent="0.25">
      <c r="A1836" t="s">
        <v>2981</v>
      </c>
      <c r="B1836" t="s">
        <v>2982</v>
      </c>
      <c r="C1836">
        <v>167782</v>
      </c>
      <c r="D1836">
        <v>167782</v>
      </c>
      <c r="S1836">
        <f t="shared" si="422"/>
        <v>0</v>
      </c>
      <c r="T1836">
        <f t="shared" si="423"/>
        <v>0</v>
      </c>
      <c r="U1836">
        <f t="shared" si="421"/>
        <v>0</v>
      </c>
      <c r="V1836">
        <f t="shared" si="424"/>
        <v>0</v>
      </c>
      <c r="W1836">
        <f t="shared" si="425"/>
        <v>0</v>
      </c>
      <c r="X1836">
        <f t="shared" si="434"/>
        <v>0</v>
      </c>
      <c r="Y1836">
        <f t="shared" si="435"/>
        <v>0</v>
      </c>
      <c r="Z1836">
        <f t="shared" si="426"/>
        <v>0</v>
      </c>
      <c r="AA1836">
        <f t="shared" si="427"/>
        <v>0</v>
      </c>
      <c r="AB1836">
        <f t="shared" si="428"/>
        <v>0</v>
      </c>
      <c r="AC1836">
        <f t="shared" si="429"/>
        <v>0</v>
      </c>
      <c r="AD1836" s="1">
        <f t="shared" si="430"/>
        <v>0</v>
      </c>
      <c r="AE1836">
        <f t="shared" si="431"/>
        <v>0</v>
      </c>
      <c r="AF1836">
        <f t="shared" si="432"/>
        <v>0</v>
      </c>
      <c r="AG1836">
        <f t="shared" si="433"/>
        <v>0</v>
      </c>
    </row>
    <row r="1837" spans="1:33" x14ac:dyDescent="0.25">
      <c r="A1837" t="s">
        <v>2983</v>
      </c>
      <c r="B1837" t="s">
        <v>636</v>
      </c>
      <c r="C1837">
        <v>160490</v>
      </c>
      <c r="D1837">
        <v>160490</v>
      </c>
      <c r="S1837">
        <f t="shared" si="422"/>
        <v>0</v>
      </c>
      <c r="T1837">
        <f t="shared" si="423"/>
        <v>0</v>
      </c>
      <c r="U1837">
        <f t="shared" si="421"/>
        <v>0</v>
      </c>
      <c r="V1837">
        <f t="shared" si="424"/>
        <v>0</v>
      </c>
      <c r="W1837">
        <f t="shared" si="425"/>
        <v>0</v>
      </c>
      <c r="X1837">
        <f t="shared" si="434"/>
        <v>0</v>
      </c>
      <c r="Y1837">
        <f t="shared" si="435"/>
        <v>0</v>
      </c>
      <c r="Z1837">
        <f t="shared" si="426"/>
        <v>0</v>
      </c>
      <c r="AA1837">
        <f t="shared" si="427"/>
        <v>0</v>
      </c>
      <c r="AB1837">
        <f t="shared" si="428"/>
        <v>0</v>
      </c>
      <c r="AC1837">
        <f t="shared" si="429"/>
        <v>0</v>
      </c>
      <c r="AD1837" s="1">
        <f t="shared" si="430"/>
        <v>0</v>
      </c>
      <c r="AE1837">
        <f t="shared" si="431"/>
        <v>0</v>
      </c>
      <c r="AF1837">
        <f t="shared" si="432"/>
        <v>0</v>
      </c>
      <c r="AG1837">
        <f t="shared" si="433"/>
        <v>0</v>
      </c>
    </row>
    <row r="1838" spans="1:33" x14ac:dyDescent="0.25">
      <c r="A1838" t="s">
        <v>2984</v>
      </c>
      <c r="B1838" t="s">
        <v>1240</v>
      </c>
      <c r="C1838">
        <v>166323</v>
      </c>
      <c r="D1838">
        <v>166323</v>
      </c>
      <c r="H1838">
        <v>10</v>
      </c>
      <c r="I1838">
        <v>30</v>
      </c>
      <c r="J1838">
        <v>20</v>
      </c>
      <c r="M1838">
        <v>60</v>
      </c>
      <c r="S1838">
        <f t="shared" si="422"/>
        <v>0</v>
      </c>
      <c r="T1838">
        <f t="shared" si="423"/>
        <v>5</v>
      </c>
      <c r="U1838">
        <f t="shared" si="421"/>
        <v>1</v>
      </c>
      <c r="V1838">
        <f t="shared" si="424"/>
        <v>0</v>
      </c>
      <c r="W1838">
        <f t="shared" si="425"/>
        <v>1</v>
      </c>
      <c r="X1838">
        <f t="shared" si="434"/>
        <v>0</v>
      </c>
      <c r="Y1838">
        <f t="shared" si="435"/>
        <v>0</v>
      </c>
      <c r="Z1838">
        <f t="shared" si="426"/>
        <v>0</v>
      </c>
      <c r="AA1838">
        <f t="shared" si="427"/>
        <v>0</v>
      </c>
      <c r="AB1838">
        <f t="shared" si="428"/>
        <v>0</v>
      </c>
      <c r="AC1838">
        <f t="shared" si="429"/>
        <v>5</v>
      </c>
      <c r="AD1838" s="1">
        <f t="shared" si="430"/>
        <v>5</v>
      </c>
      <c r="AE1838">
        <f t="shared" si="431"/>
        <v>10</v>
      </c>
      <c r="AF1838">
        <f t="shared" si="432"/>
        <v>0</v>
      </c>
      <c r="AG1838">
        <f t="shared" si="433"/>
        <v>0</v>
      </c>
    </row>
    <row r="1839" spans="1:33" x14ac:dyDescent="0.25">
      <c r="A1839" t="s">
        <v>2985</v>
      </c>
      <c r="B1839" t="s">
        <v>2986</v>
      </c>
      <c r="C1839">
        <v>166107</v>
      </c>
      <c r="D1839">
        <v>166107</v>
      </c>
      <c r="E1839">
        <v>20</v>
      </c>
      <c r="F1839">
        <v>40</v>
      </c>
      <c r="G1839">
        <v>40</v>
      </c>
      <c r="O1839">
        <v>100</v>
      </c>
      <c r="S1839">
        <f t="shared" si="422"/>
        <v>6.25</v>
      </c>
      <c r="T1839">
        <f t="shared" si="423"/>
        <v>0</v>
      </c>
      <c r="U1839">
        <f t="shared" si="421"/>
        <v>1</v>
      </c>
      <c r="V1839">
        <f t="shared" si="424"/>
        <v>1</v>
      </c>
      <c r="W1839">
        <f t="shared" si="425"/>
        <v>0</v>
      </c>
      <c r="X1839">
        <f t="shared" si="434"/>
        <v>1</v>
      </c>
      <c r="Y1839">
        <f t="shared" si="435"/>
        <v>0</v>
      </c>
      <c r="Z1839">
        <f t="shared" si="426"/>
        <v>4</v>
      </c>
      <c r="AA1839">
        <f t="shared" si="427"/>
        <v>10</v>
      </c>
      <c r="AB1839">
        <f t="shared" si="428"/>
        <v>5.7142857142857144</v>
      </c>
      <c r="AC1839">
        <f t="shared" si="429"/>
        <v>0</v>
      </c>
      <c r="AD1839" s="1">
        <f t="shared" si="430"/>
        <v>0</v>
      </c>
      <c r="AE1839">
        <f t="shared" si="431"/>
        <v>0</v>
      </c>
      <c r="AF1839">
        <f t="shared" si="432"/>
        <v>0</v>
      </c>
      <c r="AG1839">
        <f t="shared" si="433"/>
        <v>0</v>
      </c>
    </row>
    <row r="1840" spans="1:33" x14ac:dyDescent="0.25">
      <c r="A1840" t="s">
        <v>2987</v>
      </c>
      <c r="B1840" t="s">
        <v>1829</v>
      </c>
      <c r="C1840">
        <v>165047</v>
      </c>
      <c r="D1840">
        <v>165047</v>
      </c>
      <c r="H1840">
        <v>10</v>
      </c>
      <c r="I1840">
        <v>30</v>
      </c>
      <c r="J1840">
        <v>20</v>
      </c>
      <c r="K1840">
        <v>10</v>
      </c>
      <c r="L1840">
        <v>10</v>
      </c>
      <c r="M1840">
        <v>80</v>
      </c>
      <c r="S1840">
        <f t="shared" si="422"/>
        <v>0</v>
      </c>
      <c r="T1840">
        <f t="shared" si="423"/>
        <v>6.666666666666667</v>
      </c>
      <c r="U1840">
        <f t="shared" si="421"/>
        <v>1</v>
      </c>
      <c r="V1840">
        <f t="shared" si="424"/>
        <v>0</v>
      </c>
      <c r="W1840">
        <f t="shared" si="425"/>
        <v>1</v>
      </c>
      <c r="X1840">
        <f t="shared" si="434"/>
        <v>0</v>
      </c>
      <c r="Y1840">
        <f t="shared" si="435"/>
        <v>1</v>
      </c>
      <c r="Z1840">
        <f t="shared" si="426"/>
        <v>0</v>
      </c>
      <c r="AA1840">
        <f t="shared" si="427"/>
        <v>0</v>
      </c>
      <c r="AB1840">
        <f t="shared" si="428"/>
        <v>0</v>
      </c>
      <c r="AC1840">
        <f t="shared" si="429"/>
        <v>5</v>
      </c>
      <c r="AD1840" s="1">
        <f t="shared" si="430"/>
        <v>5</v>
      </c>
      <c r="AE1840">
        <f t="shared" si="431"/>
        <v>10</v>
      </c>
      <c r="AF1840">
        <f t="shared" si="432"/>
        <v>10</v>
      </c>
      <c r="AG1840">
        <f t="shared" si="433"/>
        <v>10</v>
      </c>
    </row>
    <row r="1841" spans="1:33" x14ac:dyDescent="0.25">
      <c r="A1841" t="s">
        <v>2988</v>
      </c>
      <c r="B1841" t="s">
        <v>121</v>
      </c>
      <c r="C1841">
        <v>167048</v>
      </c>
      <c r="D1841">
        <v>167048</v>
      </c>
      <c r="H1841">
        <v>0</v>
      </c>
      <c r="I1841">
        <v>40</v>
      </c>
      <c r="J1841">
        <v>20</v>
      </c>
      <c r="K1841">
        <v>10</v>
      </c>
      <c r="L1841">
        <v>10</v>
      </c>
      <c r="M1841">
        <v>80</v>
      </c>
      <c r="S1841">
        <f t="shared" si="422"/>
        <v>0</v>
      </c>
      <c r="T1841">
        <f t="shared" si="423"/>
        <v>6.666666666666667</v>
      </c>
      <c r="U1841">
        <f t="shared" si="421"/>
        <v>1</v>
      </c>
      <c r="V1841">
        <f t="shared" si="424"/>
        <v>0</v>
      </c>
      <c r="W1841">
        <f t="shared" si="425"/>
        <v>1</v>
      </c>
      <c r="X1841">
        <f t="shared" si="434"/>
        <v>0</v>
      </c>
      <c r="Y1841">
        <f t="shared" si="435"/>
        <v>1</v>
      </c>
      <c r="Z1841">
        <f t="shared" si="426"/>
        <v>0</v>
      </c>
      <c r="AA1841">
        <f t="shared" si="427"/>
        <v>0</v>
      </c>
      <c r="AB1841">
        <f t="shared" si="428"/>
        <v>0</v>
      </c>
      <c r="AC1841">
        <f t="shared" si="429"/>
        <v>0</v>
      </c>
      <c r="AD1841" s="1">
        <f t="shared" si="430"/>
        <v>6.666666666666667</v>
      </c>
      <c r="AE1841">
        <f t="shared" si="431"/>
        <v>10</v>
      </c>
      <c r="AF1841">
        <f t="shared" si="432"/>
        <v>10</v>
      </c>
      <c r="AG1841">
        <f t="shared" si="433"/>
        <v>10</v>
      </c>
    </row>
    <row r="1842" spans="1:33" x14ac:dyDescent="0.25">
      <c r="A1842" t="s">
        <v>2989</v>
      </c>
      <c r="B1842" t="s">
        <v>689</v>
      </c>
      <c r="C1842">
        <v>165303</v>
      </c>
      <c r="D1842">
        <v>165303</v>
      </c>
      <c r="H1842">
        <v>10</v>
      </c>
      <c r="I1842">
        <v>50</v>
      </c>
      <c r="J1842">
        <v>10</v>
      </c>
      <c r="K1842">
        <v>10</v>
      </c>
      <c r="L1842">
        <v>0</v>
      </c>
      <c r="M1842">
        <v>80</v>
      </c>
      <c r="S1842">
        <f t="shared" si="422"/>
        <v>0</v>
      </c>
      <c r="T1842">
        <f t="shared" si="423"/>
        <v>6.666666666666667</v>
      </c>
      <c r="U1842">
        <f t="shared" si="421"/>
        <v>1</v>
      </c>
      <c r="V1842">
        <f t="shared" si="424"/>
        <v>0</v>
      </c>
      <c r="W1842">
        <f t="shared" si="425"/>
        <v>1</v>
      </c>
      <c r="X1842">
        <f t="shared" si="434"/>
        <v>0</v>
      </c>
      <c r="Y1842">
        <f t="shared" si="435"/>
        <v>1</v>
      </c>
      <c r="Z1842">
        <f t="shared" si="426"/>
        <v>0</v>
      </c>
      <c r="AA1842">
        <f t="shared" si="427"/>
        <v>0</v>
      </c>
      <c r="AB1842">
        <f t="shared" si="428"/>
        <v>0</v>
      </c>
      <c r="AC1842">
        <f t="shared" si="429"/>
        <v>5</v>
      </c>
      <c r="AD1842" s="1">
        <f t="shared" si="430"/>
        <v>8.3333333333333339</v>
      </c>
      <c r="AE1842">
        <f t="shared" si="431"/>
        <v>5</v>
      </c>
      <c r="AF1842">
        <f t="shared" si="432"/>
        <v>10</v>
      </c>
      <c r="AG1842">
        <f t="shared" si="433"/>
        <v>0</v>
      </c>
    </row>
    <row r="1843" spans="1:33" x14ac:dyDescent="0.25">
      <c r="A1843" t="s">
        <v>2990</v>
      </c>
      <c r="B1843" t="s">
        <v>2991</v>
      </c>
      <c r="C1843">
        <v>165438</v>
      </c>
      <c r="D1843">
        <v>165438</v>
      </c>
      <c r="H1843">
        <v>10</v>
      </c>
      <c r="I1843">
        <v>0</v>
      </c>
      <c r="J1843">
        <v>10</v>
      </c>
      <c r="K1843">
        <v>0</v>
      </c>
      <c r="L1843">
        <v>0</v>
      </c>
      <c r="M1843">
        <v>20</v>
      </c>
      <c r="S1843">
        <f t="shared" si="422"/>
        <v>0</v>
      </c>
      <c r="T1843">
        <f t="shared" si="423"/>
        <v>1.6666666666666667</v>
      </c>
      <c r="U1843">
        <f t="shared" si="421"/>
        <v>1</v>
      </c>
      <c r="V1843">
        <f t="shared" si="424"/>
        <v>0</v>
      </c>
      <c r="W1843">
        <f t="shared" si="425"/>
        <v>1</v>
      </c>
      <c r="X1843">
        <f t="shared" si="434"/>
        <v>0</v>
      </c>
      <c r="Y1843">
        <f t="shared" si="435"/>
        <v>0</v>
      </c>
      <c r="Z1843">
        <f t="shared" si="426"/>
        <v>0</v>
      </c>
      <c r="AA1843">
        <f t="shared" si="427"/>
        <v>0</v>
      </c>
      <c r="AB1843">
        <f t="shared" si="428"/>
        <v>0</v>
      </c>
      <c r="AC1843">
        <f t="shared" si="429"/>
        <v>5</v>
      </c>
      <c r="AD1843" s="1">
        <f t="shared" si="430"/>
        <v>0</v>
      </c>
      <c r="AE1843">
        <f t="shared" si="431"/>
        <v>5</v>
      </c>
      <c r="AF1843">
        <f t="shared" si="432"/>
        <v>0</v>
      </c>
      <c r="AG1843">
        <f t="shared" si="433"/>
        <v>0</v>
      </c>
    </row>
    <row r="1844" spans="1:33" x14ac:dyDescent="0.25">
      <c r="A1844" t="s">
        <v>2992</v>
      </c>
      <c r="B1844" t="s">
        <v>166</v>
      </c>
      <c r="C1844">
        <v>165275</v>
      </c>
      <c r="D1844">
        <v>165275</v>
      </c>
      <c r="E1844">
        <v>10</v>
      </c>
      <c r="F1844">
        <v>40</v>
      </c>
      <c r="G1844">
        <v>50</v>
      </c>
      <c r="O1844">
        <v>100</v>
      </c>
      <c r="S1844">
        <f t="shared" si="422"/>
        <v>6.25</v>
      </c>
      <c r="T1844">
        <f t="shared" si="423"/>
        <v>0</v>
      </c>
      <c r="U1844">
        <f t="shared" si="421"/>
        <v>1</v>
      </c>
      <c r="V1844">
        <f t="shared" si="424"/>
        <v>1</v>
      </c>
      <c r="W1844">
        <f t="shared" si="425"/>
        <v>0</v>
      </c>
      <c r="X1844">
        <f t="shared" si="434"/>
        <v>1</v>
      </c>
      <c r="Y1844">
        <f t="shared" si="435"/>
        <v>0</v>
      </c>
      <c r="Z1844">
        <f t="shared" si="426"/>
        <v>2</v>
      </c>
      <c r="AA1844">
        <f t="shared" si="427"/>
        <v>10</v>
      </c>
      <c r="AB1844">
        <f t="shared" si="428"/>
        <v>7.1428571428571432</v>
      </c>
      <c r="AC1844">
        <f t="shared" si="429"/>
        <v>0</v>
      </c>
      <c r="AD1844" s="1">
        <f t="shared" si="430"/>
        <v>0</v>
      </c>
      <c r="AE1844">
        <f t="shared" si="431"/>
        <v>0</v>
      </c>
      <c r="AF1844">
        <f t="shared" si="432"/>
        <v>0</v>
      </c>
      <c r="AG1844">
        <f t="shared" si="433"/>
        <v>0</v>
      </c>
    </row>
    <row r="1845" spans="1:33" x14ac:dyDescent="0.25">
      <c r="A1845" t="s">
        <v>2993</v>
      </c>
      <c r="B1845" t="s">
        <v>2994</v>
      </c>
      <c r="C1845">
        <v>168586</v>
      </c>
      <c r="D1845">
        <v>168586</v>
      </c>
      <c r="E1845">
        <v>20</v>
      </c>
      <c r="F1845">
        <v>30</v>
      </c>
      <c r="G1845">
        <v>30</v>
      </c>
      <c r="O1845">
        <v>80</v>
      </c>
      <c r="S1845">
        <f t="shared" si="422"/>
        <v>5</v>
      </c>
      <c r="T1845">
        <f t="shared" si="423"/>
        <v>0</v>
      </c>
      <c r="U1845">
        <f t="shared" si="421"/>
        <v>1</v>
      </c>
      <c r="V1845">
        <f t="shared" si="424"/>
        <v>1</v>
      </c>
      <c r="W1845">
        <f t="shared" si="425"/>
        <v>0</v>
      </c>
      <c r="X1845">
        <f t="shared" si="434"/>
        <v>0</v>
      </c>
      <c r="Y1845">
        <f t="shared" si="435"/>
        <v>0</v>
      </c>
      <c r="Z1845">
        <f t="shared" si="426"/>
        <v>4</v>
      </c>
      <c r="AA1845">
        <f t="shared" si="427"/>
        <v>7.5</v>
      </c>
      <c r="AB1845">
        <f t="shared" si="428"/>
        <v>4.2857142857142856</v>
      </c>
      <c r="AC1845">
        <f t="shared" si="429"/>
        <v>0</v>
      </c>
      <c r="AD1845" s="1">
        <f t="shared" si="430"/>
        <v>0</v>
      </c>
      <c r="AE1845">
        <f t="shared" si="431"/>
        <v>0</v>
      </c>
      <c r="AF1845">
        <f t="shared" si="432"/>
        <v>0</v>
      </c>
      <c r="AG1845">
        <f t="shared" si="433"/>
        <v>0</v>
      </c>
    </row>
    <row r="1846" spans="1:33" x14ac:dyDescent="0.25">
      <c r="A1846" t="s">
        <v>2995</v>
      </c>
      <c r="B1846" t="s">
        <v>2996</v>
      </c>
      <c r="C1846">
        <v>164607</v>
      </c>
      <c r="D1846">
        <v>164607</v>
      </c>
      <c r="S1846">
        <f t="shared" si="422"/>
        <v>0</v>
      </c>
      <c r="T1846">
        <f t="shared" si="423"/>
        <v>0</v>
      </c>
      <c r="U1846">
        <f t="shared" si="421"/>
        <v>0</v>
      </c>
      <c r="V1846">
        <f t="shared" si="424"/>
        <v>0</v>
      </c>
      <c r="W1846">
        <f t="shared" si="425"/>
        <v>0</v>
      </c>
      <c r="X1846">
        <f t="shared" si="434"/>
        <v>0</v>
      </c>
      <c r="Y1846">
        <f t="shared" si="435"/>
        <v>0</v>
      </c>
      <c r="Z1846">
        <f t="shared" si="426"/>
        <v>0</v>
      </c>
      <c r="AA1846">
        <f t="shared" si="427"/>
        <v>0</v>
      </c>
      <c r="AB1846">
        <f t="shared" si="428"/>
        <v>0</v>
      </c>
      <c r="AC1846">
        <f t="shared" si="429"/>
        <v>0</v>
      </c>
      <c r="AD1846" s="1">
        <f t="shared" si="430"/>
        <v>0</v>
      </c>
      <c r="AE1846">
        <f t="shared" si="431"/>
        <v>0</v>
      </c>
      <c r="AF1846">
        <f t="shared" si="432"/>
        <v>0</v>
      </c>
      <c r="AG1846">
        <f t="shared" si="433"/>
        <v>0</v>
      </c>
    </row>
    <row r="1847" spans="1:33" x14ac:dyDescent="0.25">
      <c r="A1847" t="s">
        <v>2997</v>
      </c>
      <c r="B1847" t="s">
        <v>1822</v>
      </c>
      <c r="C1847">
        <v>167219</v>
      </c>
      <c r="D1847">
        <v>167219</v>
      </c>
      <c r="S1847">
        <f t="shared" si="422"/>
        <v>0</v>
      </c>
      <c r="T1847">
        <f t="shared" si="423"/>
        <v>0</v>
      </c>
      <c r="U1847">
        <f t="shared" si="421"/>
        <v>0</v>
      </c>
      <c r="V1847">
        <f t="shared" si="424"/>
        <v>0</v>
      </c>
      <c r="W1847">
        <f t="shared" si="425"/>
        <v>0</v>
      </c>
      <c r="X1847">
        <f t="shared" si="434"/>
        <v>0</v>
      </c>
      <c r="Y1847">
        <f t="shared" si="435"/>
        <v>0</v>
      </c>
      <c r="Z1847">
        <f t="shared" si="426"/>
        <v>0</v>
      </c>
      <c r="AA1847">
        <f t="shared" si="427"/>
        <v>0</v>
      </c>
      <c r="AB1847">
        <f t="shared" si="428"/>
        <v>0</v>
      </c>
      <c r="AC1847">
        <f t="shared" si="429"/>
        <v>0</v>
      </c>
      <c r="AD1847" s="1">
        <f t="shared" si="430"/>
        <v>0</v>
      </c>
      <c r="AE1847">
        <f t="shared" si="431"/>
        <v>0</v>
      </c>
      <c r="AF1847">
        <f t="shared" si="432"/>
        <v>0</v>
      </c>
      <c r="AG1847">
        <f t="shared" si="433"/>
        <v>0</v>
      </c>
    </row>
    <row r="1848" spans="1:33" x14ac:dyDescent="0.25">
      <c r="A1848" t="s">
        <v>2998</v>
      </c>
      <c r="B1848" t="s">
        <v>2999</v>
      </c>
      <c r="C1848">
        <v>167308</v>
      </c>
      <c r="D1848">
        <v>167308</v>
      </c>
      <c r="H1848">
        <v>20</v>
      </c>
      <c r="I1848">
        <v>20</v>
      </c>
      <c r="J1848">
        <v>10</v>
      </c>
      <c r="K1848">
        <v>0</v>
      </c>
      <c r="L1848">
        <v>0</v>
      </c>
      <c r="M1848">
        <v>50</v>
      </c>
      <c r="S1848">
        <f t="shared" si="422"/>
        <v>0</v>
      </c>
      <c r="T1848">
        <f t="shared" si="423"/>
        <v>4.166666666666667</v>
      </c>
      <c r="U1848">
        <f t="shared" si="421"/>
        <v>1</v>
      </c>
      <c r="V1848">
        <f t="shared" si="424"/>
        <v>0</v>
      </c>
      <c r="W1848">
        <f t="shared" si="425"/>
        <v>1</v>
      </c>
      <c r="X1848">
        <f t="shared" si="434"/>
        <v>0</v>
      </c>
      <c r="Y1848">
        <f t="shared" si="435"/>
        <v>0</v>
      </c>
      <c r="Z1848">
        <f t="shared" si="426"/>
        <v>0</v>
      </c>
      <c r="AA1848">
        <f t="shared" si="427"/>
        <v>0</v>
      </c>
      <c r="AB1848">
        <f t="shared" si="428"/>
        <v>0</v>
      </c>
      <c r="AC1848">
        <f t="shared" si="429"/>
        <v>10</v>
      </c>
      <c r="AD1848" s="1">
        <f t="shared" si="430"/>
        <v>3.3333333333333335</v>
      </c>
      <c r="AE1848">
        <f t="shared" si="431"/>
        <v>5</v>
      </c>
      <c r="AF1848">
        <f t="shared" si="432"/>
        <v>0</v>
      </c>
      <c r="AG1848">
        <f t="shared" si="433"/>
        <v>0</v>
      </c>
    </row>
    <row r="1849" spans="1:33" x14ac:dyDescent="0.25">
      <c r="A1849" t="s">
        <v>3000</v>
      </c>
      <c r="B1849" t="s">
        <v>79</v>
      </c>
      <c r="C1849">
        <v>165599</v>
      </c>
      <c r="D1849">
        <v>165599</v>
      </c>
      <c r="H1849">
        <v>10</v>
      </c>
      <c r="I1849">
        <v>20</v>
      </c>
      <c r="J1849">
        <v>10</v>
      </c>
      <c r="K1849">
        <v>10</v>
      </c>
      <c r="L1849">
        <v>0</v>
      </c>
      <c r="M1849">
        <v>50</v>
      </c>
      <c r="S1849">
        <f t="shared" si="422"/>
        <v>0</v>
      </c>
      <c r="T1849">
        <f t="shared" si="423"/>
        <v>4.166666666666667</v>
      </c>
      <c r="U1849">
        <f t="shared" si="421"/>
        <v>1</v>
      </c>
      <c r="V1849">
        <f t="shared" si="424"/>
        <v>0</v>
      </c>
      <c r="W1849">
        <f t="shared" si="425"/>
        <v>1</v>
      </c>
      <c r="X1849">
        <f t="shared" si="434"/>
        <v>0</v>
      </c>
      <c r="Y1849">
        <f t="shared" si="435"/>
        <v>0</v>
      </c>
      <c r="Z1849">
        <f t="shared" si="426"/>
        <v>0</v>
      </c>
      <c r="AA1849">
        <f t="shared" si="427"/>
        <v>0</v>
      </c>
      <c r="AB1849">
        <f t="shared" si="428"/>
        <v>0</v>
      </c>
      <c r="AC1849">
        <f t="shared" si="429"/>
        <v>5</v>
      </c>
      <c r="AD1849" s="1">
        <f t="shared" si="430"/>
        <v>3.3333333333333335</v>
      </c>
      <c r="AE1849">
        <f t="shared" si="431"/>
        <v>5</v>
      </c>
      <c r="AF1849">
        <f t="shared" si="432"/>
        <v>10</v>
      </c>
      <c r="AG1849">
        <f t="shared" si="433"/>
        <v>0</v>
      </c>
    </row>
    <row r="1850" spans="1:33" x14ac:dyDescent="0.25">
      <c r="A1850" t="s">
        <v>3001</v>
      </c>
      <c r="B1850" t="s">
        <v>3002</v>
      </c>
      <c r="C1850">
        <v>167083</v>
      </c>
      <c r="D1850">
        <v>167083</v>
      </c>
      <c r="H1850">
        <v>20</v>
      </c>
      <c r="I1850">
        <v>20</v>
      </c>
      <c r="J1850">
        <v>20</v>
      </c>
      <c r="K1850">
        <v>10</v>
      </c>
      <c r="L1850">
        <v>10</v>
      </c>
      <c r="M1850">
        <v>80</v>
      </c>
      <c r="S1850">
        <f t="shared" si="422"/>
        <v>0</v>
      </c>
      <c r="T1850">
        <f t="shared" si="423"/>
        <v>6.666666666666667</v>
      </c>
      <c r="U1850">
        <f t="shared" si="421"/>
        <v>1</v>
      </c>
      <c r="V1850">
        <f t="shared" si="424"/>
        <v>0</v>
      </c>
      <c r="W1850">
        <f t="shared" si="425"/>
        <v>1</v>
      </c>
      <c r="X1850">
        <f t="shared" si="434"/>
        <v>0</v>
      </c>
      <c r="Y1850">
        <f t="shared" si="435"/>
        <v>1</v>
      </c>
      <c r="Z1850">
        <f t="shared" si="426"/>
        <v>0</v>
      </c>
      <c r="AA1850">
        <f t="shared" si="427"/>
        <v>0</v>
      </c>
      <c r="AB1850">
        <f t="shared" si="428"/>
        <v>0</v>
      </c>
      <c r="AC1850">
        <f t="shared" si="429"/>
        <v>10</v>
      </c>
      <c r="AD1850" s="1">
        <f t="shared" si="430"/>
        <v>3.3333333333333335</v>
      </c>
      <c r="AE1850">
        <f t="shared" si="431"/>
        <v>10</v>
      </c>
      <c r="AF1850">
        <f t="shared" si="432"/>
        <v>10</v>
      </c>
      <c r="AG1850">
        <f t="shared" si="433"/>
        <v>10</v>
      </c>
    </row>
    <row r="1851" spans="1:33" x14ac:dyDescent="0.25">
      <c r="A1851" t="s">
        <v>3003</v>
      </c>
      <c r="B1851" t="s">
        <v>1308</v>
      </c>
      <c r="C1851">
        <v>163593</v>
      </c>
      <c r="D1851">
        <v>163593</v>
      </c>
      <c r="E1851">
        <v>30</v>
      </c>
      <c r="F1851">
        <v>0</v>
      </c>
      <c r="G1851">
        <v>50</v>
      </c>
      <c r="O1851">
        <v>80</v>
      </c>
      <c r="S1851">
        <f t="shared" si="422"/>
        <v>5</v>
      </c>
      <c r="T1851">
        <f t="shared" si="423"/>
        <v>0</v>
      </c>
      <c r="U1851">
        <f t="shared" si="421"/>
        <v>1</v>
      </c>
      <c r="V1851">
        <f t="shared" si="424"/>
        <v>1</v>
      </c>
      <c r="W1851">
        <f t="shared" si="425"/>
        <v>0</v>
      </c>
      <c r="X1851">
        <f t="shared" si="434"/>
        <v>0</v>
      </c>
      <c r="Y1851">
        <f t="shared" si="435"/>
        <v>0</v>
      </c>
      <c r="Z1851">
        <f t="shared" si="426"/>
        <v>6</v>
      </c>
      <c r="AA1851">
        <f t="shared" si="427"/>
        <v>0</v>
      </c>
      <c r="AB1851">
        <f t="shared" si="428"/>
        <v>7.1428571428571432</v>
      </c>
      <c r="AC1851">
        <f t="shared" si="429"/>
        <v>0</v>
      </c>
      <c r="AD1851" s="1">
        <f t="shared" si="430"/>
        <v>0</v>
      </c>
      <c r="AE1851">
        <f t="shared" si="431"/>
        <v>0</v>
      </c>
      <c r="AF1851">
        <f t="shared" si="432"/>
        <v>0</v>
      </c>
      <c r="AG1851">
        <f t="shared" si="433"/>
        <v>0</v>
      </c>
    </row>
    <row r="1852" spans="1:33" x14ac:dyDescent="0.25">
      <c r="A1852" t="s">
        <v>3004</v>
      </c>
      <c r="B1852" t="s">
        <v>3005</v>
      </c>
      <c r="C1852">
        <v>166177</v>
      </c>
      <c r="D1852">
        <v>166177</v>
      </c>
      <c r="E1852">
        <v>0</v>
      </c>
      <c r="F1852">
        <v>10</v>
      </c>
      <c r="G1852">
        <v>0</v>
      </c>
      <c r="O1852">
        <v>10</v>
      </c>
      <c r="S1852">
        <f t="shared" si="422"/>
        <v>0.625</v>
      </c>
      <c r="T1852">
        <f t="shared" si="423"/>
        <v>0</v>
      </c>
      <c r="U1852">
        <f t="shared" si="421"/>
        <v>1</v>
      </c>
      <c r="V1852">
        <f t="shared" si="424"/>
        <v>1</v>
      </c>
      <c r="W1852">
        <f t="shared" si="425"/>
        <v>0</v>
      </c>
      <c r="X1852">
        <f t="shared" si="434"/>
        <v>0</v>
      </c>
      <c r="Y1852">
        <f t="shared" si="435"/>
        <v>0</v>
      </c>
      <c r="Z1852">
        <f t="shared" si="426"/>
        <v>0</v>
      </c>
      <c r="AA1852">
        <f t="shared" si="427"/>
        <v>2.5</v>
      </c>
      <c r="AB1852">
        <f t="shared" si="428"/>
        <v>0</v>
      </c>
      <c r="AC1852">
        <f t="shared" si="429"/>
        <v>0</v>
      </c>
      <c r="AD1852" s="1">
        <f t="shared" si="430"/>
        <v>0</v>
      </c>
      <c r="AE1852">
        <f t="shared" si="431"/>
        <v>0</v>
      </c>
      <c r="AF1852">
        <f t="shared" si="432"/>
        <v>0</v>
      </c>
      <c r="AG1852">
        <f t="shared" si="433"/>
        <v>0</v>
      </c>
    </row>
    <row r="1853" spans="1:33" x14ac:dyDescent="0.25">
      <c r="A1853" t="s">
        <v>3006</v>
      </c>
      <c r="B1853" t="s">
        <v>3007</v>
      </c>
      <c r="C1853">
        <v>164990</v>
      </c>
      <c r="D1853">
        <v>164990</v>
      </c>
      <c r="E1853">
        <v>50</v>
      </c>
      <c r="F1853">
        <v>40</v>
      </c>
      <c r="G1853">
        <v>50</v>
      </c>
      <c r="O1853">
        <v>140</v>
      </c>
      <c r="S1853">
        <f t="shared" si="422"/>
        <v>8.75</v>
      </c>
      <c r="T1853">
        <f t="shared" si="423"/>
        <v>0</v>
      </c>
      <c r="U1853">
        <f t="shared" si="421"/>
        <v>1</v>
      </c>
      <c r="V1853">
        <f t="shared" si="424"/>
        <v>1</v>
      </c>
      <c r="W1853">
        <f t="shared" si="425"/>
        <v>0</v>
      </c>
      <c r="X1853">
        <f t="shared" si="434"/>
        <v>1</v>
      </c>
      <c r="Y1853">
        <f t="shared" si="435"/>
        <v>0</v>
      </c>
      <c r="Z1853">
        <f t="shared" si="426"/>
        <v>10</v>
      </c>
      <c r="AA1853">
        <f t="shared" si="427"/>
        <v>10</v>
      </c>
      <c r="AB1853">
        <f t="shared" si="428"/>
        <v>7.1428571428571432</v>
      </c>
      <c r="AC1853">
        <f t="shared" si="429"/>
        <v>0</v>
      </c>
      <c r="AD1853" s="1">
        <f t="shared" si="430"/>
        <v>0</v>
      </c>
      <c r="AE1853">
        <f t="shared" si="431"/>
        <v>0</v>
      </c>
      <c r="AF1853">
        <f t="shared" si="432"/>
        <v>0</v>
      </c>
      <c r="AG1853">
        <f t="shared" si="433"/>
        <v>0</v>
      </c>
    </row>
    <row r="1854" spans="1:33" x14ac:dyDescent="0.25">
      <c r="A1854" t="s">
        <v>3008</v>
      </c>
      <c r="B1854" t="s">
        <v>3009</v>
      </c>
      <c r="C1854">
        <v>167879</v>
      </c>
      <c r="D1854">
        <v>167879</v>
      </c>
      <c r="S1854">
        <f t="shared" si="422"/>
        <v>0</v>
      </c>
      <c r="T1854">
        <f t="shared" si="423"/>
        <v>0</v>
      </c>
      <c r="U1854">
        <f t="shared" si="421"/>
        <v>0</v>
      </c>
      <c r="V1854">
        <f t="shared" si="424"/>
        <v>0</v>
      </c>
      <c r="W1854">
        <f t="shared" si="425"/>
        <v>0</v>
      </c>
      <c r="X1854">
        <f t="shared" si="434"/>
        <v>0</v>
      </c>
      <c r="Y1854">
        <f t="shared" si="435"/>
        <v>0</v>
      </c>
      <c r="Z1854">
        <f t="shared" si="426"/>
        <v>0</v>
      </c>
      <c r="AA1854">
        <f t="shared" si="427"/>
        <v>0</v>
      </c>
      <c r="AB1854">
        <f t="shared" si="428"/>
        <v>0</v>
      </c>
      <c r="AC1854">
        <f t="shared" si="429"/>
        <v>0</v>
      </c>
      <c r="AD1854" s="1">
        <f t="shared" si="430"/>
        <v>0</v>
      </c>
      <c r="AE1854">
        <f t="shared" si="431"/>
        <v>0</v>
      </c>
      <c r="AF1854">
        <f t="shared" si="432"/>
        <v>0</v>
      </c>
      <c r="AG1854">
        <f t="shared" si="433"/>
        <v>0</v>
      </c>
    </row>
    <row r="1855" spans="1:33" x14ac:dyDescent="0.25">
      <c r="A1855" t="s">
        <v>3010</v>
      </c>
      <c r="B1855" t="s">
        <v>3011</v>
      </c>
      <c r="C1855">
        <v>168092</v>
      </c>
      <c r="D1855">
        <v>168092</v>
      </c>
      <c r="E1855">
        <v>20</v>
      </c>
      <c r="F1855">
        <v>30</v>
      </c>
      <c r="G1855">
        <v>30</v>
      </c>
      <c r="O1855">
        <v>80</v>
      </c>
      <c r="S1855">
        <f t="shared" si="422"/>
        <v>5</v>
      </c>
      <c r="T1855">
        <f t="shared" si="423"/>
        <v>0</v>
      </c>
      <c r="U1855">
        <f t="shared" si="421"/>
        <v>1</v>
      </c>
      <c r="V1855">
        <f t="shared" si="424"/>
        <v>1</v>
      </c>
      <c r="W1855">
        <f t="shared" si="425"/>
        <v>0</v>
      </c>
      <c r="X1855">
        <f t="shared" si="434"/>
        <v>0</v>
      </c>
      <c r="Y1855">
        <f t="shared" si="435"/>
        <v>0</v>
      </c>
      <c r="Z1855">
        <f t="shared" si="426"/>
        <v>4</v>
      </c>
      <c r="AA1855">
        <f t="shared" si="427"/>
        <v>7.5</v>
      </c>
      <c r="AB1855">
        <f t="shared" si="428"/>
        <v>4.2857142857142856</v>
      </c>
      <c r="AC1855">
        <f t="shared" si="429"/>
        <v>0</v>
      </c>
      <c r="AD1855" s="1">
        <f t="shared" si="430"/>
        <v>0</v>
      </c>
      <c r="AE1855">
        <f t="shared" si="431"/>
        <v>0</v>
      </c>
      <c r="AF1855">
        <f t="shared" si="432"/>
        <v>0</v>
      </c>
      <c r="AG1855">
        <f t="shared" si="433"/>
        <v>0</v>
      </c>
    </row>
    <row r="1856" spans="1:33" x14ac:dyDescent="0.25">
      <c r="A1856" t="s">
        <v>3012</v>
      </c>
      <c r="B1856" t="s">
        <v>340</v>
      </c>
      <c r="C1856">
        <v>166557</v>
      </c>
      <c r="D1856">
        <v>166557</v>
      </c>
      <c r="E1856">
        <v>20</v>
      </c>
      <c r="F1856">
        <v>10</v>
      </c>
      <c r="G1856">
        <v>40</v>
      </c>
      <c r="O1856">
        <v>70</v>
      </c>
      <c r="S1856">
        <f t="shared" si="422"/>
        <v>4.375</v>
      </c>
      <c r="T1856">
        <f t="shared" si="423"/>
        <v>0</v>
      </c>
      <c r="U1856">
        <f t="shared" si="421"/>
        <v>1</v>
      </c>
      <c r="V1856">
        <f t="shared" si="424"/>
        <v>1</v>
      </c>
      <c r="W1856">
        <f t="shared" si="425"/>
        <v>0</v>
      </c>
      <c r="X1856">
        <f t="shared" si="434"/>
        <v>0</v>
      </c>
      <c r="Y1856">
        <f t="shared" si="435"/>
        <v>0</v>
      </c>
      <c r="Z1856">
        <f t="shared" si="426"/>
        <v>4</v>
      </c>
      <c r="AA1856">
        <f t="shared" si="427"/>
        <v>2.5</v>
      </c>
      <c r="AB1856">
        <f t="shared" si="428"/>
        <v>5.7142857142857144</v>
      </c>
      <c r="AC1856">
        <f t="shared" si="429"/>
        <v>0</v>
      </c>
      <c r="AD1856" s="1">
        <f t="shared" si="430"/>
        <v>0</v>
      </c>
      <c r="AE1856">
        <f t="shared" si="431"/>
        <v>0</v>
      </c>
      <c r="AF1856">
        <f t="shared" si="432"/>
        <v>0</v>
      </c>
      <c r="AG1856">
        <f t="shared" si="433"/>
        <v>0</v>
      </c>
    </row>
    <row r="1857" spans="1:33" x14ac:dyDescent="0.25">
      <c r="A1857" t="s">
        <v>3013</v>
      </c>
      <c r="B1857" t="s">
        <v>3014</v>
      </c>
      <c r="C1857">
        <v>164839</v>
      </c>
      <c r="D1857">
        <v>164839</v>
      </c>
      <c r="E1857">
        <v>20</v>
      </c>
      <c r="F1857">
        <v>30</v>
      </c>
      <c r="G1857">
        <v>30</v>
      </c>
      <c r="O1857">
        <v>80</v>
      </c>
      <c r="S1857">
        <f t="shared" si="422"/>
        <v>5</v>
      </c>
      <c r="T1857">
        <f t="shared" si="423"/>
        <v>0</v>
      </c>
      <c r="U1857">
        <f t="shared" si="421"/>
        <v>1</v>
      </c>
      <c r="V1857">
        <f t="shared" si="424"/>
        <v>1</v>
      </c>
      <c r="W1857">
        <f t="shared" si="425"/>
        <v>0</v>
      </c>
      <c r="X1857">
        <f t="shared" si="434"/>
        <v>0</v>
      </c>
      <c r="Y1857">
        <f t="shared" si="435"/>
        <v>0</v>
      </c>
      <c r="Z1857">
        <f t="shared" si="426"/>
        <v>4</v>
      </c>
      <c r="AA1857">
        <f t="shared" si="427"/>
        <v>7.5</v>
      </c>
      <c r="AB1857">
        <f t="shared" si="428"/>
        <v>4.2857142857142856</v>
      </c>
      <c r="AC1857">
        <f t="shared" si="429"/>
        <v>0</v>
      </c>
      <c r="AD1857" s="1">
        <f t="shared" si="430"/>
        <v>0</v>
      </c>
      <c r="AE1857">
        <f t="shared" si="431"/>
        <v>0</v>
      </c>
      <c r="AF1857">
        <f t="shared" si="432"/>
        <v>0</v>
      </c>
      <c r="AG1857">
        <f t="shared" si="433"/>
        <v>0</v>
      </c>
    </row>
    <row r="1858" spans="1:33" x14ac:dyDescent="0.25">
      <c r="A1858" t="s">
        <v>3015</v>
      </c>
      <c r="B1858" t="s">
        <v>2046</v>
      </c>
      <c r="C1858">
        <v>167746</v>
      </c>
      <c r="D1858">
        <v>167746</v>
      </c>
      <c r="E1858">
        <v>0</v>
      </c>
      <c r="F1858">
        <v>10</v>
      </c>
      <c r="G1858">
        <v>20</v>
      </c>
      <c r="O1858">
        <v>30</v>
      </c>
      <c r="S1858">
        <f t="shared" si="422"/>
        <v>1.875</v>
      </c>
      <c r="T1858">
        <f t="shared" si="423"/>
        <v>0</v>
      </c>
      <c r="U1858">
        <f t="shared" ref="U1858:U1921" si="436">IF(AND(E1858="",F1858="",G1858="",H1858="",I1858="",J1858="",K1858="",L1858="",M1858=""),0,1)</f>
        <v>1</v>
      </c>
      <c r="V1858">
        <f t="shared" si="424"/>
        <v>1</v>
      </c>
      <c r="W1858">
        <f t="shared" si="425"/>
        <v>0</v>
      </c>
      <c r="X1858">
        <f t="shared" si="434"/>
        <v>0</v>
      </c>
      <c r="Y1858">
        <f t="shared" si="435"/>
        <v>0</v>
      </c>
      <c r="Z1858">
        <f t="shared" si="426"/>
        <v>0</v>
      </c>
      <c r="AA1858">
        <f t="shared" si="427"/>
        <v>2.5</v>
      </c>
      <c r="AB1858">
        <f t="shared" si="428"/>
        <v>2.8571428571428572</v>
      </c>
      <c r="AC1858">
        <f t="shared" si="429"/>
        <v>0</v>
      </c>
      <c r="AD1858" s="1">
        <f t="shared" si="430"/>
        <v>0</v>
      </c>
      <c r="AE1858">
        <f t="shared" si="431"/>
        <v>0</v>
      </c>
      <c r="AF1858">
        <f t="shared" si="432"/>
        <v>0</v>
      </c>
      <c r="AG1858">
        <f t="shared" si="433"/>
        <v>0</v>
      </c>
    </row>
    <row r="1859" spans="1:33" x14ac:dyDescent="0.25">
      <c r="A1859" t="s">
        <v>3016</v>
      </c>
      <c r="B1859" t="s">
        <v>3017</v>
      </c>
      <c r="C1859">
        <v>168145</v>
      </c>
      <c r="D1859">
        <v>168145</v>
      </c>
      <c r="H1859">
        <v>0</v>
      </c>
      <c r="I1859">
        <v>30</v>
      </c>
      <c r="J1859">
        <v>10</v>
      </c>
      <c r="K1859">
        <v>0</v>
      </c>
      <c r="L1859">
        <v>0</v>
      </c>
      <c r="M1859">
        <v>40</v>
      </c>
      <c r="S1859">
        <f t="shared" ref="S1859:S1922" si="437">O1859/16</f>
        <v>0</v>
      </c>
      <c r="T1859">
        <f t="shared" ref="T1859:T1922" si="438">M1859/12</f>
        <v>3.3333333333333335</v>
      </c>
      <c r="U1859">
        <f t="shared" si="436"/>
        <v>1</v>
      </c>
      <c r="V1859">
        <f t="shared" ref="V1859:V1922" si="439">IF(O1859="",0,1)</f>
        <v>0</v>
      </c>
      <c r="W1859">
        <f t="shared" ref="W1859:W1922" si="440">IF(M1859="",0,1)</f>
        <v>1</v>
      </c>
      <c r="X1859">
        <f t="shared" si="434"/>
        <v>0</v>
      </c>
      <c r="Y1859">
        <f t="shared" si="435"/>
        <v>0</v>
      </c>
      <c r="Z1859">
        <f t="shared" ref="Z1859:Z1922" si="441">E1859/5</f>
        <v>0</v>
      </c>
      <c r="AA1859">
        <f t="shared" ref="AA1859:AA1922" si="442">F1859/4</f>
        <v>0</v>
      </c>
      <c r="AB1859">
        <f t="shared" ref="AB1859:AB1922" si="443">G1859/7</f>
        <v>0</v>
      </c>
      <c r="AC1859">
        <f t="shared" ref="AC1859:AC1922" si="444">H1859/2</f>
        <v>0</v>
      </c>
      <c r="AD1859" s="1">
        <f t="shared" ref="AD1859:AD1922" si="445">I1859/6</f>
        <v>5</v>
      </c>
      <c r="AE1859">
        <f t="shared" ref="AE1859:AE1922" si="446">J1859/2</f>
        <v>5</v>
      </c>
      <c r="AF1859">
        <f t="shared" ref="AF1859:AF1922" si="447">K1859</f>
        <v>0</v>
      </c>
      <c r="AG1859">
        <f t="shared" ref="AG1859:AG1922" si="448">L1859</f>
        <v>0</v>
      </c>
    </row>
    <row r="1860" spans="1:33" x14ac:dyDescent="0.25">
      <c r="A1860" t="s">
        <v>3018</v>
      </c>
      <c r="B1860" t="s">
        <v>3019</v>
      </c>
      <c r="C1860">
        <v>168606</v>
      </c>
      <c r="D1860">
        <v>168606</v>
      </c>
      <c r="S1860">
        <f t="shared" si="437"/>
        <v>0</v>
      </c>
      <c r="T1860">
        <f t="shared" si="438"/>
        <v>0</v>
      </c>
      <c r="U1860">
        <f t="shared" si="436"/>
        <v>0</v>
      </c>
      <c r="V1860">
        <f t="shared" si="439"/>
        <v>0</v>
      </c>
      <c r="W1860">
        <f t="shared" si="440"/>
        <v>0</v>
      </c>
      <c r="X1860">
        <f t="shared" si="434"/>
        <v>0</v>
      </c>
      <c r="Y1860">
        <f t="shared" si="435"/>
        <v>0</v>
      </c>
      <c r="Z1860">
        <f t="shared" si="441"/>
        <v>0</v>
      </c>
      <c r="AA1860">
        <f t="shared" si="442"/>
        <v>0</v>
      </c>
      <c r="AB1860">
        <f t="shared" si="443"/>
        <v>0</v>
      </c>
      <c r="AC1860">
        <f t="shared" si="444"/>
        <v>0</v>
      </c>
      <c r="AD1860" s="1">
        <f t="shared" si="445"/>
        <v>0</v>
      </c>
      <c r="AE1860">
        <f t="shared" si="446"/>
        <v>0</v>
      </c>
      <c r="AF1860">
        <f t="shared" si="447"/>
        <v>0</v>
      </c>
      <c r="AG1860">
        <f t="shared" si="448"/>
        <v>0</v>
      </c>
    </row>
    <row r="1861" spans="1:33" x14ac:dyDescent="0.25">
      <c r="A1861" t="s">
        <v>3020</v>
      </c>
      <c r="B1861" t="s">
        <v>122</v>
      </c>
      <c r="C1861">
        <v>166367</v>
      </c>
      <c r="D1861">
        <v>166367</v>
      </c>
      <c r="H1861">
        <v>10</v>
      </c>
      <c r="I1861">
        <v>30</v>
      </c>
      <c r="J1861">
        <v>10</v>
      </c>
      <c r="K1861">
        <v>10</v>
      </c>
      <c r="L1861">
        <v>0</v>
      </c>
      <c r="M1861">
        <v>60</v>
      </c>
      <c r="S1861">
        <f t="shared" si="437"/>
        <v>0</v>
      </c>
      <c r="T1861">
        <f t="shared" si="438"/>
        <v>5</v>
      </c>
      <c r="U1861">
        <f t="shared" si="436"/>
        <v>1</v>
      </c>
      <c r="V1861">
        <f t="shared" si="439"/>
        <v>0</v>
      </c>
      <c r="W1861">
        <f t="shared" si="440"/>
        <v>1</v>
      </c>
      <c r="X1861">
        <f t="shared" ref="X1861:X1924" si="449">IF(AND(V1861=1,S1861&gt;6),1,0)</f>
        <v>0</v>
      </c>
      <c r="Y1861">
        <f t="shared" ref="Y1861:Y1924" si="450">IF(AND(W1861=1,T1861&gt;6),1,0)</f>
        <v>0</v>
      </c>
      <c r="Z1861">
        <f t="shared" si="441"/>
        <v>0</v>
      </c>
      <c r="AA1861">
        <f t="shared" si="442"/>
        <v>0</v>
      </c>
      <c r="AB1861">
        <f t="shared" si="443"/>
        <v>0</v>
      </c>
      <c r="AC1861">
        <f t="shared" si="444"/>
        <v>5</v>
      </c>
      <c r="AD1861" s="1">
        <f t="shared" si="445"/>
        <v>5</v>
      </c>
      <c r="AE1861">
        <f t="shared" si="446"/>
        <v>5</v>
      </c>
      <c r="AF1861">
        <f t="shared" si="447"/>
        <v>10</v>
      </c>
      <c r="AG1861">
        <f t="shared" si="448"/>
        <v>0</v>
      </c>
    </row>
    <row r="1862" spans="1:33" x14ac:dyDescent="0.25">
      <c r="A1862" t="s">
        <v>3021</v>
      </c>
      <c r="B1862" t="s">
        <v>3022</v>
      </c>
      <c r="C1862">
        <v>164379</v>
      </c>
      <c r="D1862">
        <v>164379</v>
      </c>
      <c r="E1862">
        <v>30</v>
      </c>
      <c r="F1862">
        <v>0</v>
      </c>
      <c r="G1862">
        <v>30</v>
      </c>
      <c r="O1862">
        <v>60</v>
      </c>
      <c r="S1862">
        <f t="shared" si="437"/>
        <v>3.75</v>
      </c>
      <c r="T1862">
        <f t="shared" si="438"/>
        <v>0</v>
      </c>
      <c r="U1862">
        <f t="shared" si="436"/>
        <v>1</v>
      </c>
      <c r="V1862">
        <f t="shared" si="439"/>
        <v>1</v>
      </c>
      <c r="W1862">
        <f t="shared" si="440"/>
        <v>0</v>
      </c>
      <c r="X1862">
        <f t="shared" si="449"/>
        <v>0</v>
      </c>
      <c r="Y1862">
        <f t="shared" si="450"/>
        <v>0</v>
      </c>
      <c r="Z1862">
        <f t="shared" si="441"/>
        <v>6</v>
      </c>
      <c r="AA1862">
        <f t="shared" si="442"/>
        <v>0</v>
      </c>
      <c r="AB1862">
        <f t="shared" si="443"/>
        <v>4.2857142857142856</v>
      </c>
      <c r="AC1862">
        <f t="shared" si="444"/>
        <v>0</v>
      </c>
      <c r="AD1862" s="1">
        <f t="shared" si="445"/>
        <v>0</v>
      </c>
      <c r="AE1862">
        <f t="shared" si="446"/>
        <v>0</v>
      </c>
      <c r="AF1862">
        <f t="shared" si="447"/>
        <v>0</v>
      </c>
      <c r="AG1862">
        <f t="shared" si="448"/>
        <v>0</v>
      </c>
    </row>
    <row r="1863" spans="1:33" x14ac:dyDescent="0.25">
      <c r="A1863" t="s">
        <v>3023</v>
      </c>
      <c r="B1863" t="s">
        <v>3024</v>
      </c>
      <c r="C1863">
        <v>165055</v>
      </c>
      <c r="D1863">
        <v>165055</v>
      </c>
      <c r="S1863">
        <f t="shared" si="437"/>
        <v>0</v>
      </c>
      <c r="T1863">
        <f t="shared" si="438"/>
        <v>0</v>
      </c>
      <c r="U1863">
        <f t="shared" si="436"/>
        <v>0</v>
      </c>
      <c r="V1863">
        <f t="shared" si="439"/>
        <v>0</v>
      </c>
      <c r="W1863">
        <f t="shared" si="440"/>
        <v>0</v>
      </c>
      <c r="X1863">
        <f t="shared" si="449"/>
        <v>0</v>
      </c>
      <c r="Y1863">
        <f t="shared" si="450"/>
        <v>0</v>
      </c>
      <c r="Z1863">
        <f t="shared" si="441"/>
        <v>0</v>
      </c>
      <c r="AA1863">
        <f t="shared" si="442"/>
        <v>0</v>
      </c>
      <c r="AB1863">
        <f t="shared" si="443"/>
        <v>0</v>
      </c>
      <c r="AC1863">
        <f t="shared" si="444"/>
        <v>0</v>
      </c>
      <c r="AD1863" s="1">
        <f t="shared" si="445"/>
        <v>0</v>
      </c>
      <c r="AE1863">
        <f t="shared" si="446"/>
        <v>0</v>
      </c>
      <c r="AF1863">
        <f t="shared" si="447"/>
        <v>0</v>
      </c>
      <c r="AG1863">
        <f t="shared" si="448"/>
        <v>0</v>
      </c>
    </row>
    <row r="1864" spans="1:33" x14ac:dyDescent="0.25">
      <c r="A1864" t="s">
        <v>3025</v>
      </c>
      <c r="B1864" t="s">
        <v>3026</v>
      </c>
      <c r="C1864">
        <v>168583</v>
      </c>
      <c r="D1864">
        <v>168583</v>
      </c>
      <c r="H1864">
        <v>10</v>
      </c>
      <c r="I1864">
        <v>30</v>
      </c>
      <c r="J1864">
        <v>10</v>
      </c>
      <c r="K1864">
        <v>10</v>
      </c>
      <c r="L1864">
        <v>10</v>
      </c>
      <c r="M1864">
        <v>70</v>
      </c>
      <c r="S1864">
        <f t="shared" si="437"/>
        <v>0</v>
      </c>
      <c r="T1864">
        <f t="shared" si="438"/>
        <v>5.833333333333333</v>
      </c>
      <c r="U1864">
        <f t="shared" si="436"/>
        <v>1</v>
      </c>
      <c r="V1864">
        <f t="shared" si="439"/>
        <v>0</v>
      </c>
      <c r="W1864">
        <f t="shared" si="440"/>
        <v>1</v>
      </c>
      <c r="X1864">
        <f t="shared" si="449"/>
        <v>0</v>
      </c>
      <c r="Y1864">
        <f t="shared" si="450"/>
        <v>0</v>
      </c>
      <c r="Z1864">
        <f t="shared" si="441"/>
        <v>0</v>
      </c>
      <c r="AA1864">
        <f t="shared" si="442"/>
        <v>0</v>
      </c>
      <c r="AB1864">
        <f t="shared" si="443"/>
        <v>0</v>
      </c>
      <c r="AC1864">
        <f t="shared" si="444"/>
        <v>5</v>
      </c>
      <c r="AD1864" s="1">
        <f t="shared" si="445"/>
        <v>5</v>
      </c>
      <c r="AE1864">
        <f t="shared" si="446"/>
        <v>5</v>
      </c>
      <c r="AF1864">
        <f t="shared" si="447"/>
        <v>10</v>
      </c>
      <c r="AG1864">
        <f t="shared" si="448"/>
        <v>10</v>
      </c>
    </row>
    <row r="1865" spans="1:33" x14ac:dyDescent="0.25">
      <c r="A1865" t="s">
        <v>3027</v>
      </c>
      <c r="B1865" t="s">
        <v>3028</v>
      </c>
      <c r="C1865">
        <v>166748</v>
      </c>
      <c r="D1865">
        <v>166748</v>
      </c>
      <c r="E1865">
        <v>50</v>
      </c>
      <c r="F1865">
        <v>40</v>
      </c>
      <c r="G1865">
        <v>40</v>
      </c>
      <c r="O1865">
        <v>130</v>
      </c>
      <c r="S1865">
        <f t="shared" si="437"/>
        <v>8.125</v>
      </c>
      <c r="T1865">
        <f t="shared" si="438"/>
        <v>0</v>
      </c>
      <c r="U1865">
        <f t="shared" si="436"/>
        <v>1</v>
      </c>
      <c r="V1865">
        <f t="shared" si="439"/>
        <v>1</v>
      </c>
      <c r="W1865">
        <f t="shared" si="440"/>
        <v>0</v>
      </c>
      <c r="X1865">
        <f t="shared" si="449"/>
        <v>1</v>
      </c>
      <c r="Y1865">
        <f t="shared" si="450"/>
        <v>0</v>
      </c>
      <c r="Z1865">
        <f t="shared" si="441"/>
        <v>10</v>
      </c>
      <c r="AA1865">
        <f t="shared" si="442"/>
        <v>10</v>
      </c>
      <c r="AB1865">
        <f t="shared" si="443"/>
        <v>5.7142857142857144</v>
      </c>
      <c r="AC1865">
        <f t="shared" si="444"/>
        <v>0</v>
      </c>
      <c r="AD1865" s="1">
        <f t="shared" si="445"/>
        <v>0</v>
      </c>
      <c r="AE1865">
        <f t="shared" si="446"/>
        <v>0</v>
      </c>
      <c r="AF1865">
        <f t="shared" si="447"/>
        <v>0</v>
      </c>
      <c r="AG1865">
        <f t="shared" si="448"/>
        <v>0</v>
      </c>
    </row>
    <row r="1866" spans="1:33" x14ac:dyDescent="0.25">
      <c r="A1866" t="s">
        <v>3029</v>
      </c>
      <c r="B1866" t="s">
        <v>830</v>
      </c>
      <c r="C1866">
        <v>166583</v>
      </c>
      <c r="D1866">
        <v>166583</v>
      </c>
      <c r="E1866">
        <v>40</v>
      </c>
      <c r="F1866">
        <v>40</v>
      </c>
      <c r="G1866">
        <v>30</v>
      </c>
      <c r="O1866">
        <v>110</v>
      </c>
      <c r="S1866">
        <f t="shared" si="437"/>
        <v>6.875</v>
      </c>
      <c r="T1866">
        <f t="shared" si="438"/>
        <v>0</v>
      </c>
      <c r="U1866">
        <f t="shared" si="436"/>
        <v>1</v>
      </c>
      <c r="V1866">
        <f t="shared" si="439"/>
        <v>1</v>
      </c>
      <c r="W1866">
        <f t="shared" si="440"/>
        <v>0</v>
      </c>
      <c r="X1866">
        <f t="shared" si="449"/>
        <v>1</v>
      </c>
      <c r="Y1866">
        <f t="shared" si="450"/>
        <v>0</v>
      </c>
      <c r="Z1866">
        <f t="shared" si="441"/>
        <v>8</v>
      </c>
      <c r="AA1866">
        <f t="shared" si="442"/>
        <v>10</v>
      </c>
      <c r="AB1866">
        <f t="shared" si="443"/>
        <v>4.2857142857142856</v>
      </c>
      <c r="AC1866">
        <f t="shared" si="444"/>
        <v>0</v>
      </c>
      <c r="AD1866" s="1">
        <f t="shared" si="445"/>
        <v>0</v>
      </c>
      <c r="AE1866">
        <f t="shared" si="446"/>
        <v>0</v>
      </c>
      <c r="AF1866">
        <f t="shared" si="447"/>
        <v>0</v>
      </c>
      <c r="AG1866">
        <f t="shared" si="448"/>
        <v>0</v>
      </c>
    </row>
    <row r="1867" spans="1:33" x14ac:dyDescent="0.25">
      <c r="A1867" t="s">
        <v>3030</v>
      </c>
      <c r="B1867" t="s">
        <v>791</v>
      </c>
      <c r="C1867">
        <v>168784</v>
      </c>
      <c r="D1867">
        <v>168784</v>
      </c>
      <c r="S1867">
        <f t="shared" si="437"/>
        <v>0</v>
      </c>
      <c r="T1867">
        <f t="shared" si="438"/>
        <v>0</v>
      </c>
      <c r="U1867">
        <f t="shared" si="436"/>
        <v>0</v>
      </c>
      <c r="V1867">
        <f t="shared" si="439"/>
        <v>0</v>
      </c>
      <c r="W1867">
        <f t="shared" si="440"/>
        <v>0</v>
      </c>
      <c r="X1867">
        <f t="shared" si="449"/>
        <v>0</v>
      </c>
      <c r="Y1867">
        <f t="shared" si="450"/>
        <v>0</v>
      </c>
      <c r="Z1867">
        <f t="shared" si="441"/>
        <v>0</v>
      </c>
      <c r="AA1867">
        <f t="shared" si="442"/>
        <v>0</v>
      </c>
      <c r="AB1867">
        <f t="shared" si="443"/>
        <v>0</v>
      </c>
      <c r="AC1867">
        <f t="shared" si="444"/>
        <v>0</v>
      </c>
      <c r="AD1867" s="1">
        <f t="shared" si="445"/>
        <v>0</v>
      </c>
      <c r="AE1867">
        <f t="shared" si="446"/>
        <v>0</v>
      </c>
      <c r="AF1867">
        <f t="shared" si="447"/>
        <v>0</v>
      </c>
      <c r="AG1867">
        <f t="shared" si="448"/>
        <v>0</v>
      </c>
    </row>
    <row r="1868" spans="1:33" x14ac:dyDescent="0.25">
      <c r="A1868" t="s">
        <v>3031</v>
      </c>
      <c r="B1868" t="s">
        <v>3032</v>
      </c>
      <c r="C1868">
        <v>161904</v>
      </c>
      <c r="D1868">
        <v>161904</v>
      </c>
      <c r="E1868">
        <v>10</v>
      </c>
      <c r="O1868">
        <v>10</v>
      </c>
      <c r="S1868">
        <f t="shared" si="437"/>
        <v>0.625</v>
      </c>
      <c r="T1868">
        <f t="shared" si="438"/>
        <v>0</v>
      </c>
      <c r="U1868">
        <f t="shared" si="436"/>
        <v>1</v>
      </c>
      <c r="V1868">
        <f t="shared" si="439"/>
        <v>1</v>
      </c>
      <c r="W1868">
        <f t="shared" si="440"/>
        <v>0</v>
      </c>
      <c r="X1868">
        <f t="shared" si="449"/>
        <v>0</v>
      </c>
      <c r="Y1868">
        <f t="shared" si="450"/>
        <v>0</v>
      </c>
      <c r="Z1868">
        <f t="shared" si="441"/>
        <v>2</v>
      </c>
      <c r="AA1868">
        <f t="shared" si="442"/>
        <v>0</v>
      </c>
      <c r="AB1868">
        <f t="shared" si="443"/>
        <v>0</v>
      </c>
      <c r="AC1868">
        <f t="shared" si="444"/>
        <v>0</v>
      </c>
      <c r="AD1868" s="1">
        <f t="shared" si="445"/>
        <v>0</v>
      </c>
      <c r="AE1868">
        <f t="shared" si="446"/>
        <v>0</v>
      </c>
      <c r="AF1868">
        <f t="shared" si="447"/>
        <v>0</v>
      </c>
      <c r="AG1868">
        <f t="shared" si="448"/>
        <v>0</v>
      </c>
    </row>
    <row r="1869" spans="1:33" x14ac:dyDescent="0.25">
      <c r="A1869" t="s">
        <v>3033</v>
      </c>
      <c r="B1869" t="s">
        <v>3034</v>
      </c>
      <c r="C1869">
        <v>167022</v>
      </c>
      <c r="D1869">
        <v>167022</v>
      </c>
      <c r="E1869">
        <v>20</v>
      </c>
      <c r="F1869">
        <v>0</v>
      </c>
      <c r="G1869">
        <v>40</v>
      </c>
      <c r="O1869">
        <v>60</v>
      </c>
      <c r="S1869">
        <f t="shared" si="437"/>
        <v>3.75</v>
      </c>
      <c r="T1869">
        <f t="shared" si="438"/>
        <v>0</v>
      </c>
      <c r="U1869">
        <f t="shared" si="436"/>
        <v>1</v>
      </c>
      <c r="V1869">
        <f t="shared" si="439"/>
        <v>1</v>
      </c>
      <c r="W1869">
        <f t="shared" si="440"/>
        <v>0</v>
      </c>
      <c r="X1869">
        <f t="shared" si="449"/>
        <v>0</v>
      </c>
      <c r="Y1869">
        <f t="shared" si="450"/>
        <v>0</v>
      </c>
      <c r="Z1869">
        <f t="shared" si="441"/>
        <v>4</v>
      </c>
      <c r="AA1869">
        <f t="shared" si="442"/>
        <v>0</v>
      </c>
      <c r="AB1869">
        <f t="shared" si="443"/>
        <v>5.7142857142857144</v>
      </c>
      <c r="AC1869">
        <f t="shared" si="444"/>
        <v>0</v>
      </c>
      <c r="AD1869" s="1">
        <f t="shared" si="445"/>
        <v>0</v>
      </c>
      <c r="AE1869">
        <f t="shared" si="446"/>
        <v>0</v>
      </c>
      <c r="AF1869">
        <f t="shared" si="447"/>
        <v>0</v>
      </c>
      <c r="AG1869">
        <f t="shared" si="448"/>
        <v>0</v>
      </c>
    </row>
    <row r="1870" spans="1:33" x14ac:dyDescent="0.25">
      <c r="A1870" t="s">
        <v>3033</v>
      </c>
      <c r="B1870" t="s">
        <v>197</v>
      </c>
      <c r="C1870">
        <v>168454</v>
      </c>
      <c r="D1870">
        <v>168454</v>
      </c>
      <c r="H1870">
        <v>10</v>
      </c>
      <c r="I1870">
        <v>40</v>
      </c>
      <c r="J1870">
        <v>10</v>
      </c>
      <c r="K1870">
        <v>0</v>
      </c>
      <c r="L1870">
        <v>10</v>
      </c>
      <c r="M1870">
        <v>70</v>
      </c>
      <c r="S1870">
        <f t="shared" si="437"/>
        <v>0</v>
      </c>
      <c r="T1870">
        <f t="shared" si="438"/>
        <v>5.833333333333333</v>
      </c>
      <c r="U1870">
        <f t="shared" si="436"/>
        <v>1</v>
      </c>
      <c r="V1870">
        <f t="shared" si="439"/>
        <v>0</v>
      </c>
      <c r="W1870">
        <f t="shared" si="440"/>
        <v>1</v>
      </c>
      <c r="X1870">
        <f t="shared" si="449"/>
        <v>0</v>
      </c>
      <c r="Y1870">
        <f t="shared" si="450"/>
        <v>0</v>
      </c>
      <c r="Z1870">
        <f t="shared" si="441"/>
        <v>0</v>
      </c>
      <c r="AA1870">
        <f t="shared" si="442"/>
        <v>0</v>
      </c>
      <c r="AB1870">
        <f t="shared" si="443"/>
        <v>0</v>
      </c>
      <c r="AC1870">
        <f t="shared" si="444"/>
        <v>5</v>
      </c>
      <c r="AD1870" s="1">
        <f t="shared" si="445"/>
        <v>6.666666666666667</v>
      </c>
      <c r="AE1870">
        <f t="shared" si="446"/>
        <v>5</v>
      </c>
      <c r="AF1870">
        <f t="shared" si="447"/>
        <v>0</v>
      </c>
      <c r="AG1870">
        <f t="shared" si="448"/>
        <v>10</v>
      </c>
    </row>
    <row r="1871" spans="1:33" x14ac:dyDescent="0.25">
      <c r="A1871" t="s">
        <v>3035</v>
      </c>
      <c r="B1871" t="s">
        <v>209</v>
      </c>
      <c r="C1871">
        <v>166042</v>
      </c>
      <c r="D1871">
        <v>166042</v>
      </c>
      <c r="H1871">
        <v>10</v>
      </c>
      <c r="I1871">
        <v>30</v>
      </c>
      <c r="J1871">
        <v>20</v>
      </c>
      <c r="K1871">
        <v>10</v>
      </c>
      <c r="L1871">
        <v>0</v>
      </c>
      <c r="M1871">
        <v>70</v>
      </c>
      <c r="S1871">
        <f t="shared" si="437"/>
        <v>0</v>
      </c>
      <c r="T1871">
        <f t="shared" si="438"/>
        <v>5.833333333333333</v>
      </c>
      <c r="U1871">
        <f t="shared" si="436"/>
        <v>1</v>
      </c>
      <c r="V1871">
        <f t="shared" si="439"/>
        <v>0</v>
      </c>
      <c r="W1871">
        <f t="shared" si="440"/>
        <v>1</v>
      </c>
      <c r="X1871">
        <f t="shared" si="449"/>
        <v>0</v>
      </c>
      <c r="Y1871">
        <f t="shared" si="450"/>
        <v>0</v>
      </c>
      <c r="Z1871">
        <f t="shared" si="441"/>
        <v>0</v>
      </c>
      <c r="AA1871">
        <f t="shared" si="442"/>
        <v>0</v>
      </c>
      <c r="AB1871">
        <f t="shared" si="443"/>
        <v>0</v>
      </c>
      <c r="AC1871">
        <f t="shared" si="444"/>
        <v>5</v>
      </c>
      <c r="AD1871" s="1">
        <f t="shared" si="445"/>
        <v>5</v>
      </c>
      <c r="AE1871">
        <f t="shared" si="446"/>
        <v>10</v>
      </c>
      <c r="AF1871">
        <f t="shared" si="447"/>
        <v>10</v>
      </c>
      <c r="AG1871">
        <f t="shared" si="448"/>
        <v>0</v>
      </c>
    </row>
    <row r="1872" spans="1:33" x14ac:dyDescent="0.25">
      <c r="A1872" t="s">
        <v>3036</v>
      </c>
      <c r="B1872" t="s">
        <v>3037</v>
      </c>
      <c r="C1872">
        <v>165526</v>
      </c>
      <c r="D1872">
        <v>165526</v>
      </c>
      <c r="H1872">
        <v>10</v>
      </c>
      <c r="I1872">
        <v>30</v>
      </c>
      <c r="J1872">
        <v>10</v>
      </c>
      <c r="K1872">
        <v>10</v>
      </c>
      <c r="L1872">
        <v>10</v>
      </c>
      <c r="M1872">
        <v>70</v>
      </c>
      <c r="S1872">
        <f t="shared" si="437"/>
        <v>0</v>
      </c>
      <c r="T1872">
        <f t="shared" si="438"/>
        <v>5.833333333333333</v>
      </c>
      <c r="U1872">
        <f t="shared" si="436"/>
        <v>1</v>
      </c>
      <c r="V1872">
        <f t="shared" si="439"/>
        <v>0</v>
      </c>
      <c r="W1872">
        <f t="shared" si="440"/>
        <v>1</v>
      </c>
      <c r="X1872">
        <f t="shared" si="449"/>
        <v>0</v>
      </c>
      <c r="Y1872">
        <f t="shared" si="450"/>
        <v>0</v>
      </c>
      <c r="Z1872">
        <f t="shared" si="441"/>
        <v>0</v>
      </c>
      <c r="AA1872">
        <f t="shared" si="442"/>
        <v>0</v>
      </c>
      <c r="AB1872">
        <f t="shared" si="443"/>
        <v>0</v>
      </c>
      <c r="AC1872">
        <f t="shared" si="444"/>
        <v>5</v>
      </c>
      <c r="AD1872" s="1">
        <f t="shared" si="445"/>
        <v>5</v>
      </c>
      <c r="AE1872">
        <f t="shared" si="446"/>
        <v>5</v>
      </c>
      <c r="AF1872">
        <f t="shared" si="447"/>
        <v>10</v>
      </c>
      <c r="AG1872">
        <f t="shared" si="448"/>
        <v>10</v>
      </c>
    </row>
    <row r="1873" spans="1:33" x14ac:dyDescent="0.25">
      <c r="A1873" t="s">
        <v>3038</v>
      </c>
      <c r="B1873" t="s">
        <v>3039</v>
      </c>
      <c r="C1873">
        <v>168187</v>
      </c>
      <c r="D1873">
        <v>168187</v>
      </c>
      <c r="E1873">
        <v>40</v>
      </c>
      <c r="F1873">
        <v>40</v>
      </c>
      <c r="G1873">
        <v>30</v>
      </c>
      <c r="O1873">
        <v>110</v>
      </c>
      <c r="S1873">
        <f t="shared" si="437"/>
        <v>6.875</v>
      </c>
      <c r="T1873">
        <f t="shared" si="438"/>
        <v>0</v>
      </c>
      <c r="U1873">
        <f t="shared" si="436"/>
        <v>1</v>
      </c>
      <c r="V1873">
        <f t="shared" si="439"/>
        <v>1</v>
      </c>
      <c r="W1873">
        <f t="shared" si="440"/>
        <v>0</v>
      </c>
      <c r="X1873">
        <f t="shared" si="449"/>
        <v>1</v>
      </c>
      <c r="Y1873">
        <f t="shared" si="450"/>
        <v>0</v>
      </c>
      <c r="Z1873">
        <f t="shared" si="441"/>
        <v>8</v>
      </c>
      <c r="AA1873">
        <f t="shared" si="442"/>
        <v>10</v>
      </c>
      <c r="AB1873">
        <f t="shared" si="443"/>
        <v>4.2857142857142856</v>
      </c>
      <c r="AC1873">
        <f t="shared" si="444"/>
        <v>0</v>
      </c>
      <c r="AD1873" s="1">
        <f t="shared" si="445"/>
        <v>0</v>
      </c>
      <c r="AE1873">
        <f t="shared" si="446"/>
        <v>0</v>
      </c>
      <c r="AF1873">
        <f t="shared" si="447"/>
        <v>0</v>
      </c>
      <c r="AG1873">
        <f t="shared" si="448"/>
        <v>0</v>
      </c>
    </row>
    <row r="1874" spans="1:33" x14ac:dyDescent="0.25">
      <c r="A1874" t="s">
        <v>3040</v>
      </c>
      <c r="B1874" t="s">
        <v>1631</v>
      </c>
      <c r="C1874">
        <v>167650</v>
      </c>
      <c r="D1874">
        <v>167650</v>
      </c>
      <c r="H1874">
        <v>0</v>
      </c>
      <c r="I1874">
        <v>0</v>
      </c>
      <c r="J1874">
        <v>0</v>
      </c>
      <c r="K1874">
        <v>0</v>
      </c>
      <c r="L1874">
        <v>10</v>
      </c>
      <c r="M1874">
        <v>10</v>
      </c>
      <c r="S1874">
        <f t="shared" si="437"/>
        <v>0</v>
      </c>
      <c r="T1874">
        <f t="shared" si="438"/>
        <v>0.83333333333333337</v>
      </c>
      <c r="U1874">
        <f t="shared" si="436"/>
        <v>1</v>
      </c>
      <c r="V1874">
        <f t="shared" si="439"/>
        <v>0</v>
      </c>
      <c r="W1874">
        <f t="shared" si="440"/>
        <v>1</v>
      </c>
      <c r="X1874">
        <f t="shared" si="449"/>
        <v>0</v>
      </c>
      <c r="Y1874">
        <f t="shared" si="450"/>
        <v>0</v>
      </c>
      <c r="Z1874">
        <f t="shared" si="441"/>
        <v>0</v>
      </c>
      <c r="AA1874">
        <f t="shared" si="442"/>
        <v>0</v>
      </c>
      <c r="AB1874">
        <f t="shared" si="443"/>
        <v>0</v>
      </c>
      <c r="AC1874">
        <f t="shared" si="444"/>
        <v>0</v>
      </c>
      <c r="AD1874" s="1">
        <f t="shared" si="445"/>
        <v>0</v>
      </c>
      <c r="AE1874">
        <f t="shared" si="446"/>
        <v>0</v>
      </c>
      <c r="AF1874">
        <f t="shared" si="447"/>
        <v>0</v>
      </c>
      <c r="AG1874">
        <f t="shared" si="448"/>
        <v>10</v>
      </c>
    </row>
    <row r="1875" spans="1:33" x14ac:dyDescent="0.25">
      <c r="A1875" t="s">
        <v>3041</v>
      </c>
      <c r="B1875" t="s">
        <v>2869</v>
      </c>
      <c r="C1875">
        <v>167759</v>
      </c>
      <c r="D1875">
        <v>167759</v>
      </c>
      <c r="H1875">
        <v>0</v>
      </c>
      <c r="J1875">
        <v>10</v>
      </c>
      <c r="M1875">
        <v>10</v>
      </c>
      <c r="S1875">
        <f t="shared" si="437"/>
        <v>0</v>
      </c>
      <c r="T1875">
        <f t="shared" si="438"/>
        <v>0.83333333333333337</v>
      </c>
      <c r="U1875">
        <f t="shared" si="436"/>
        <v>1</v>
      </c>
      <c r="V1875">
        <f t="shared" si="439"/>
        <v>0</v>
      </c>
      <c r="W1875">
        <f t="shared" si="440"/>
        <v>1</v>
      </c>
      <c r="X1875">
        <f t="shared" si="449"/>
        <v>0</v>
      </c>
      <c r="Y1875">
        <f t="shared" si="450"/>
        <v>0</v>
      </c>
      <c r="Z1875">
        <f t="shared" si="441"/>
        <v>0</v>
      </c>
      <c r="AA1875">
        <f t="shared" si="442"/>
        <v>0</v>
      </c>
      <c r="AB1875">
        <f t="shared" si="443"/>
        <v>0</v>
      </c>
      <c r="AC1875">
        <f t="shared" si="444"/>
        <v>0</v>
      </c>
      <c r="AD1875" s="1">
        <f t="shared" si="445"/>
        <v>0</v>
      </c>
      <c r="AE1875">
        <f t="shared" si="446"/>
        <v>5</v>
      </c>
      <c r="AF1875">
        <f t="shared" si="447"/>
        <v>0</v>
      </c>
      <c r="AG1875">
        <f t="shared" si="448"/>
        <v>0</v>
      </c>
    </row>
    <row r="1876" spans="1:33" x14ac:dyDescent="0.25">
      <c r="A1876" t="s">
        <v>3042</v>
      </c>
      <c r="B1876" t="s">
        <v>340</v>
      </c>
      <c r="C1876">
        <v>167299</v>
      </c>
      <c r="D1876">
        <v>167299</v>
      </c>
      <c r="H1876">
        <v>10</v>
      </c>
      <c r="I1876">
        <v>30</v>
      </c>
      <c r="J1876">
        <v>10</v>
      </c>
      <c r="K1876">
        <v>10</v>
      </c>
      <c r="L1876">
        <v>0</v>
      </c>
      <c r="M1876">
        <v>60</v>
      </c>
      <c r="S1876">
        <f t="shared" si="437"/>
        <v>0</v>
      </c>
      <c r="T1876">
        <f t="shared" si="438"/>
        <v>5</v>
      </c>
      <c r="U1876">
        <f t="shared" si="436"/>
        <v>1</v>
      </c>
      <c r="V1876">
        <f t="shared" si="439"/>
        <v>0</v>
      </c>
      <c r="W1876">
        <f t="shared" si="440"/>
        <v>1</v>
      </c>
      <c r="X1876">
        <f t="shared" si="449"/>
        <v>0</v>
      </c>
      <c r="Y1876">
        <f t="shared" si="450"/>
        <v>0</v>
      </c>
      <c r="Z1876">
        <f t="shared" si="441"/>
        <v>0</v>
      </c>
      <c r="AA1876">
        <f t="shared" si="442"/>
        <v>0</v>
      </c>
      <c r="AB1876">
        <f t="shared" si="443"/>
        <v>0</v>
      </c>
      <c r="AC1876">
        <f t="shared" si="444"/>
        <v>5</v>
      </c>
      <c r="AD1876" s="1">
        <f t="shared" si="445"/>
        <v>5</v>
      </c>
      <c r="AE1876">
        <f t="shared" si="446"/>
        <v>5</v>
      </c>
      <c r="AF1876">
        <f t="shared" si="447"/>
        <v>10</v>
      </c>
      <c r="AG1876">
        <f t="shared" si="448"/>
        <v>0</v>
      </c>
    </row>
    <row r="1877" spans="1:33" x14ac:dyDescent="0.25">
      <c r="A1877" t="s">
        <v>3043</v>
      </c>
      <c r="B1877" t="s">
        <v>197</v>
      </c>
      <c r="C1877">
        <v>166901</v>
      </c>
      <c r="D1877">
        <v>166901</v>
      </c>
      <c r="E1877">
        <v>0</v>
      </c>
      <c r="F1877">
        <v>40</v>
      </c>
      <c r="O1877">
        <v>40</v>
      </c>
      <c r="S1877">
        <f t="shared" si="437"/>
        <v>2.5</v>
      </c>
      <c r="T1877">
        <f t="shared" si="438"/>
        <v>0</v>
      </c>
      <c r="U1877">
        <f t="shared" si="436"/>
        <v>1</v>
      </c>
      <c r="V1877">
        <f t="shared" si="439"/>
        <v>1</v>
      </c>
      <c r="W1877">
        <f t="shared" si="440"/>
        <v>0</v>
      </c>
      <c r="X1877">
        <f t="shared" si="449"/>
        <v>0</v>
      </c>
      <c r="Y1877">
        <f t="shared" si="450"/>
        <v>0</v>
      </c>
      <c r="Z1877">
        <f t="shared" si="441"/>
        <v>0</v>
      </c>
      <c r="AA1877">
        <f t="shared" si="442"/>
        <v>10</v>
      </c>
      <c r="AB1877">
        <f t="shared" si="443"/>
        <v>0</v>
      </c>
      <c r="AC1877">
        <f t="shared" si="444"/>
        <v>0</v>
      </c>
      <c r="AD1877" s="1">
        <f t="shared" si="445"/>
        <v>0</v>
      </c>
      <c r="AE1877">
        <f t="shared" si="446"/>
        <v>0</v>
      </c>
      <c r="AF1877">
        <f t="shared" si="447"/>
        <v>0</v>
      </c>
      <c r="AG1877">
        <f t="shared" si="448"/>
        <v>0</v>
      </c>
    </row>
    <row r="1878" spans="1:33" x14ac:dyDescent="0.25">
      <c r="A1878" t="s">
        <v>3044</v>
      </c>
      <c r="B1878" t="s">
        <v>1497</v>
      </c>
      <c r="C1878">
        <v>168525</v>
      </c>
      <c r="D1878">
        <v>168525</v>
      </c>
      <c r="S1878">
        <f t="shared" si="437"/>
        <v>0</v>
      </c>
      <c r="T1878">
        <f t="shared" si="438"/>
        <v>0</v>
      </c>
      <c r="U1878">
        <f t="shared" si="436"/>
        <v>0</v>
      </c>
      <c r="V1878">
        <f t="shared" si="439"/>
        <v>0</v>
      </c>
      <c r="W1878">
        <f t="shared" si="440"/>
        <v>0</v>
      </c>
      <c r="X1878">
        <f t="shared" si="449"/>
        <v>0</v>
      </c>
      <c r="Y1878">
        <f t="shared" si="450"/>
        <v>0</v>
      </c>
      <c r="Z1878">
        <f t="shared" si="441"/>
        <v>0</v>
      </c>
      <c r="AA1878">
        <f t="shared" si="442"/>
        <v>0</v>
      </c>
      <c r="AB1878">
        <f t="shared" si="443"/>
        <v>0</v>
      </c>
      <c r="AC1878">
        <f t="shared" si="444"/>
        <v>0</v>
      </c>
      <c r="AD1878" s="1">
        <f t="shared" si="445"/>
        <v>0</v>
      </c>
      <c r="AE1878">
        <f t="shared" si="446"/>
        <v>0</v>
      </c>
      <c r="AF1878">
        <f t="shared" si="447"/>
        <v>0</v>
      </c>
      <c r="AG1878">
        <f t="shared" si="448"/>
        <v>0</v>
      </c>
    </row>
    <row r="1879" spans="1:33" x14ac:dyDescent="0.25">
      <c r="A1879" t="s">
        <v>3045</v>
      </c>
      <c r="B1879" t="s">
        <v>3046</v>
      </c>
      <c r="C1879">
        <v>168675</v>
      </c>
      <c r="D1879">
        <v>168675</v>
      </c>
      <c r="S1879">
        <f t="shared" si="437"/>
        <v>0</v>
      </c>
      <c r="T1879">
        <f t="shared" si="438"/>
        <v>0</v>
      </c>
      <c r="U1879">
        <f t="shared" si="436"/>
        <v>0</v>
      </c>
      <c r="V1879">
        <f t="shared" si="439"/>
        <v>0</v>
      </c>
      <c r="W1879">
        <f t="shared" si="440"/>
        <v>0</v>
      </c>
      <c r="X1879">
        <f t="shared" si="449"/>
        <v>0</v>
      </c>
      <c r="Y1879">
        <f t="shared" si="450"/>
        <v>0</v>
      </c>
      <c r="Z1879">
        <f t="shared" si="441"/>
        <v>0</v>
      </c>
      <c r="AA1879">
        <f t="shared" si="442"/>
        <v>0</v>
      </c>
      <c r="AB1879">
        <f t="shared" si="443"/>
        <v>0</v>
      </c>
      <c r="AC1879">
        <f t="shared" si="444"/>
        <v>0</v>
      </c>
      <c r="AD1879" s="1">
        <f t="shared" si="445"/>
        <v>0</v>
      </c>
      <c r="AE1879">
        <f t="shared" si="446"/>
        <v>0</v>
      </c>
      <c r="AF1879">
        <f t="shared" si="447"/>
        <v>0</v>
      </c>
      <c r="AG1879">
        <f t="shared" si="448"/>
        <v>0</v>
      </c>
    </row>
    <row r="1880" spans="1:33" x14ac:dyDescent="0.25">
      <c r="A1880" t="s">
        <v>3047</v>
      </c>
      <c r="B1880" t="s">
        <v>3048</v>
      </c>
      <c r="C1880">
        <v>165851</v>
      </c>
      <c r="D1880">
        <v>165851</v>
      </c>
      <c r="H1880">
        <v>10</v>
      </c>
      <c r="I1880">
        <v>30</v>
      </c>
      <c r="J1880">
        <v>10</v>
      </c>
      <c r="K1880">
        <v>10</v>
      </c>
      <c r="L1880">
        <v>0</v>
      </c>
      <c r="M1880">
        <v>60</v>
      </c>
      <c r="S1880">
        <f t="shared" si="437"/>
        <v>0</v>
      </c>
      <c r="T1880">
        <f t="shared" si="438"/>
        <v>5</v>
      </c>
      <c r="U1880">
        <f t="shared" si="436"/>
        <v>1</v>
      </c>
      <c r="V1880">
        <f t="shared" si="439"/>
        <v>0</v>
      </c>
      <c r="W1880">
        <f t="shared" si="440"/>
        <v>1</v>
      </c>
      <c r="X1880">
        <f t="shared" si="449"/>
        <v>0</v>
      </c>
      <c r="Y1880">
        <f t="shared" si="450"/>
        <v>0</v>
      </c>
      <c r="Z1880">
        <f t="shared" si="441"/>
        <v>0</v>
      </c>
      <c r="AA1880">
        <f t="shared" si="442"/>
        <v>0</v>
      </c>
      <c r="AB1880">
        <f t="shared" si="443"/>
        <v>0</v>
      </c>
      <c r="AC1880">
        <f t="shared" si="444"/>
        <v>5</v>
      </c>
      <c r="AD1880" s="1">
        <f t="shared" si="445"/>
        <v>5</v>
      </c>
      <c r="AE1880">
        <f t="shared" si="446"/>
        <v>5</v>
      </c>
      <c r="AF1880">
        <f t="shared" si="447"/>
        <v>10</v>
      </c>
      <c r="AG1880">
        <f t="shared" si="448"/>
        <v>0</v>
      </c>
    </row>
    <row r="1881" spans="1:33" x14ac:dyDescent="0.25">
      <c r="A1881" t="s">
        <v>3049</v>
      </c>
      <c r="B1881" t="s">
        <v>87</v>
      </c>
      <c r="C1881">
        <v>166809</v>
      </c>
      <c r="D1881">
        <v>166809</v>
      </c>
      <c r="H1881">
        <v>0</v>
      </c>
      <c r="I1881">
        <v>50</v>
      </c>
      <c r="J1881">
        <v>20</v>
      </c>
      <c r="K1881">
        <v>10</v>
      </c>
      <c r="L1881">
        <v>0</v>
      </c>
      <c r="M1881">
        <v>80</v>
      </c>
      <c r="S1881">
        <f t="shared" si="437"/>
        <v>0</v>
      </c>
      <c r="T1881">
        <f t="shared" si="438"/>
        <v>6.666666666666667</v>
      </c>
      <c r="U1881">
        <f t="shared" si="436"/>
        <v>1</v>
      </c>
      <c r="V1881">
        <f t="shared" si="439"/>
        <v>0</v>
      </c>
      <c r="W1881">
        <f t="shared" si="440"/>
        <v>1</v>
      </c>
      <c r="X1881">
        <f t="shared" si="449"/>
        <v>0</v>
      </c>
      <c r="Y1881">
        <f t="shared" si="450"/>
        <v>1</v>
      </c>
      <c r="Z1881">
        <f t="shared" si="441"/>
        <v>0</v>
      </c>
      <c r="AA1881">
        <f t="shared" si="442"/>
        <v>0</v>
      </c>
      <c r="AB1881">
        <f t="shared" si="443"/>
        <v>0</v>
      </c>
      <c r="AC1881">
        <f t="shared" si="444"/>
        <v>0</v>
      </c>
      <c r="AD1881" s="1">
        <f t="shared" si="445"/>
        <v>8.3333333333333339</v>
      </c>
      <c r="AE1881">
        <f t="shared" si="446"/>
        <v>10</v>
      </c>
      <c r="AF1881">
        <f t="shared" si="447"/>
        <v>10</v>
      </c>
      <c r="AG1881">
        <f t="shared" si="448"/>
        <v>0</v>
      </c>
    </row>
    <row r="1882" spans="1:33" x14ac:dyDescent="0.25">
      <c r="A1882" t="s">
        <v>3050</v>
      </c>
      <c r="B1882" t="s">
        <v>344</v>
      </c>
      <c r="C1882">
        <v>168456</v>
      </c>
      <c r="D1882">
        <v>168456</v>
      </c>
      <c r="E1882">
        <v>40</v>
      </c>
      <c r="F1882">
        <v>20</v>
      </c>
      <c r="G1882">
        <v>50</v>
      </c>
      <c r="O1882">
        <v>110</v>
      </c>
      <c r="S1882">
        <f t="shared" si="437"/>
        <v>6.875</v>
      </c>
      <c r="T1882">
        <f t="shared" si="438"/>
        <v>0</v>
      </c>
      <c r="U1882">
        <f t="shared" si="436"/>
        <v>1</v>
      </c>
      <c r="V1882">
        <f t="shared" si="439"/>
        <v>1</v>
      </c>
      <c r="W1882">
        <f t="shared" si="440"/>
        <v>0</v>
      </c>
      <c r="X1882">
        <f t="shared" si="449"/>
        <v>1</v>
      </c>
      <c r="Y1882">
        <f t="shared" si="450"/>
        <v>0</v>
      </c>
      <c r="Z1882">
        <f t="shared" si="441"/>
        <v>8</v>
      </c>
      <c r="AA1882">
        <f t="shared" si="442"/>
        <v>5</v>
      </c>
      <c r="AB1882">
        <f t="shared" si="443"/>
        <v>7.1428571428571432</v>
      </c>
      <c r="AC1882">
        <f t="shared" si="444"/>
        <v>0</v>
      </c>
      <c r="AD1882" s="1">
        <f t="shared" si="445"/>
        <v>0</v>
      </c>
      <c r="AE1882">
        <f t="shared" si="446"/>
        <v>0</v>
      </c>
      <c r="AF1882">
        <f t="shared" si="447"/>
        <v>0</v>
      </c>
      <c r="AG1882">
        <f t="shared" si="448"/>
        <v>0</v>
      </c>
    </row>
    <row r="1883" spans="1:33" x14ac:dyDescent="0.25">
      <c r="A1883" t="s">
        <v>3051</v>
      </c>
      <c r="B1883" t="s">
        <v>3052</v>
      </c>
      <c r="C1883">
        <v>167393</v>
      </c>
      <c r="D1883">
        <v>167393</v>
      </c>
      <c r="E1883">
        <v>50</v>
      </c>
      <c r="F1883">
        <v>10</v>
      </c>
      <c r="G1883">
        <v>30</v>
      </c>
      <c r="O1883">
        <v>90</v>
      </c>
      <c r="S1883">
        <f t="shared" si="437"/>
        <v>5.625</v>
      </c>
      <c r="T1883">
        <f t="shared" si="438"/>
        <v>0</v>
      </c>
      <c r="U1883">
        <f t="shared" si="436"/>
        <v>1</v>
      </c>
      <c r="V1883">
        <f t="shared" si="439"/>
        <v>1</v>
      </c>
      <c r="W1883">
        <f t="shared" si="440"/>
        <v>0</v>
      </c>
      <c r="X1883">
        <f t="shared" si="449"/>
        <v>0</v>
      </c>
      <c r="Y1883">
        <f t="shared" si="450"/>
        <v>0</v>
      </c>
      <c r="Z1883">
        <f t="shared" si="441"/>
        <v>10</v>
      </c>
      <c r="AA1883">
        <f t="shared" si="442"/>
        <v>2.5</v>
      </c>
      <c r="AB1883">
        <f t="shared" si="443"/>
        <v>4.2857142857142856</v>
      </c>
      <c r="AC1883">
        <f t="shared" si="444"/>
        <v>0</v>
      </c>
      <c r="AD1883" s="1">
        <f t="shared" si="445"/>
        <v>0</v>
      </c>
      <c r="AE1883">
        <f t="shared" si="446"/>
        <v>0</v>
      </c>
      <c r="AF1883">
        <f t="shared" si="447"/>
        <v>0</v>
      </c>
      <c r="AG1883">
        <f t="shared" si="448"/>
        <v>0</v>
      </c>
    </row>
    <row r="1884" spans="1:33" x14ac:dyDescent="0.25">
      <c r="A1884" t="s">
        <v>3053</v>
      </c>
      <c r="B1884" t="s">
        <v>166</v>
      </c>
      <c r="C1884">
        <v>168671</v>
      </c>
      <c r="D1884">
        <v>168671</v>
      </c>
      <c r="E1884">
        <v>0</v>
      </c>
      <c r="F1884">
        <v>10</v>
      </c>
      <c r="G1884">
        <v>50</v>
      </c>
      <c r="O1884">
        <v>60</v>
      </c>
      <c r="S1884">
        <f t="shared" si="437"/>
        <v>3.75</v>
      </c>
      <c r="T1884">
        <f t="shared" si="438"/>
        <v>0</v>
      </c>
      <c r="U1884">
        <f t="shared" si="436"/>
        <v>1</v>
      </c>
      <c r="V1884">
        <f t="shared" si="439"/>
        <v>1</v>
      </c>
      <c r="W1884">
        <f t="shared" si="440"/>
        <v>0</v>
      </c>
      <c r="X1884">
        <f t="shared" si="449"/>
        <v>0</v>
      </c>
      <c r="Y1884">
        <f t="shared" si="450"/>
        <v>0</v>
      </c>
      <c r="Z1884">
        <f t="shared" si="441"/>
        <v>0</v>
      </c>
      <c r="AA1884">
        <f t="shared" si="442"/>
        <v>2.5</v>
      </c>
      <c r="AB1884">
        <f t="shared" si="443"/>
        <v>7.1428571428571432</v>
      </c>
      <c r="AC1884">
        <f t="shared" si="444"/>
        <v>0</v>
      </c>
      <c r="AD1884" s="1">
        <f t="shared" si="445"/>
        <v>0</v>
      </c>
      <c r="AE1884">
        <f t="shared" si="446"/>
        <v>0</v>
      </c>
      <c r="AF1884">
        <f t="shared" si="447"/>
        <v>0</v>
      </c>
      <c r="AG1884">
        <f t="shared" si="448"/>
        <v>0</v>
      </c>
    </row>
    <row r="1885" spans="1:33" x14ac:dyDescent="0.25">
      <c r="A1885" t="s">
        <v>3054</v>
      </c>
      <c r="B1885" t="s">
        <v>3055</v>
      </c>
      <c r="C1885">
        <v>168371</v>
      </c>
      <c r="D1885">
        <v>168371</v>
      </c>
      <c r="E1885">
        <v>40</v>
      </c>
      <c r="F1885">
        <v>40</v>
      </c>
      <c r="G1885">
        <v>40</v>
      </c>
      <c r="O1885">
        <v>120</v>
      </c>
      <c r="S1885">
        <f t="shared" si="437"/>
        <v>7.5</v>
      </c>
      <c r="T1885">
        <f t="shared" si="438"/>
        <v>0</v>
      </c>
      <c r="U1885">
        <f t="shared" si="436"/>
        <v>1</v>
      </c>
      <c r="V1885">
        <f t="shared" si="439"/>
        <v>1</v>
      </c>
      <c r="W1885">
        <f t="shared" si="440"/>
        <v>0</v>
      </c>
      <c r="X1885">
        <f t="shared" si="449"/>
        <v>1</v>
      </c>
      <c r="Y1885">
        <f t="shared" si="450"/>
        <v>0</v>
      </c>
      <c r="Z1885">
        <f t="shared" si="441"/>
        <v>8</v>
      </c>
      <c r="AA1885">
        <f t="shared" si="442"/>
        <v>10</v>
      </c>
      <c r="AB1885">
        <f t="shared" si="443"/>
        <v>5.7142857142857144</v>
      </c>
      <c r="AC1885">
        <f t="shared" si="444"/>
        <v>0</v>
      </c>
      <c r="AD1885" s="1">
        <f t="shared" si="445"/>
        <v>0</v>
      </c>
      <c r="AE1885">
        <f t="shared" si="446"/>
        <v>0</v>
      </c>
      <c r="AF1885">
        <f t="shared" si="447"/>
        <v>0</v>
      </c>
      <c r="AG1885">
        <f t="shared" si="448"/>
        <v>0</v>
      </c>
    </row>
    <row r="1886" spans="1:33" x14ac:dyDescent="0.25">
      <c r="A1886" t="s">
        <v>3056</v>
      </c>
      <c r="B1886" t="s">
        <v>1513</v>
      </c>
      <c r="C1886">
        <v>165885</v>
      </c>
      <c r="D1886">
        <v>165885</v>
      </c>
      <c r="E1886">
        <v>30</v>
      </c>
      <c r="F1886">
        <v>20</v>
      </c>
      <c r="G1886">
        <v>10</v>
      </c>
      <c r="O1886">
        <v>60</v>
      </c>
      <c r="S1886">
        <f t="shared" si="437"/>
        <v>3.75</v>
      </c>
      <c r="T1886">
        <f t="shared" si="438"/>
        <v>0</v>
      </c>
      <c r="U1886">
        <f t="shared" si="436"/>
        <v>1</v>
      </c>
      <c r="V1886">
        <f t="shared" si="439"/>
        <v>1</v>
      </c>
      <c r="W1886">
        <f t="shared" si="440"/>
        <v>0</v>
      </c>
      <c r="X1886">
        <f t="shared" si="449"/>
        <v>0</v>
      </c>
      <c r="Y1886">
        <f t="shared" si="450"/>
        <v>0</v>
      </c>
      <c r="Z1886">
        <f t="shared" si="441"/>
        <v>6</v>
      </c>
      <c r="AA1886">
        <f t="shared" si="442"/>
        <v>5</v>
      </c>
      <c r="AB1886">
        <f t="shared" si="443"/>
        <v>1.4285714285714286</v>
      </c>
      <c r="AC1886">
        <f t="shared" si="444"/>
        <v>0</v>
      </c>
      <c r="AD1886" s="1">
        <f t="shared" si="445"/>
        <v>0</v>
      </c>
      <c r="AE1886">
        <f t="shared" si="446"/>
        <v>0</v>
      </c>
      <c r="AF1886">
        <f t="shared" si="447"/>
        <v>0</v>
      </c>
      <c r="AG1886">
        <f t="shared" si="448"/>
        <v>0</v>
      </c>
    </row>
    <row r="1887" spans="1:33" x14ac:dyDescent="0.25">
      <c r="A1887" t="s">
        <v>3057</v>
      </c>
      <c r="B1887" t="s">
        <v>53</v>
      </c>
      <c r="C1887">
        <v>167385</v>
      </c>
      <c r="D1887">
        <v>167385</v>
      </c>
      <c r="E1887">
        <v>20</v>
      </c>
      <c r="F1887">
        <v>0</v>
      </c>
      <c r="G1887">
        <v>30</v>
      </c>
      <c r="O1887">
        <v>50</v>
      </c>
      <c r="S1887">
        <f t="shared" si="437"/>
        <v>3.125</v>
      </c>
      <c r="T1887">
        <f t="shared" si="438"/>
        <v>0</v>
      </c>
      <c r="U1887">
        <f t="shared" si="436"/>
        <v>1</v>
      </c>
      <c r="V1887">
        <f t="shared" si="439"/>
        <v>1</v>
      </c>
      <c r="W1887">
        <f t="shared" si="440"/>
        <v>0</v>
      </c>
      <c r="X1887">
        <f t="shared" si="449"/>
        <v>0</v>
      </c>
      <c r="Y1887">
        <f t="shared" si="450"/>
        <v>0</v>
      </c>
      <c r="Z1887">
        <f t="shared" si="441"/>
        <v>4</v>
      </c>
      <c r="AA1887">
        <f t="shared" si="442"/>
        <v>0</v>
      </c>
      <c r="AB1887">
        <f t="shared" si="443"/>
        <v>4.2857142857142856</v>
      </c>
      <c r="AC1887">
        <f t="shared" si="444"/>
        <v>0</v>
      </c>
      <c r="AD1887" s="1">
        <f t="shared" si="445"/>
        <v>0</v>
      </c>
      <c r="AE1887">
        <f t="shared" si="446"/>
        <v>0</v>
      </c>
      <c r="AF1887">
        <f t="shared" si="447"/>
        <v>0</v>
      </c>
      <c r="AG1887">
        <f t="shared" si="448"/>
        <v>0</v>
      </c>
    </row>
    <row r="1888" spans="1:33" x14ac:dyDescent="0.25">
      <c r="A1888" t="s">
        <v>3058</v>
      </c>
      <c r="B1888" t="s">
        <v>67</v>
      </c>
      <c r="C1888">
        <v>166401</v>
      </c>
      <c r="D1888">
        <v>166401</v>
      </c>
      <c r="H1888">
        <v>20</v>
      </c>
      <c r="I1888">
        <v>30</v>
      </c>
      <c r="J1888">
        <v>10</v>
      </c>
      <c r="K1888">
        <v>10</v>
      </c>
      <c r="L1888">
        <v>0</v>
      </c>
      <c r="M1888">
        <v>70</v>
      </c>
      <c r="S1888">
        <f t="shared" si="437"/>
        <v>0</v>
      </c>
      <c r="T1888">
        <f t="shared" si="438"/>
        <v>5.833333333333333</v>
      </c>
      <c r="U1888">
        <f t="shared" si="436"/>
        <v>1</v>
      </c>
      <c r="V1888">
        <f t="shared" si="439"/>
        <v>0</v>
      </c>
      <c r="W1888">
        <f t="shared" si="440"/>
        <v>1</v>
      </c>
      <c r="X1888">
        <f t="shared" si="449"/>
        <v>0</v>
      </c>
      <c r="Y1888">
        <f t="shared" si="450"/>
        <v>0</v>
      </c>
      <c r="Z1888">
        <f t="shared" si="441"/>
        <v>0</v>
      </c>
      <c r="AA1888">
        <f t="shared" si="442"/>
        <v>0</v>
      </c>
      <c r="AB1888">
        <f t="shared" si="443"/>
        <v>0</v>
      </c>
      <c r="AC1888">
        <f t="shared" si="444"/>
        <v>10</v>
      </c>
      <c r="AD1888" s="1">
        <f t="shared" si="445"/>
        <v>5</v>
      </c>
      <c r="AE1888">
        <f t="shared" si="446"/>
        <v>5</v>
      </c>
      <c r="AF1888">
        <f t="shared" si="447"/>
        <v>10</v>
      </c>
      <c r="AG1888">
        <f t="shared" si="448"/>
        <v>0</v>
      </c>
    </row>
    <row r="1889" spans="1:33" x14ac:dyDescent="0.25">
      <c r="A1889" t="s">
        <v>3059</v>
      </c>
      <c r="B1889" t="s">
        <v>3060</v>
      </c>
      <c r="C1889">
        <v>166839</v>
      </c>
      <c r="D1889">
        <v>166839</v>
      </c>
      <c r="E1889">
        <v>40</v>
      </c>
      <c r="F1889">
        <v>40</v>
      </c>
      <c r="G1889">
        <v>40</v>
      </c>
      <c r="O1889">
        <v>120</v>
      </c>
      <c r="S1889">
        <f t="shared" si="437"/>
        <v>7.5</v>
      </c>
      <c r="T1889">
        <f t="shared" si="438"/>
        <v>0</v>
      </c>
      <c r="U1889">
        <f t="shared" si="436"/>
        <v>1</v>
      </c>
      <c r="V1889">
        <f t="shared" si="439"/>
        <v>1</v>
      </c>
      <c r="W1889">
        <f t="shared" si="440"/>
        <v>0</v>
      </c>
      <c r="X1889">
        <f t="shared" si="449"/>
        <v>1</v>
      </c>
      <c r="Y1889">
        <f t="shared" si="450"/>
        <v>0</v>
      </c>
      <c r="Z1889">
        <f t="shared" si="441"/>
        <v>8</v>
      </c>
      <c r="AA1889">
        <f t="shared" si="442"/>
        <v>10</v>
      </c>
      <c r="AB1889">
        <f t="shared" si="443"/>
        <v>5.7142857142857144</v>
      </c>
      <c r="AC1889">
        <f t="shared" si="444"/>
        <v>0</v>
      </c>
      <c r="AD1889" s="1">
        <f t="shared" si="445"/>
        <v>0</v>
      </c>
      <c r="AE1889">
        <f t="shared" si="446"/>
        <v>0</v>
      </c>
      <c r="AF1889">
        <f t="shared" si="447"/>
        <v>0</v>
      </c>
      <c r="AG1889">
        <f t="shared" si="448"/>
        <v>0</v>
      </c>
    </row>
    <row r="1890" spans="1:33" x14ac:dyDescent="0.25">
      <c r="A1890" t="s">
        <v>3061</v>
      </c>
      <c r="B1890" t="s">
        <v>677</v>
      </c>
      <c r="C1890">
        <v>168516</v>
      </c>
      <c r="D1890">
        <v>168516</v>
      </c>
      <c r="H1890">
        <v>0</v>
      </c>
      <c r="I1890">
        <v>50</v>
      </c>
      <c r="J1890">
        <v>20</v>
      </c>
      <c r="K1890">
        <v>10</v>
      </c>
      <c r="L1890">
        <v>0</v>
      </c>
      <c r="M1890">
        <v>80</v>
      </c>
      <c r="S1890">
        <f t="shared" si="437"/>
        <v>0</v>
      </c>
      <c r="T1890">
        <f t="shared" si="438"/>
        <v>6.666666666666667</v>
      </c>
      <c r="U1890">
        <f t="shared" si="436"/>
        <v>1</v>
      </c>
      <c r="V1890">
        <f t="shared" si="439"/>
        <v>0</v>
      </c>
      <c r="W1890">
        <f t="shared" si="440"/>
        <v>1</v>
      </c>
      <c r="X1890">
        <f t="shared" si="449"/>
        <v>0</v>
      </c>
      <c r="Y1890">
        <f t="shared" si="450"/>
        <v>1</v>
      </c>
      <c r="Z1890">
        <f t="shared" si="441"/>
        <v>0</v>
      </c>
      <c r="AA1890">
        <f t="shared" si="442"/>
        <v>0</v>
      </c>
      <c r="AB1890">
        <f t="shared" si="443"/>
        <v>0</v>
      </c>
      <c r="AC1890">
        <f t="shared" si="444"/>
        <v>0</v>
      </c>
      <c r="AD1890" s="1">
        <f t="shared" si="445"/>
        <v>8.3333333333333339</v>
      </c>
      <c r="AE1890">
        <f t="shared" si="446"/>
        <v>10</v>
      </c>
      <c r="AF1890">
        <f t="shared" si="447"/>
        <v>10</v>
      </c>
      <c r="AG1890">
        <f t="shared" si="448"/>
        <v>0</v>
      </c>
    </row>
    <row r="1891" spans="1:33" x14ac:dyDescent="0.25">
      <c r="A1891" t="s">
        <v>3062</v>
      </c>
      <c r="B1891" t="s">
        <v>3063</v>
      </c>
      <c r="C1891">
        <v>166240</v>
      </c>
      <c r="D1891">
        <v>166240</v>
      </c>
      <c r="E1891">
        <v>10</v>
      </c>
      <c r="F1891">
        <v>0</v>
      </c>
      <c r="G1891">
        <v>30</v>
      </c>
      <c r="O1891">
        <v>40</v>
      </c>
      <c r="S1891">
        <f t="shared" si="437"/>
        <v>2.5</v>
      </c>
      <c r="T1891">
        <f t="shared" si="438"/>
        <v>0</v>
      </c>
      <c r="U1891">
        <f t="shared" si="436"/>
        <v>1</v>
      </c>
      <c r="V1891">
        <f t="shared" si="439"/>
        <v>1</v>
      </c>
      <c r="W1891">
        <f t="shared" si="440"/>
        <v>0</v>
      </c>
      <c r="X1891">
        <f t="shared" si="449"/>
        <v>0</v>
      </c>
      <c r="Y1891">
        <f t="shared" si="450"/>
        <v>0</v>
      </c>
      <c r="Z1891">
        <f t="shared" si="441"/>
        <v>2</v>
      </c>
      <c r="AA1891">
        <f t="shared" si="442"/>
        <v>0</v>
      </c>
      <c r="AB1891">
        <f t="shared" si="443"/>
        <v>4.2857142857142856</v>
      </c>
      <c r="AC1891">
        <f t="shared" si="444"/>
        <v>0</v>
      </c>
      <c r="AD1891" s="1">
        <f t="shared" si="445"/>
        <v>0</v>
      </c>
      <c r="AE1891">
        <f t="shared" si="446"/>
        <v>0</v>
      </c>
      <c r="AF1891">
        <f t="shared" si="447"/>
        <v>0</v>
      </c>
      <c r="AG1891">
        <f t="shared" si="448"/>
        <v>0</v>
      </c>
    </row>
    <row r="1892" spans="1:33" x14ac:dyDescent="0.25">
      <c r="A1892" t="s">
        <v>3064</v>
      </c>
      <c r="B1892" t="s">
        <v>577</v>
      </c>
      <c r="C1892">
        <v>162742</v>
      </c>
      <c r="D1892">
        <v>162742</v>
      </c>
      <c r="E1892">
        <v>0</v>
      </c>
      <c r="F1892">
        <v>30</v>
      </c>
      <c r="G1892">
        <v>50</v>
      </c>
      <c r="O1892">
        <v>80</v>
      </c>
      <c r="S1892">
        <f t="shared" si="437"/>
        <v>5</v>
      </c>
      <c r="T1892">
        <f t="shared" si="438"/>
        <v>0</v>
      </c>
      <c r="U1892">
        <f t="shared" si="436"/>
        <v>1</v>
      </c>
      <c r="V1892">
        <f t="shared" si="439"/>
        <v>1</v>
      </c>
      <c r="W1892">
        <f t="shared" si="440"/>
        <v>0</v>
      </c>
      <c r="X1892">
        <f t="shared" si="449"/>
        <v>0</v>
      </c>
      <c r="Y1892">
        <f t="shared" si="450"/>
        <v>0</v>
      </c>
      <c r="Z1892">
        <f t="shared" si="441"/>
        <v>0</v>
      </c>
      <c r="AA1892">
        <f t="shared" si="442"/>
        <v>7.5</v>
      </c>
      <c r="AB1892">
        <f t="shared" si="443"/>
        <v>7.1428571428571432</v>
      </c>
      <c r="AC1892">
        <f t="shared" si="444"/>
        <v>0</v>
      </c>
      <c r="AD1892" s="1">
        <f t="shared" si="445"/>
        <v>0</v>
      </c>
      <c r="AE1892">
        <f t="shared" si="446"/>
        <v>0</v>
      </c>
      <c r="AF1892">
        <f t="shared" si="447"/>
        <v>0</v>
      </c>
      <c r="AG1892">
        <f t="shared" si="448"/>
        <v>0</v>
      </c>
    </row>
    <row r="1893" spans="1:33" x14ac:dyDescent="0.25">
      <c r="A1893" t="s">
        <v>3065</v>
      </c>
      <c r="B1893" t="s">
        <v>3066</v>
      </c>
      <c r="C1893">
        <v>167348</v>
      </c>
      <c r="D1893">
        <v>167348</v>
      </c>
      <c r="H1893">
        <v>20</v>
      </c>
      <c r="I1893">
        <v>20</v>
      </c>
      <c r="J1893">
        <v>20</v>
      </c>
      <c r="K1893">
        <v>10</v>
      </c>
      <c r="L1893">
        <v>0</v>
      </c>
      <c r="M1893">
        <v>70</v>
      </c>
      <c r="S1893">
        <f t="shared" si="437"/>
        <v>0</v>
      </c>
      <c r="T1893">
        <f t="shared" si="438"/>
        <v>5.833333333333333</v>
      </c>
      <c r="U1893">
        <f t="shared" si="436"/>
        <v>1</v>
      </c>
      <c r="V1893">
        <f t="shared" si="439"/>
        <v>0</v>
      </c>
      <c r="W1893">
        <f t="shared" si="440"/>
        <v>1</v>
      </c>
      <c r="X1893">
        <f t="shared" si="449"/>
        <v>0</v>
      </c>
      <c r="Y1893">
        <f t="shared" si="450"/>
        <v>0</v>
      </c>
      <c r="Z1893">
        <f t="shared" si="441"/>
        <v>0</v>
      </c>
      <c r="AA1893">
        <f t="shared" si="442"/>
        <v>0</v>
      </c>
      <c r="AB1893">
        <f t="shared" si="443"/>
        <v>0</v>
      </c>
      <c r="AC1893">
        <f t="shared" si="444"/>
        <v>10</v>
      </c>
      <c r="AD1893" s="1">
        <f t="shared" si="445"/>
        <v>3.3333333333333335</v>
      </c>
      <c r="AE1893">
        <f t="shared" si="446"/>
        <v>10</v>
      </c>
      <c r="AF1893">
        <f t="shared" si="447"/>
        <v>10</v>
      </c>
      <c r="AG1893">
        <f t="shared" si="448"/>
        <v>0</v>
      </c>
    </row>
    <row r="1894" spans="1:33" x14ac:dyDescent="0.25">
      <c r="A1894" t="s">
        <v>3067</v>
      </c>
      <c r="B1894" t="s">
        <v>1829</v>
      </c>
      <c r="C1894">
        <v>163028</v>
      </c>
      <c r="D1894">
        <v>163028</v>
      </c>
      <c r="H1894">
        <v>10</v>
      </c>
      <c r="I1894">
        <v>50</v>
      </c>
      <c r="J1894">
        <v>20</v>
      </c>
      <c r="K1894">
        <v>10</v>
      </c>
      <c r="L1894">
        <v>0</v>
      </c>
      <c r="M1894">
        <v>90</v>
      </c>
      <c r="S1894">
        <f t="shared" si="437"/>
        <v>0</v>
      </c>
      <c r="T1894">
        <f t="shared" si="438"/>
        <v>7.5</v>
      </c>
      <c r="U1894">
        <f t="shared" si="436"/>
        <v>1</v>
      </c>
      <c r="V1894">
        <f t="shared" si="439"/>
        <v>0</v>
      </c>
      <c r="W1894">
        <f t="shared" si="440"/>
        <v>1</v>
      </c>
      <c r="X1894">
        <f t="shared" si="449"/>
        <v>0</v>
      </c>
      <c r="Y1894">
        <f t="shared" si="450"/>
        <v>1</v>
      </c>
      <c r="Z1894">
        <f t="shared" si="441"/>
        <v>0</v>
      </c>
      <c r="AA1894">
        <f t="shared" si="442"/>
        <v>0</v>
      </c>
      <c r="AB1894">
        <f t="shared" si="443"/>
        <v>0</v>
      </c>
      <c r="AC1894">
        <f t="shared" si="444"/>
        <v>5</v>
      </c>
      <c r="AD1894" s="1">
        <f t="shared" si="445"/>
        <v>8.3333333333333339</v>
      </c>
      <c r="AE1894">
        <f t="shared" si="446"/>
        <v>10</v>
      </c>
      <c r="AF1894">
        <f t="shared" si="447"/>
        <v>10</v>
      </c>
      <c r="AG1894">
        <f t="shared" si="448"/>
        <v>0</v>
      </c>
    </row>
    <row r="1895" spans="1:33" x14ac:dyDescent="0.25">
      <c r="A1895" t="s">
        <v>3068</v>
      </c>
      <c r="B1895" t="s">
        <v>3069</v>
      </c>
      <c r="C1895">
        <v>166325</v>
      </c>
      <c r="D1895">
        <v>166325</v>
      </c>
      <c r="E1895">
        <v>10</v>
      </c>
      <c r="F1895">
        <v>0</v>
      </c>
      <c r="G1895">
        <v>40</v>
      </c>
      <c r="O1895">
        <v>50</v>
      </c>
      <c r="S1895">
        <f t="shared" si="437"/>
        <v>3.125</v>
      </c>
      <c r="T1895">
        <f t="shared" si="438"/>
        <v>0</v>
      </c>
      <c r="U1895">
        <f t="shared" si="436"/>
        <v>1</v>
      </c>
      <c r="V1895">
        <f t="shared" si="439"/>
        <v>1</v>
      </c>
      <c r="W1895">
        <f t="shared" si="440"/>
        <v>0</v>
      </c>
      <c r="X1895">
        <f t="shared" si="449"/>
        <v>0</v>
      </c>
      <c r="Y1895">
        <f t="shared" si="450"/>
        <v>0</v>
      </c>
      <c r="Z1895">
        <f t="shared" si="441"/>
        <v>2</v>
      </c>
      <c r="AA1895">
        <f t="shared" si="442"/>
        <v>0</v>
      </c>
      <c r="AB1895">
        <f t="shared" si="443"/>
        <v>5.7142857142857144</v>
      </c>
      <c r="AC1895">
        <f t="shared" si="444"/>
        <v>0</v>
      </c>
      <c r="AD1895" s="1">
        <f t="shared" si="445"/>
        <v>0</v>
      </c>
      <c r="AE1895">
        <f t="shared" si="446"/>
        <v>0</v>
      </c>
      <c r="AF1895">
        <f t="shared" si="447"/>
        <v>0</v>
      </c>
      <c r="AG1895">
        <f t="shared" si="448"/>
        <v>0</v>
      </c>
    </row>
    <row r="1896" spans="1:33" x14ac:dyDescent="0.25">
      <c r="A1896" t="s">
        <v>3070</v>
      </c>
      <c r="B1896" t="s">
        <v>83</v>
      </c>
      <c r="C1896">
        <v>165596</v>
      </c>
      <c r="D1896">
        <v>165596</v>
      </c>
      <c r="H1896">
        <v>10</v>
      </c>
      <c r="I1896">
        <v>10</v>
      </c>
      <c r="J1896">
        <v>10</v>
      </c>
      <c r="K1896">
        <v>10</v>
      </c>
      <c r="L1896">
        <v>0</v>
      </c>
      <c r="M1896">
        <v>40</v>
      </c>
      <c r="S1896">
        <f t="shared" si="437"/>
        <v>0</v>
      </c>
      <c r="T1896">
        <f t="shared" si="438"/>
        <v>3.3333333333333335</v>
      </c>
      <c r="U1896">
        <f t="shared" si="436"/>
        <v>1</v>
      </c>
      <c r="V1896">
        <f t="shared" si="439"/>
        <v>0</v>
      </c>
      <c r="W1896">
        <f t="shared" si="440"/>
        <v>1</v>
      </c>
      <c r="X1896">
        <f t="shared" si="449"/>
        <v>0</v>
      </c>
      <c r="Y1896">
        <f t="shared" si="450"/>
        <v>0</v>
      </c>
      <c r="Z1896">
        <f t="shared" si="441"/>
        <v>0</v>
      </c>
      <c r="AA1896">
        <f t="shared" si="442"/>
        <v>0</v>
      </c>
      <c r="AB1896">
        <f t="shared" si="443"/>
        <v>0</v>
      </c>
      <c r="AC1896">
        <f t="shared" si="444"/>
        <v>5</v>
      </c>
      <c r="AD1896" s="1">
        <f t="shared" si="445"/>
        <v>1.6666666666666667</v>
      </c>
      <c r="AE1896">
        <f t="shared" si="446"/>
        <v>5</v>
      </c>
      <c r="AF1896">
        <f t="shared" si="447"/>
        <v>10</v>
      </c>
      <c r="AG1896">
        <f t="shared" si="448"/>
        <v>0</v>
      </c>
    </row>
    <row r="1897" spans="1:33" x14ac:dyDescent="0.25">
      <c r="A1897" t="s">
        <v>3071</v>
      </c>
      <c r="B1897" t="s">
        <v>596</v>
      </c>
      <c r="C1897">
        <v>168475</v>
      </c>
      <c r="D1897">
        <v>168475</v>
      </c>
      <c r="E1897">
        <v>20</v>
      </c>
      <c r="F1897">
        <v>30</v>
      </c>
      <c r="G1897">
        <v>20</v>
      </c>
      <c r="O1897">
        <v>70</v>
      </c>
      <c r="S1897">
        <f t="shared" si="437"/>
        <v>4.375</v>
      </c>
      <c r="T1897">
        <f t="shared" si="438"/>
        <v>0</v>
      </c>
      <c r="U1897">
        <f t="shared" si="436"/>
        <v>1</v>
      </c>
      <c r="V1897">
        <f t="shared" si="439"/>
        <v>1</v>
      </c>
      <c r="W1897">
        <f t="shared" si="440"/>
        <v>0</v>
      </c>
      <c r="X1897">
        <f t="shared" si="449"/>
        <v>0</v>
      </c>
      <c r="Y1897">
        <f t="shared" si="450"/>
        <v>0</v>
      </c>
      <c r="Z1897">
        <f t="shared" si="441"/>
        <v>4</v>
      </c>
      <c r="AA1897">
        <f t="shared" si="442"/>
        <v>7.5</v>
      </c>
      <c r="AB1897">
        <f t="shared" si="443"/>
        <v>2.8571428571428572</v>
      </c>
      <c r="AC1897">
        <f t="shared" si="444"/>
        <v>0</v>
      </c>
      <c r="AD1897" s="1">
        <f t="shared" si="445"/>
        <v>0</v>
      </c>
      <c r="AE1897">
        <f t="shared" si="446"/>
        <v>0</v>
      </c>
      <c r="AF1897">
        <f t="shared" si="447"/>
        <v>0</v>
      </c>
      <c r="AG1897">
        <f t="shared" si="448"/>
        <v>0</v>
      </c>
    </row>
    <row r="1898" spans="1:33" x14ac:dyDescent="0.25">
      <c r="A1898" t="s">
        <v>3072</v>
      </c>
      <c r="B1898" t="s">
        <v>3073</v>
      </c>
      <c r="C1898">
        <v>167203</v>
      </c>
      <c r="D1898">
        <v>167203</v>
      </c>
      <c r="S1898">
        <f t="shared" si="437"/>
        <v>0</v>
      </c>
      <c r="T1898">
        <f t="shared" si="438"/>
        <v>0</v>
      </c>
      <c r="U1898">
        <f t="shared" si="436"/>
        <v>0</v>
      </c>
      <c r="V1898">
        <f t="shared" si="439"/>
        <v>0</v>
      </c>
      <c r="W1898">
        <f t="shared" si="440"/>
        <v>0</v>
      </c>
      <c r="X1898">
        <f t="shared" si="449"/>
        <v>0</v>
      </c>
      <c r="Y1898">
        <f t="shared" si="450"/>
        <v>0</v>
      </c>
      <c r="Z1898">
        <f t="shared" si="441"/>
        <v>0</v>
      </c>
      <c r="AA1898">
        <f t="shared" si="442"/>
        <v>0</v>
      </c>
      <c r="AB1898">
        <f t="shared" si="443"/>
        <v>0</v>
      </c>
      <c r="AC1898">
        <f t="shared" si="444"/>
        <v>0</v>
      </c>
      <c r="AD1898" s="1">
        <f t="shared" si="445"/>
        <v>0</v>
      </c>
      <c r="AE1898">
        <f t="shared" si="446"/>
        <v>0</v>
      </c>
      <c r="AF1898">
        <f t="shared" si="447"/>
        <v>0</v>
      </c>
      <c r="AG1898">
        <f t="shared" si="448"/>
        <v>0</v>
      </c>
    </row>
    <row r="1899" spans="1:33" x14ac:dyDescent="0.25">
      <c r="A1899" t="s">
        <v>3074</v>
      </c>
      <c r="B1899" t="s">
        <v>761</v>
      </c>
      <c r="C1899">
        <v>165992</v>
      </c>
      <c r="D1899">
        <v>165992</v>
      </c>
      <c r="H1899">
        <v>20</v>
      </c>
      <c r="I1899">
        <v>40</v>
      </c>
      <c r="J1899">
        <v>20</v>
      </c>
      <c r="K1899">
        <v>10</v>
      </c>
      <c r="L1899">
        <v>0</v>
      </c>
      <c r="M1899">
        <v>90</v>
      </c>
      <c r="S1899">
        <f t="shared" si="437"/>
        <v>0</v>
      </c>
      <c r="T1899">
        <f t="shared" si="438"/>
        <v>7.5</v>
      </c>
      <c r="U1899">
        <f t="shared" si="436"/>
        <v>1</v>
      </c>
      <c r="V1899">
        <f t="shared" si="439"/>
        <v>0</v>
      </c>
      <c r="W1899">
        <f t="shared" si="440"/>
        <v>1</v>
      </c>
      <c r="X1899">
        <f t="shared" si="449"/>
        <v>0</v>
      </c>
      <c r="Y1899">
        <f t="shared" si="450"/>
        <v>1</v>
      </c>
      <c r="Z1899">
        <f t="shared" si="441"/>
        <v>0</v>
      </c>
      <c r="AA1899">
        <f t="shared" si="442"/>
        <v>0</v>
      </c>
      <c r="AB1899">
        <f t="shared" si="443"/>
        <v>0</v>
      </c>
      <c r="AC1899">
        <f t="shared" si="444"/>
        <v>10</v>
      </c>
      <c r="AD1899" s="1">
        <f t="shared" si="445"/>
        <v>6.666666666666667</v>
      </c>
      <c r="AE1899">
        <f t="shared" si="446"/>
        <v>10</v>
      </c>
      <c r="AF1899">
        <f t="shared" si="447"/>
        <v>10</v>
      </c>
      <c r="AG1899">
        <f t="shared" si="448"/>
        <v>0</v>
      </c>
    </row>
    <row r="1900" spans="1:33" x14ac:dyDescent="0.25">
      <c r="A1900" t="s">
        <v>3075</v>
      </c>
      <c r="B1900" t="s">
        <v>1501</v>
      </c>
      <c r="C1900">
        <v>167585</v>
      </c>
      <c r="D1900">
        <v>167585</v>
      </c>
      <c r="H1900">
        <v>20</v>
      </c>
      <c r="I1900">
        <v>50</v>
      </c>
      <c r="J1900">
        <v>10</v>
      </c>
      <c r="K1900">
        <v>10</v>
      </c>
      <c r="L1900">
        <v>10</v>
      </c>
      <c r="M1900">
        <v>100</v>
      </c>
      <c r="S1900">
        <f t="shared" si="437"/>
        <v>0</v>
      </c>
      <c r="T1900">
        <f t="shared" si="438"/>
        <v>8.3333333333333339</v>
      </c>
      <c r="U1900">
        <f t="shared" si="436"/>
        <v>1</v>
      </c>
      <c r="V1900">
        <f t="shared" si="439"/>
        <v>0</v>
      </c>
      <c r="W1900">
        <f t="shared" si="440"/>
        <v>1</v>
      </c>
      <c r="X1900">
        <f t="shared" si="449"/>
        <v>0</v>
      </c>
      <c r="Y1900">
        <f t="shared" si="450"/>
        <v>1</v>
      </c>
      <c r="Z1900">
        <f t="shared" si="441"/>
        <v>0</v>
      </c>
      <c r="AA1900">
        <f t="shared" si="442"/>
        <v>0</v>
      </c>
      <c r="AB1900">
        <f t="shared" si="443"/>
        <v>0</v>
      </c>
      <c r="AC1900">
        <f t="shared" si="444"/>
        <v>10</v>
      </c>
      <c r="AD1900" s="1">
        <f t="shared" si="445"/>
        <v>8.3333333333333339</v>
      </c>
      <c r="AE1900">
        <f t="shared" si="446"/>
        <v>5</v>
      </c>
      <c r="AF1900">
        <f t="shared" si="447"/>
        <v>10</v>
      </c>
      <c r="AG1900">
        <f t="shared" si="448"/>
        <v>10</v>
      </c>
    </row>
    <row r="1901" spans="1:33" x14ac:dyDescent="0.25">
      <c r="A1901" t="s">
        <v>3076</v>
      </c>
      <c r="B1901" t="s">
        <v>3077</v>
      </c>
      <c r="C1901">
        <v>166918</v>
      </c>
      <c r="D1901">
        <v>166918</v>
      </c>
      <c r="H1901">
        <v>0</v>
      </c>
      <c r="I1901">
        <v>10</v>
      </c>
      <c r="J1901">
        <v>10</v>
      </c>
      <c r="K1901">
        <v>0</v>
      </c>
      <c r="L1901">
        <v>0</v>
      </c>
      <c r="M1901">
        <v>20</v>
      </c>
      <c r="S1901">
        <f t="shared" si="437"/>
        <v>0</v>
      </c>
      <c r="T1901">
        <f t="shared" si="438"/>
        <v>1.6666666666666667</v>
      </c>
      <c r="U1901">
        <f t="shared" si="436"/>
        <v>1</v>
      </c>
      <c r="V1901">
        <f t="shared" si="439"/>
        <v>0</v>
      </c>
      <c r="W1901">
        <f t="shared" si="440"/>
        <v>1</v>
      </c>
      <c r="X1901">
        <f t="shared" si="449"/>
        <v>0</v>
      </c>
      <c r="Y1901">
        <f t="shared" si="450"/>
        <v>0</v>
      </c>
      <c r="Z1901">
        <f t="shared" si="441"/>
        <v>0</v>
      </c>
      <c r="AA1901">
        <f t="shared" si="442"/>
        <v>0</v>
      </c>
      <c r="AB1901">
        <f t="shared" si="443"/>
        <v>0</v>
      </c>
      <c r="AC1901">
        <f t="shared" si="444"/>
        <v>0</v>
      </c>
      <c r="AD1901" s="1">
        <f t="shared" si="445"/>
        <v>1.6666666666666667</v>
      </c>
      <c r="AE1901">
        <f t="shared" si="446"/>
        <v>5</v>
      </c>
      <c r="AF1901">
        <f t="shared" si="447"/>
        <v>0</v>
      </c>
      <c r="AG1901">
        <f t="shared" si="448"/>
        <v>0</v>
      </c>
    </row>
    <row r="1902" spans="1:33" x14ac:dyDescent="0.25">
      <c r="A1902" t="s">
        <v>3078</v>
      </c>
      <c r="B1902" t="s">
        <v>3079</v>
      </c>
      <c r="C1902">
        <v>168388</v>
      </c>
      <c r="D1902">
        <v>168388</v>
      </c>
      <c r="E1902">
        <v>30</v>
      </c>
      <c r="F1902">
        <v>20</v>
      </c>
      <c r="G1902">
        <v>20</v>
      </c>
      <c r="O1902">
        <v>70</v>
      </c>
      <c r="S1902">
        <f t="shared" si="437"/>
        <v>4.375</v>
      </c>
      <c r="T1902">
        <f t="shared" si="438"/>
        <v>0</v>
      </c>
      <c r="U1902">
        <f t="shared" si="436"/>
        <v>1</v>
      </c>
      <c r="V1902">
        <f t="shared" si="439"/>
        <v>1</v>
      </c>
      <c r="W1902">
        <f t="shared" si="440"/>
        <v>0</v>
      </c>
      <c r="X1902">
        <f t="shared" si="449"/>
        <v>0</v>
      </c>
      <c r="Y1902">
        <f t="shared" si="450"/>
        <v>0</v>
      </c>
      <c r="Z1902">
        <f t="shared" si="441"/>
        <v>6</v>
      </c>
      <c r="AA1902">
        <f t="shared" si="442"/>
        <v>5</v>
      </c>
      <c r="AB1902">
        <f t="shared" si="443"/>
        <v>2.8571428571428572</v>
      </c>
      <c r="AC1902">
        <f t="shared" si="444"/>
        <v>0</v>
      </c>
      <c r="AD1902" s="1">
        <f t="shared" si="445"/>
        <v>0</v>
      </c>
      <c r="AE1902">
        <f t="shared" si="446"/>
        <v>0</v>
      </c>
      <c r="AF1902">
        <f t="shared" si="447"/>
        <v>0</v>
      </c>
      <c r="AG1902">
        <f t="shared" si="448"/>
        <v>0</v>
      </c>
    </row>
    <row r="1903" spans="1:33" x14ac:dyDescent="0.25">
      <c r="A1903" t="s">
        <v>3080</v>
      </c>
      <c r="B1903" t="s">
        <v>1631</v>
      </c>
      <c r="C1903">
        <v>166374</v>
      </c>
      <c r="D1903">
        <v>166374</v>
      </c>
      <c r="E1903">
        <v>30</v>
      </c>
      <c r="F1903">
        <v>20</v>
      </c>
      <c r="G1903">
        <v>40</v>
      </c>
      <c r="O1903">
        <v>90</v>
      </c>
      <c r="S1903">
        <f t="shared" si="437"/>
        <v>5.625</v>
      </c>
      <c r="T1903">
        <f t="shared" si="438"/>
        <v>0</v>
      </c>
      <c r="U1903">
        <f t="shared" si="436"/>
        <v>1</v>
      </c>
      <c r="V1903">
        <f t="shared" si="439"/>
        <v>1</v>
      </c>
      <c r="W1903">
        <f t="shared" si="440"/>
        <v>0</v>
      </c>
      <c r="X1903">
        <f t="shared" si="449"/>
        <v>0</v>
      </c>
      <c r="Y1903">
        <f t="shared" si="450"/>
        <v>0</v>
      </c>
      <c r="Z1903">
        <f t="shared" si="441"/>
        <v>6</v>
      </c>
      <c r="AA1903">
        <f t="shared" si="442"/>
        <v>5</v>
      </c>
      <c r="AB1903">
        <f t="shared" si="443"/>
        <v>5.7142857142857144</v>
      </c>
      <c r="AC1903">
        <f t="shared" si="444"/>
        <v>0</v>
      </c>
      <c r="AD1903" s="1">
        <f t="shared" si="445"/>
        <v>0</v>
      </c>
      <c r="AE1903">
        <f t="shared" si="446"/>
        <v>0</v>
      </c>
      <c r="AF1903">
        <f t="shared" si="447"/>
        <v>0</v>
      </c>
      <c r="AG1903">
        <f t="shared" si="448"/>
        <v>0</v>
      </c>
    </row>
    <row r="1904" spans="1:33" x14ac:dyDescent="0.25">
      <c r="A1904" t="s">
        <v>3081</v>
      </c>
      <c r="B1904" t="s">
        <v>3082</v>
      </c>
      <c r="C1904">
        <v>161660</v>
      </c>
      <c r="D1904">
        <v>161660</v>
      </c>
      <c r="S1904">
        <f t="shared" si="437"/>
        <v>0</v>
      </c>
      <c r="T1904">
        <f t="shared" si="438"/>
        <v>0</v>
      </c>
      <c r="U1904">
        <f t="shared" si="436"/>
        <v>0</v>
      </c>
      <c r="V1904">
        <f t="shared" si="439"/>
        <v>0</v>
      </c>
      <c r="W1904">
        <f t="shared" si="440"/>
        <v>0</v>
      </c>
      <c r="X1904">
        <f t="shared" si="449"/>
        <v>0</v>
      </c>
      <c r="Y1904">
        <f t="shared" si="450"/>
        <v>0</v>
      </c>
      <c r="Z1904">
        <f t="shared" si="441"/>
        <v>0</v>
      </c>
      <c r="AA1904">
        <f t="shared" si="442"/>
        <v>0</v>
      </c>
      <c r="AB1904">
        <f t="shared" si="443"/>
        <v>0</v>
      </c>
      <c r="AC1904">
        <f t="shared" si="444"/>
        <v>0</v>
      </c>
      <c r="AD1904" s="1">
        <f t="shared" si="445"/>
        <v>0</v>
      </c>
      <c r="AE1904">
        <f t="shared" si="446"/>
        <v>0</v>
      </c>
      <c r="AF1904">
        <f t="shared" si="447"/>
        <v>0</v>
      </c>
      <c r="AG1904">
        <f t="shared" si="448"/>
        <v>0</v>
      </c>
    </row>
    <row r="1905" spans="1:33" x14ac:dyDescent="0.25">
      <c r="A1905" t="s">
        <v>3083</v>
      </c>
      <c r="B1905" t="s">
        <v>3084</v>
      </c>
      <c r="C1905">
        <v>167112</v>
      </c>
      <c r="D1905">
        <v>167112</v>
      </c>
      <c r="H1905">
        <v>10</v>
      </c>
      <c r="I1905">
        <v>30</v>
      </c>
      <c r="J1905">
        <v>10</v>
      </c>
      <c r="K1905">
        <v>10</v>
      </c>
      <c r="L1905">
        <v>10</v>
      </c>
      <c r="M1905">
        <v>70</v>
      </c>
      <c r="S1905">
        <f t="shared" si="437"/>
        <v>0</v>
      </c>
      <c r="T1905">
        <f t="shared" si="438"/>
        <v>5.833333333333333</v>
      </c>
      <c r="U1905">
        <f t="shared" si="436"/>
        <v>1</v>
      </c>
      <c r="V1905">
        <f t="shared" si="439"/>
        <v>0</v>
      </c>
      <c r="W1905">
        <f t="shared" si="440"/>
        <v>1</v>
      </c>
      <c r="X1905">
        <f t="shared" si="449"/>
        <v>0</v>
      </c>
      <c r="Y1905">
        <f t="shared" si="450"/>
        <v>0</v>
      </c>
      <c r="Z1905">
        <f t="shared" si="441"/>
        <v>0</v>
      </c>
      <c r="AA1905">
        <f t="shared" si="442"/>
        <v>0</v>
      </c>
      <c r="AB1905">
        <f t="shared" si="443"/>
        <v>0</v>
      </c>
      <c r="AC1905">
        <f t="shared" si="444"/>
        <v>5</v>
      </c>
      <c r="AD1905" s="1">
        <f t="shared" si="445"/>
        <v>5</v>
      </c>
      <c r="AE1905">
        <f t="shared" si="446"/>
        <v>5</v>
      </c>
      <c r="AF1905">
        <f t="shared" si="447"/>
        <v>10</v>
      </c>
      <c r="AG1905">
        <f t="shared" si="448"/>
        <v>10</v>
      </c>
    </row>
    <row r="1906" spans="1:33" x14ac:dyDescent="0.25">
      <c r="A1906" t="s">
        <v>3085</v>
      </c>
      <c r="B1906" t="s">
        <v>3086</v>
      </c>
      <c r="C1906">
        <v>163821</v>
      </c>
      <c r="D1906">
        <v>163821</v>
      </c>
      <c r="E1906">
        <v>50</v>
      </c>
      <c r="F1906">
        <v>30</v>
      </c>
      <c r="G1906">
        <v>30</v>
      </c>
      <c r="O1906">
        <v>110</v>
      </c>
      <c r="S1906">
        <f t="shared" si="437"/>
        <v>6.875</v>
      </c>
      <c r="T1906">
        <f t="shared" si="438"/>
        <v>0</v>
      </c>
      <c r="U1906">
        <f t="shared" si="436"/>
        <v>1</v>
      </c>
      <c r="V1906">
        <f t="shared" si="439"/>
        <v>1</v>
      </c>
      <c r="W1906">
        <f t="shared" si="440"/>
        <v>0</v>
      </c>
      <c r="X1906">
        <f t="shared" si="449"/>
        <v>1</v>
      </c>
      <c r="Y1906">
        <f t="shared" si="450"/>
        <v>0</v>
      </c>
      <c r="Z1906">
        <f t="shared" si="441"/>
        <v>10</v>
      </c>
      <c r="AA1906">
        <f t="shared" si="442"/>
        <v>7.5</v>
      </c>
      <c r="AB1906">
        <f t="shared" si="443"/>
        <v>4.2857142857142856</v>
      </c>
      <c r="AC1906">
        <f t="shared" si="444"/>
        <v>0</v>
      </c>
      <c r="AD1906" s="1">
        <f t="shared" si="445"/>
        <v>0</v>
      </c>
      <c r="AE1906">
        <f t="shared" si="446"/>
        <v>0</v>
      </c>
      <c r="AF1906">
        <f t="shared" si="447"/>
        <v>0</v>
      </c>
      <c r="AG1906">
        <f t="shared" si="448"/>
        <v>0</v>
      </c>
    </row>
    <row r="1907" spans="1:33" x14ac:dyDescent="0.25">
      <c r="A1907" t="s">
        <v>3087</v>
      </c>
      <c r="B1907" t="s">
        <v>982</v>
      </c>
      <c r="C1907">
        <v>165248</v>
      </c>
      <c r="D1907">
        <v>165248</v>
      </c>
      <c r="E1907">
        <v>10</v>
      </c>
      <c r="F1907">
        <v>30</v>
      </c>
      <c r="G1907">
        <v>30</v>
      </c>
      <c r="O1907">
        <v>70</v>
      </c>
      <c r="S1907">
        <f t="shared" si="437"/>
        <v>4.375</v>
      </c>
      <c r="T1907">
        <f t="shared" si="438"/>
        <v>0</v>
      </c>
      <c r="U1907">
        <f t="shared" si="436"/>
        <v>1</v>
      </c>
      <c r="V1907">
        <f t="shared" si="439"/>
        <v>1</v>
      </c>
      <c r="W1907">
        <f t="shared" si="440"/>
        <v>0</v>
      </c>
      <c r="X1907">
        <f t="shared" si="449"/>
        <v>0</v>
      </c>
      <c r="Y1907">
        <f t="shared" si="450"/>
        <v>0</v>
      </c>
      <c r="Z1907">
        <f t="shared" si="441"/>
        <v>2</v>
      </c>
      <c r="AA1907">
        <f t="shared" si="442"/>
        <v>7.5</v>
      </c>
      <c r="AB1907">
        <f t="shared" si="443"/>
        <v>4.2857142857142856</v>
      </c>
      <c r="AC1907">
        <f t="shared" si="444"/>
        <v>0</v>
      </c>
      <c r="AD1907" s="1">
        <f t="shared" si="445"/>
        <v>0</v>
      </c>
      <c r="AE1907">
        <f t="shared" si="446"/>
        <v>0</v>
      </c>
      <c r="AF1907">
        <f t="shared" si="447"/>
        <v>0</v>
      </c>
      <c r="AG1907">
        <f t="shared" si="448"/>
        <v>0</v>
      </c>
    </row>
    <row r="1908" spans="1:33" x14ac:dyDescent="0.25">
      <c r="A1908" t="s">
        <v>3088</v>
      </c>
      <c r="B1908" t="s">
        <v>176</v>
      </c>
      <c r="C1908">
        <v>168754</v>
      </c>
      <c r="D1908">
        <v>168754</v>
      </c>
      <c r="H1908">
        <v>10</v>
      </c>
      <c r="I1908">
        <v>30</v>
      </c>
      <c r="J1908">
        <v>10</v>
      </c>
      <c r="K1908">
        <v>10</v>
      </c>
      <c r="L1908">
        <v>0</v>
      </c>
      <c r="M1908">
        <v>60</v>
      </c>
      <c r="S1908">
        <f t="shared" si="437"/>
        <v>0</v>
      </c>
      <c r="T1908">
        <f t="shared" si="438"/>
        <v>5</v>
      </c>
      <c r="U1908">
        <f t="shared" si="436"/>
        <v>1</v>
      </c>
      <c r="V1908">
        <f t="shared" si="439"/>
        <v>0</v>
      </c>
      <c r="W1908">
        <f t="shared" si="440"/>
        <v>1</v>
      </c>
      <c r="X1908">
        <f t="shared" si="449"/>
        <v>0</v>
      </c>
      <c r="Y1908">
        <f t="shared" si="450"/>
        <v>0</v>
      </c>
      <c r="Z1908">
        <f t="shared" si="441"/>
        <v>0</v>
      </c>
      <c r="AA1908">
        <f t="shared" si="442"/>
        <v>0</v>
      </c>
      <c r="AB1908">
        <f t="shared" si="443"/>
        <v>0</v>
      </c>
      <c r="AC1908">
        <f t="shared" si="444"/>
        <v>5</v>
      </c>
      <c r="AD1908" s="1">
        <f t="shared" si="445"/>
        <v>5</v>
      </c>
      <c r="AE1908">
        <f t="shared" si="446"/>
        <v>5</v>
      </c>
      <c r="AF1908">
        <f t="shared" si="447"/>
        <v>10</v>
      </c>
      <c r="AG1908">
        <f t="shared" si="448"/>
        <v>0</v>
      </c>
    </row>
    <row r="1909" spans="1:33" x14ac:dyDescent="0.25">
      <c r="A1909" t="s">
        <v>3089</v>
      </c>
      <c r="B1909" t="s">
        <v>367</v>
      </c>
      <c r="C1909">
        <v>167728</v>
      </c>
      <c r="D1909">
        <v>167728</v>
      </c>
      <c r="H1909">
        <v>0</v>
      </c>
      <c r="M1909">
        <v>0</v>
      </c>
      <c r="S1909">
        <f t="shared" si="437"/>
        <v>0</v>
      </c>
      <c r="T1909">
        <f t="shared" si="438"/>
        <v>0</v>
      </c>
      <c r="U1909">
        <f t="shared" si="436"/>
        <v>1</v>
      </c>
      <c r="V1909">
        <f t="shared" si="439"/>
        <v>0</v>
      </c>
      <c r="W1909">
        <f t="shared" si="440"/>
        <v>1</v>
      </c>
      <c r="X1909">
        <f t="shared" si="449"/>
        <v>0</v>
      </c>
      <c r="Y1909">
        <f t="shared" si="450"/>
        <v>0</v>
      </c>
      <c r="Z1909">
        <f t="shared" si="441"/>
        <v>0</v>
      </c>
      <c r="AA1909">
        <f t="shared" si="442"/>
        <v>0</v>
      </c>
      <c r="AB1909">
        <f t="shared" si="443"/>
        <v>0</v>
      </c>
      <c r="AC1909">
        <f t="shared" si="444"/>
        <v>0</v>
      </c>
      <c r="AD1909" s="1">
        <f t="shared" si="445"/>
        <v>0</v>
      </c>
      <c r="AE1909">
        <f t="shared" si="446"/>
        <v>0</v>
      </c>
      <c r="AF1909">
        <f t="shared" si="447"/>
        <v>0</v>
      </c>
      <c r="AG1909">
        <f t="shared" si="448"/>
        <v>0</v>
      </c>
    </row>
    <row r="1910" spans="1:33" x14ac:dyDescent="0.25">
      <c r="A1910" t="s">
        <v>3090</v>
      </c>
      <c r="B1910" t="s">
        <v>3091</v>
      </c>
      <c r="C1910">
        <v>168909</v>
      </c>
      <c r="D1910">
        <v>168909</v>
      </c>
      <c r="S1910">
        <f t="shared" si="437"/>
        <v>0</v>
      </c>
      <c r="T1910">
        <f t="shared" si="438"/>
        <v>0</v>
      </c>
      <c r="U1910">
        <f t="shared" si="436"/>
        <v>0</v>
      </c>
      <c r="V1910">
        <f t="shared" si="439"/>
        <v>0</v>
      </c>
      <c r="W1910">
        <f t="shared" si="440"/>
        <v>0</v>
      </c>
      <c r="X1910">
        <f t="shared" si="449"/>
        <v>0</v>
      </c>
      <c r="Y1910">
        <f t="shared" si="450"/>
        <v>0</v>
      </c>
      <c r="Z1910">
        <f t="shared" si="441"/>
        <v>0</v>
      </c>
      <c r="AA1910">
        <f t="shared" si="442"/>
        <v>0</v>
      </c>
      <c r="AB1910">
        <f t="shared" si="443"/>
        <v>0</v>
      </c>
      <c r="AC1910">
        <f t="shared" si="444"/>
        <v>0</v>
      </c>
      <c r="AD1910" s="1">
        <f t="shared" si="445"/>
        <v>0</v>
      </c>
      <c r="AE1910">
        <f t="shared" si="446"/>
        <v>0</v>
      </c>
      <c r="AF1910">
        <f t="shared" si="447"/>
        <v>0</v>
      </c>
      <c r="AG1910">
        <f t="shared" si="448"/>
        <v>0</v>
      </c>
    </row>
    <row r="1911" spans="1:33" x14ac:dyDescent="0.25">
      <c r="A1911" t="s">
        <v>3092</v>
      </c>
      <c r="B1911" t="s">
        <v>3093</v>
      </c>
      <c r="C1911">
        <v>167756</v>
      </c>
      <c r="D1911">
        <v>167756</v>
      </c>
      <c r="E1911">
        <v>20</v>
      </c>
      <c r="F1911">
        <v>20</v>
      </c>
      <c r="G1911">
        <v>10</v>
      </c>
      <c r="O1911">
        <v>50</v>
      </c>
      <c r="S1911">
        <f t="shared" si="437"/>
        <v>3.125</v>
      </c>
      <c r="T1911">
        <f t="shared" si="438"/>
        <v>0</v>
      </c>
      <c r="U1911">
        <f t="shared" si="436"/>
        <v>1</v>
      </c>
      <c r="V1911">
        <f t="shared" si="439"/>
        <v>1</v>
      </c>
      <c r="W1911">
        <f t="shared" si="440"/>
        <v>0</v>
      </c>
      <c r="X1911">
        <f t="shared" si="449"/>
        <v>0</v>
      </c>
      <c r="Y1911">
        <f t="shared" si="450"/>
        <v>0</v>
      </c>
      <c r="Z1911">
        <f t="shared" si="441"/>
        <v>4</v>
      </c>
      <c r="AA1911">
        <f t="shared" si="442"/>
        <v>5</v>
      </c>
      <c r="AB1911">
        <f t="shared" si="443"/>
        <v>1.4285714285714286</v>
      </c>
      <c r="AC1911">
        <f t="shared" si="444"/>
        <v>0</v>
      </c>
      <c r="AD1911" s="1">
        <f t="shared" si="445"/>
        <v>0</v>
      </c>
      <c r="AE1911">
        <f t="shared" si="446"/>
        <v>0</v>
      </c>
      <c r="AF1911">
        <f t="shared" si="447"/>
        <v>0</v>
      </c>
      <c r="AG1911">
        <f t="shared" si="448"/>
        <v>0</v>
      </c>
    </row>
    <row r="1912" spans="1:33" x14ac:dyDescent="0.25">
      <c r="A1912" t="s">
        <v>3094</v>
      </c>
      <c r="B1912" t="s">
        <v>725</v>
      </c>
      <c r="C1912">
        <v>164673</v>
      </c>
      <c r="D1912">
        <v>164673</v>
      </c>
      <c r="E1912">
        <v>10</v>
      </c>
      <c r="F1912">
        <v>10</v>
      </c>
      <c r="G1912">
        <v>20</v>
      </c>
      <c r="O1912">
        <v>40</v>
      </c>
      <c r="S1912">
        <f t="shared" si="437"/>
        <v>2.5</v>
      </c>
      <c r="T1912">
        <f t="shared" si="438"/>
        <v>0</v>
      </c>
      <c r="U1912">
        <f t="shared" si="436"/>
        <v>1</v>
      </c>
      <c r="V1912">
        <f t="shared" si="439"/>
        <v>1</v>
      </c>
      <c r="W1912">
        <f t="shared" si="440"/>
        <v>0</v>
      </c>
      <c r="X1912">
        <f t="shared" si="449"/>
        <v>0</v>
      </c>
      <c r="Y1912">
        <f t="shared" si="450"/>
        <v>0</v>
      </c>
      <c r="Z1912">
        <f t="shared" si="441"/>
        <v>2</v>
      </c>
      <c r="AA1912">
        <f t="shared" si="442"/>
        <v>2.5</v>
      </c>
      <c r="AB1912">
        <f t="shared" si="443"/>
        <v>2.8571428571428572</v>
      </c>
      <c r="AC1912">
        <f t="shared" si="444"/>
        <v>0</v>
      </c>
      <c r="AD1912" s="1">
        <f t="shared" si="445"/>
        <v>0</v>
      </c>
      <c r="AE1912">
        <f t="shared" si="446"/>
        <v>0</v>
      </c>
      <c r="AF1912">
        <f t="shared" si="447"/>
        <v>0</v>
      </c>
      <c r="AG1912">
        <f t="shared" si="448"/>
        <v>0</v>
      </c>
    </row>
    <row r="1913" spans="1:33" x14ac:dyDescent="0.25">
      <c r="A1913" t="s">
        <v>3095</v>
      </c>
      <c r="B1913" t="s">
        <v>1272</v>
      </c>
      <c r="C1913">
        <v>168554</v>
      </c>
      <c r="D1913">
        <v>168554</v>
      </c>
      <c r="E1913">
        <v>0</v>
      </c>
      <c r="F1913">
        <v>20</v>
      </c>
      <c r="G1913">
        <v>0</v>
      </c>
      <c r="O1913">
        <v>20</v>
      </c>
      <c r="S1913">
        <f t="shared" si="437"/>
        <v>1.25</v>
      </c>
      <c r="T1913">
        <f t="shared" si="438"/>
        <v>0</v>
      </c>
      <c r="U1913">
        <f t="shared" si="436"/>
        <v>1</v>
      </c>
      <c r="V1913">
        <f t="shared" si="439"/>
        <v>1</v>
      </c>
      <c r="W1913">
        <f t="shared" si="440"/>
        <v>0</v>
      </c>
      <c r="X1913">
        <f t="shared" si="449"/>
        <v>0</v>
      </c>
      <c r="Y1913">
        <f t="shared" si="450"/>
        <v>0</v>
      </c>
      <c r="Z1913">
        <f t="shared" si="441"/>
        <v>0</v>
      </c>
      <c r="AA1913">
        <f t="shared" si="442"/>
        <v>5</v>
      </c>
      <c r="AB1913">
        <f t="shared" si="443"/>
        <v>0</v>
      </c>
      <c r="AC1913">
        <f t="shared" si="444"/>
        <v>0</v>
      </c>
      <c r="AD1913" s="1">
        <f t="shared" si="445"/>
        <v>0</v>
      </c>
      <c r="AE1913">
        <f t="shared" si="446"/>
        <v>0</v>
      </c>
      <c r="AF1913">
        <f t="shared" si="447"/>
        <v>0</v>
      </c>
      <c r="AG1913">
        <f t="shared" si="448"/>
        <v>0</v>
      </c>
    </row>
    <row r="1914" spans="1:33" x14ac:dyDescent="0.25">
      <c r="A1914" t="s">
        <v>3096</v>
      </c>
      <c r="B1914" t="s">
        <v>1308</v>
      </c>
      <c r="C1914">
        <v>168701</v>
      </c>
      <c r="D1914">
        <v>168701</v>
      </c>
      <c r="H1914">
        <v>0</v>
      </c>
      <c r="I1914">
        <v>40</v>
      </c>
      <c r="J1914">
        <v>10</v>
      </c>
      <c r="K1914">
        <v>10</v>
      </c>
      <c r="L1914">
        <v>10</v>
      </c>
      <c r="M1914">
        <v>70</v>
      </c>
      <c r="S1914">
        <f t="shared" si="437"/>
        <v>0</v>
      </c>
      <c r="T1914">
        <f t="shared" si="438"/>
        <v>5.833333333333333</v>
      </c>
      <c r="U1914">
        <f t="shared" si="436"/>
        <v>1</v>
      </c>
      <c r="V1914">
        <f t="shared" si="439"/>
        <v>0</v>
      </c>
      <c r="W1914">
        <f t="shared" si="440"/>
        <v>1</v>
      </c>
      <c r="X1914">
        <f t="shared" si="449"/>
        <v>0</v>
      </c>
      <c r="Y1914">
        <f t="shared" si="450"/>
        <v>0</v>
      </c>
      <c r="Z1914">
        <f t="shared" si="441"/>
        <v>0</v>
      </c>
      <c r="AA1914">
        <f t="shared" si="442"/>
        <v>0</v>
      </c>
      <c r="AB1914">
        <f t="shared" si="443"/>
        <v>0</v>
      </c>
      <c r="AC1914">
        <f t="shared" si="444"/>
        <v>0</v>
      </c>
      <c r="AD1914" s="1">
        <f t="shared" si="445"/>
        <v>6.666666666666667</v>
      </c>
      <c r="AE1914">
        <f t="shared" si="446"/>
        <v>5</v>
      </c>
      <c r="AF1914">
        <f t="shared" si="447"/>
        <v>10</v>
      </c>
      <c r="AG1914">
        <f t="shared" si="448"/>
        <v>10</v>
      </c>
    </row>
    <row r="1915" spans="1:33" x14ac:dyDescent="0.25">
      <c r="A1915" t="s">
        <v>3097</v>
      </c>
      <c r="B1915" t="s">
        <v>529</v>
      </c>
      <c r="C1915">
        <v>168341</v>
      </c>
      <c r="D1915">
        <v>168341</v>
      </c>
      <c r="H1915">
        <v>10</v>
      </c>
      <c r="I1915">
        <v>30</v>
      </c>
      <c r="J1915">
        <v>20</v>
      </c>
      <c r="K1915">
        <v>10</v>
      </c>
      <c r="L1915">
        <v>0</v>
      </c>
      <c r="M1915">
        <v>70</v>
      </c>
      <c r="S1915">
        <f t="shared" si="437"/>
        <v>0</v>
      </c>
      <c r="T1915">
        <f t="shared" si="438"/>
        <v>5.833333333333333</v>
      </c>
      <c r="U1915">
        <f t="shared" si="436"/>
        <v>1</v>
      </c>
      <c r="V1915">
        <f t="shared" si="439"/>
        <v>0</v>
      </c>
      <c r="W1915">
        <f t="shared" si="440"/>
        <v>1</v>
      </c>
      <c r="X1915">
        <f t="shared" si="449"/>
        <v>0</v>
      </c>
      <c r="Y1915">
        <f t="shared" si="450"/>
        <v>0</v>
      </c>
      <c r="Z1915">
        <f t="shared" si="441"/>
        <v>0</v>
      </c>
      <c r="AA1915">
        <f t="shared" si="442"/>
        <v>0</v>
      </c>
      <c r="AB1915">
        <f t="shared" si="443"/>
        <v>0</v>
      </c>
      <c r="AC1915">
        <f t="shared" si="444"/>
        <v>5</v>
      </c>
      <c r="AD1915" s="1">
        <f t="shared" si="445"/>
        <v>5</v>
      </c>
      <c r="AE1915">
        <f t="shared" si="446"/>
        <v>10</v>
      </c>
      <c r="AF1915">
        <f t="shared" si="447"/>
        <v>10</v>
      </c>
      <c r="AG1915">
        <f t="shared" si="448"/>
        <v>0</v>
      </c>
    </row>
    <row r="1916" spans="1:33" x14ac:dyDescent="0.25">
      <c r="A1916" t="s">
        <v>3098</v>
      </c>
      <c r="B1916" t="s">
        <v>3099</v>
      </c>
      <c r="C1916">
        <v>165486</v>
      </c>
      <c r="D1916">
        <v>165486</v>
      </c>
      <c r="H1916">
        <v>0</v>
      </c>
      <c r="I1916">
        <v>40</v>
      </c>
      <c r="J1916">
        <v>10</v>
      </c>
      <c r="K1916">
        <v>10</v>
      </c>
      <c r="L1916">
        <v>0</v>
      </c>
      <c r="M1916">
        <v>60</v>
      </c>
      <c r="S1916">
        <f t="shared" si="437"/>
        <v>0</v>
      </c>
      <c r="T1916">
        <f t="shared" si="438"/>
        <v>5</v>
      </c>
      <c r="U1916">
        <f t="shared" si="436"/>
        <v>1</v>
      </c>
      <c r="V1916">
        <f t="shared" si="439"/>
        <v>0</v>
      </c>
      <c r="W1916">
        <f t="shared" si="440"/>
        <v>1</v>
      </c>
      <c r="X1916">
        <f t="shared" si="449"/>
        <v>0</v>
      </c>
      <c r="Y1916">
        <f t="shared" si="450"/>
        <v>0</v>
      </c>
      <c r="Z1916">
        <f t="shared" si="441"/>
        <v>0</v>
      </c>
      <c r="AA1916">
        <f t="shared" si="442"/>
        <v>0</v>
      </c>
      <c r="AB1916">
        <f t="shared" si="443"/>
        <v>0</v>
      </c>
      <c r="AC1916">
        <f t="shared" si="444"/>
        <v>0</v>
      </c>
      <c r="AD1916" s="1">
        <f t="shared" si="445"/>
        <v>6.666666666666667</v>
      </c>
      <c r="AE1916">
        <f t="shared" si="446"/>
        <v>5</v>
      </c>
      <c r="AF1916">
        <f t="shared" si="447"/>
        <v>10</v>
      </c>
      <c r="AG1916">
        <f t="shared" si="448"/>
        <v>0</v>
      </c>
    </row>
    <row r="1917" spans="1:33" x14ac:dyDescent="0.25">
      <c r="A1917" t="s">
        <v>3100</v>
      </c>
      <c r="B1917" t="s">
        <v>53</v>
      </c>
      <c r="C1917">
        <v>166190</v>
      </c>
      <c r="D1917">
        <v>166190</v>
      </c>
      <c r="E1917">
        <v>50</v>
      </c>
      <c r="F1917">
        <v>0</v>
      </c>
      <c r="G1917">
        <v>30</v>
      </c>
      <c r="O1917">
        <v>80</v>
      </c>
      <c r="S1917">
        <f t="shared" si="437"/>
        <v>5</v>
      </c>
      <c r="T1917">
        <f t="shared" si="438"/>
        <v>0</v>
      </c>
      <c r="U1917">
        <f t="shared" si="436"/>
        <v>1</v>
      </c>
      <c r="V1917">
        <f t="shared" si="439"/>
        <v>1</v>
      </c>
      <c r="W1917">
        <f t="shared" si="440"/>
        <v>0</v>
      </c>
      <c r="X1917">
        <f t="shared" si="449"/>
        <v>0</v>
      </c>
      <c r="Y1917">
        <f t="shared" si="450"/>
        <v>0</v>
      </c>
      <c r="Z1917">
        <f t="shared" si="441"/>
        <v>10</v>
      </c>
      <c r="AA1917">
        <f t="shared" si="442"/>
        <v>0</v>
      </c>
      <c r="AB1917">
        <f t="shared" si="443"/>
        <v>4.2857142857142856</v>
      </c>
      <c r="AC1917">
        <f t="shared" si="444"/>
        <v>0</v>
      </c>
      <c r="AD1917" s="1">
        <f t="shared" si="445"/>
        <v>0</v>
      </c>
      <c r="AE1917">
        <f t="shared" si="446"/>
        <v>0</v>
      </c>
      <c r="AF1917">
        <f t="shared" si="447"/>
        <v>0</v>
      </c>
      <c r="AG1917">
        <f t="shared" si="448"/>
        <v>0</v>
      </c>
    </row>
    <row r="1918" spans="1:33" x14ac:dyDescent="0.25">
      <c r="A1918" t="s">
        <v>3101</v>
      </c>
      <c r="B1918" t="s">
        <v>3102</v>
      </c>
      <c r="C1918">
        <v>168626</v>
      </c>
      <c r="D1918">
        <v>168626</v>
      </c>
      <c r="H1918">
        <v>0</v>
      </c>
      <c r="I1918">
        <v>20</v>
      </c>
      <c r="J1918">
        <v>20</v>
      </c>
      <c r="K1918">
        <v>0</v>
      </c>
      <c r="L1918">
        <v>0</v>
      </c>
      <c r="M1918">
        <v>40</v>
      </c>
      <c r="S1918">
        <f t="shared" si="437"/>
        <v>0</v>
      </c>
      <c r="T1918">
        <f t="shared" si="438"/>
        <v>3.3333333333333335</v>
      </c>
      <c r="U1918">
        <f t="shared" si="436"/>
        <v>1</v>
      </c>
      <c r="V1918">
        <f t="shared" si="439"/>
        <v>0</v>
      </c>
      <c r="W1918">
        <f t="shared" si="440"/>
        <v>1</v>
      </c>
      <c r="X1918">
        <f t="shared" si="449"/>
        <v>0</v>
      </c>
      <c r="Y1918">
        <f t="shared" si="450"/>
        <v>0</v>
      </c>
      <c r="Z1918">
        <f t="shared" si="441"/>
        <v>0</v>
      </c>
      <c r="AA1918">
        <f t="shared" si="442"/>
        <v>0</v>
      </c>
      <c r="AB1918">
        <f t="shared" si="443"/>
        <v>0</v>
      </c>
      <c r="AC1918">
        <f t="shared" si="444"/>
        <v>0</v>
      </c>
      <c r="AD1918" s="1">
        <f t="shared" si="445"/>
        <v>3.3333333333333335</v>
      </c>
      <c r="AE1918">
        <f t="shared" si="446"/>
        <v>10</v>
      </c>
      <c r="AF1918">
        <f t="shared" si="447"/>
        <v>0</v>
      </c>
      <c r="AG1918">
        <f t="shared" si="448"/>
        <v>0</v>
      </c>
    </row>
    <row r="1919" spans="1:33" x14ac:dyDescent="0.25">
      <c r="A1919" t="s">
        <v>3103</v>
      </c>
      <c r="B1919" t="s">
        <v>3104</v>
      </c>
      <c r="C1919">
        <v>165115</v>
      </c>
      <c r="D1919">
        <v>165115</v>
      </c>
      <c r="H1919">
        <v>20</v>
      </c>
      <c r="I1919">
        <v>40</v>
      </c>
      <c r="J1919">
        <v>20</v>
      </c>
      <c r="K1919">
        <v>10</v>
      </c>
      <c r="L1919">
        <v>0</v>
      </c>
      <c r="M1919">
        <v>90</v>
      </c>
      <c r="S1919">
        <f t="shared" si="437"/>
        <v>0</v>
      </c>
      <c r="T1919">
        <f t="shared" si="438"/>
        <v>7.5</v>
      </c>
      <c r="U1919">
        <f t="shared" si="436"/>
        <v>1</v>
      </c>
      <c r="V1919">
        <f t="shared" si="439"/>
        <v>0</v>
      </c>
      <c r="W1919">
        <f t="shared" si="440"/>
        <v>1</v>
      </c>
      <c r="X1919">
        <f t="shared" si="449"/>
        <v>0</v>
      </c>
      <c r="Y1919">
        <f t="shared" si="450"/>
        <v>1</v>
      </c>
      <c r="Z1919">
        <f t="shared" si="441"/>
        <v>0</v>
      </c>
      <c r="AA1919">
        <f t="shared" si="442"/>
        <v>0</v>
      </c>
      <c r="AB1919">
        <f t="shared" si="443"/>
        <v>0</v>
      </c>
      <c r="AC1919">
        <f t="shared" si="444"/>
        <v>10</v>
      </c>
      <c r="AD1919" s="1">
        <f t="shared" si="445"/>
        <v>6.666666666666667</v>
      </c>
      <c r="AE1919">
        <f t="shared" si="446"/>
        <v>10</v>
      </c>
      <c r="AF1919">
        <f t="shared" si="447"/>
        <v>10</v>
      </c>
      <c r="AG1919">
        <f t="shared" si="448"/>
        <v>0</v>
      </c>
    </row>
    <row r="1920" spans="1:33" x14ac:dyDescent="0.25">
      <c r="A1920" t="s">
        <v>3105</v>
      </c>
      <c r="B1920" t="s">
        <v>3106</v>
      </c>
      <c r="C1920">
        <v>168603</v>
      </c>
      <c r="D1920">
        <v>168603</v>
      </c>
      <c r="E1920">
        <v>50</v>
      </c>
      <c r="F1920">
        <v>30</v>
      </c>
      <c r="G1920">
        <v>20</v>
      </c>
      <c r="O1920">
        <v>100</v>
      </c>
      <c r="S1920">
        <f t="shared" si="437"/>
        <v>6.25</v>
      </c>
      <c r="T1920">
        <f t="shared" si="438"/>
        <v>0</v>
      </c>
      <c r="U1920">
        <f t="shared" si="436"/>
        <v>1</v>
      </c>
      <c r="V1920">
        <f t="shared" si="439"/>
        <v>1</v>
      </c>
      <c r="W1920">
        <f t="shared" si="440"/>
        <v>0</v>
      </c>
      <c r="X1920">
        <f t="shared" si="449"/>
        <v>1</v>
      </c>
      <c r="Y1920">
        <f t="shared" si="450"/>
        <v>0</v>
      </c>
      <c r="Z1920">
        <f t="shared" si="441"/>
        <v>10</v>
      </c>
      <c r="AA1920">
        <f t="shared" si="442"/>
        <v>7.5</v>
      </c>
      <c r="AB1920">
        <f t="shared" si="443"/>
        <v>2.8571428571428572</v>
      </c>
      <c r="AC1920">
        <f t="shared" si="444"/>
        <v>0</v>
      </c>
      <c r="AD1920" s="1">
        <f t="shared" si="445"/>
        <v>0</v>
      </c>
      <c r="AE1920">
        <f t="shared" si="446"/>
        <v>0</v>
      </c>
      <c r="AF1920">
        <f t="shared" si="447"/>
        <v>0</v>
      </c>
      <c r="AG1920">
        <f t="shared" si="448"/>
        <v>0</v>
      </c>
    </row>
    <row r="1921" spans="1:33" x14ac:dyDescent="0.25">
      <c r="A1921" t="s">
        <v>3107</v>
      </c>
      <c r="B1921" t="s">
        <v>944</v>
      </c>
      <c r="C1921">
        <v>168491</v>
      </c>
      <c r="D1921">
        <v>168491</v>
      </c>
      <c r="S1921">
        <f t="shared" si="437"/>
        <v>0</v>
      </c>
      <c r="T1921">
        <f t="shared" si="438"/>
        <v>0</v>
      </c>
      <c r="U1921">
        <f t="shared" si="436"/>
        <v>0</v>
      </c>
      <c r="V1921">
        <f t="shared" si="439"/>
        <v>0</v>
      </c>
      <c r="W1921">
        <f t="shared" si="440"/>
        <v>0</v>
      </c>
      <c r="X1921">
        <f t="shared" si="449"/>
        <v>0</v>
      </c>
      <c r="Y1921">
        <f t="shared" si="450"/>
        <v>0</v>
      </c>
      <c r="Z1921">
        <f t="shared" si="441"/>
        <v>0</v>
      </c>
      <c r="AA1921">
        <f t="shared" si="442"/>
        <v>0</v>
      </c>
      <c r="AB1921">
        <f t="shared" si="443"/>
        <v>0</v>
      </c>
      <c r="AC1921">
        <f t="shared" si="444"/>
        <v>0</v>
      </c>
      <c r="AD1921" s="1">
        <f t="shared" si="445"/>
        <v>0</v>
      </c>
      <c r="AE1921">
        <f t="shared" si="446"/>
        <v>0</v>
      </c>
      <c r="AF1921">
        <f t="shared" si="447"/>
        <v>0</v>
      </c>
      <c r="AG1921">
        <f t="shared" si="448"/>
        <v>0</v>
      </c>
    </row>
    <row r="1922" spans="1:33" x14ac:dyDescent="0.25">
      <c r="A1922" t="s">
        <v>3108</v>
      </c>
      <c r="B1922" t="s">
        <v>3109</v>
      </c>
      <c r="C1922">
        <v>167704</v>
      </c>
      <c r="D1922">
        <v>167704</v>
      </c>
      <c r="E1922">
        <v>10</v>
      </c>
      <c r="F1922">
        <v>20</v>
      </c>
      <c r="G1922">
        <v>60</v>
      </c>
      <c r="O1922">
        <v>90</v>
      </c>
      <c r="R1922" t="s">
        <v>20</v>
      </c>
      <c r="S1922">
        <f t="shared" si="437"/>
        <v>5.625</v>
      </c>
      <c r="T1922">
        <f t="shared" si="438"/>
        <v>0</v>
      </c>
      <c r="U1922">
        <f t="shared" ref="U1922:U1985" si="451">IF(AND(E1922="",F1922="",G1922="",H1922="",I1922="",J1922="",K1922="",L1922="",M1922=""),0,1)</f>
        <v>1</v>
      </c>
      <c r="V1922">
        <f t="shared" si="439"/>
        <v>1</v>
      </c>
      <c r="W1922">
        <f t="shared" si="440"/>
        <v>0</v>
      </c>
      <c r="X1922">
        <f t="shared" si="449"/>
        <v>0</v>
      </c>
      <c r="Y1922">
        <f t="shared" si="450"/>
        <v>0</v>
      </c>
      <c r="Z1922">
        <f t="shared" si="441"/>
        <v>2</v>
      </c>
      <c r="AA1922">
        <f t="shared" si="442"/>
        <v>5</v>
      </c>
      <c r="AB1922">
        <f t="shared" si="443"/>
        <v>8.5714285714285712</v>
      </c>
      <c r="AC1922">
        <f t="shared" si="444"/>
        <v>0</v>
      </c>
      <c r="AD1922" s="1">
        <f t="shared" si="445"/>
        <v>0</v>
      </c>
      <c r="AE1922">
        <f t="shared" si="446"/>
        <v>0</v>
      </c>
      <c r="AF1922">
        <f t="shared" si="447"/>
        <v>0</v>
      </c>
      <c r="AG1922">
        <f t="shared" si="448"/>
        <v>0</v>
      </c>
    </row>
    <row r="1923" spans="1:33" x14ac:dyDescent="0.25">
      <c r="A1923" t="s">
        <v>3108</v>
      </c>
      <c r="B1923" t="s">
        <v>3110</v>
      </c>
      <c r="C1923">
        <v>167703</v>
      </c>
      <c r="D1923">
        <v>167703</v>
      </c>
      <c r="H1923">
        <v>0</v>
      </c>
      <c r="I1923">
        <v>20</v>
      </c>
      <c r="J1923">
        <v>10</v>
      </c>
      <c r="K1923">
        <v>0</v>
      </c>
      <c r="L1923">
        <v>0</v>
      </c>
      <c r="M1923">
        <v>30</v>
      </c>
      <c r="S1923">
        <f t="shared" ref="S1923:S1986" si="452">O1923/16</f>
        <v>0</v>
      </c>
      <c r="T1923">
        <f t="shared" ref="T1923:T1986" si="453">M1923/12</f>
        <v>2.5</v>
      </c>
      <c r="U1923">
        <f t="shared" si="451"/>
        <v>1</v>
      </c>
      <c r="V1923">
        <f t="shared" ref="V1923:V1986" si="454">IF(O1923="",0,1)</f>
        <v>0</v>
      </c>
      <c r="W1923">
        <f t="shared" ref="W1923:W1986" si="455">IF(M1923="",0,1)</f>
        <v>1</v>
      </c>
      <c r="X1923">
        <f t="shared" si="449"/>
        <v>0</v>
      </c>
      <c r="Y1923">
        <f t="shared" si="450"/>
        <v>0</v>
      </c>
      <c r="Z1923">
        <f t="shared" ref="Z1923:Z1986" si="456">E1923/5</f>
        <v>0</v>
      </c>
      <c r="AA1923">
        <f t="shared" ref="AA1923:AA1986" si="457">F1923/4</f>
        <v>0</v>
      </c>
      <c r="AB1923">
        <f t="shared" ref="AB1923:AB1986" si="458">G1923/7</f>
        <v>0</v>
      </c>
      <c r="AC1923">
        <f t="shared" ref="AC1923:AC1986" si="459">H1923/2</f>
        <v>0</v>
      </c>
      <c r="AD1923" s="1">
        <f t="shared" ref="AD1923:AD1986" si="460">I1923/6</f>
        <v>3.3333333333333335</v>
      </c>
      <c r="AE1923">
        <f t="shared" ref="AE1923:AE1986" si="461">J1923/2</f>
        <v>5</v>
      </c>
      <c r="AF1923">
        <f t="shared" ref="AF1923:AF1986" si="462">K1923</f>
        <v>0</v>
      </c>
      <c r="AG1923">
        <f t="shared" ref="AG1923:AG1986" si="463">L1923</f>
        <v>0</v>
      </c>
    </row>
    <row r="1924" spans="1:33" x14ac:dyDescent="0.25">
      <c r="A1924" t="s">
        <v>3111</v>
      </c>
      <c r="B1924" t="s">
        <v>3112</v>
      </c>
      <c r="C1924">
        <v>166866</v>
      </c>
      <c r="D1924">
        <v>166866</v>
      </c>
      <c r="E1924">
        <v>50</v>
      </c>
      <c r="F1924">
        <v>40</v>
      </c>
      <c r="G1924">
        <v>20</v>
      </c>
      <c r="O1924">
        <v>110</v>
      </c>
      <c r="S1924">
        <f t="shared" si="452"/>
        <v>6.875</v>
      </c>
      <c r="T1924">
        <f t="shared" si="453"/>
        <v>0</v>
      </c>
      <c r="U1924">
        <f t="shared" si="451"/>
        <v>1</v>
      </c>
      <c r="V1924">
        <f t="shared" si="454"/>
        <v>1</v>
      </c>
      <c r="W1924">
        <f t="shared" si="455"/>
        <v>0</v>
      </c>
      <c r="X1924">
        <f t="shared" si="449"/>
        <v>1</v>
      </c>
      <c r="Y1924">
        <f t="shared" si="450"/>
        <v>0</v>
      </c>
      <c r="Z1924">
        <f t="shared" si="456"/>
        <v>10</v>
      </c>
      <c r="AA1924">
        <f t="shared" si="457"/>
        <v>10</v>
      </c>
      <c r="AB1924">
        <f t="shared" si="458"/>
        <v>2.8571428571428572</v>
      </c>
      <c r="AC1924">
        <f t="shared" si="459"/>
        <v>0</v>
      </c>
      <c r="AD1924" s="1">
        <f t="shared" si="460"/>
        <v>0</v>
      </c>
      <c r="AE1924">
        <f t="shared" si="461"/>
        <v>0</v>
      </c>
      <c r="AF1924">
        <f t="shared" si="462"/>
        <v>0</v>
      </c>
      <c r="AG1924">
        <f t="shared" si="463"/>
        <v>0</v>
      </c>
    </row>
    <row r="1925" spans="1:33" x14ac:dyDescent="0.25">
      <c r="A1925" t="s">
        <v>3113</v>
      </c>
      <c r="B1925" t="s">
        <v>3114</v>
      </c>
      <c r="C1925">
        <v>167455</v>
      </c>
      <c r="D1925">
        <v>167455</v>
      </c>
      <c r="H1925">
        <v>20</v>
      </c>
      <c r="I1925">
        <v>10</v>
      </c>
      <c r="J1925">
        <v>20</v>
      </c>
      <c r="K1925">
        <v>0</v>
      </c>
      <c r="L1925">
        <v>10</v>
      </c>
      <c r="M1925">
        <v>60</v>
      </c>
      <c r="S1925">
        <f t="shared" si="452"/>
        <v>0</v>
      </c>
      <c r="T1925">
        <f t="shared" si="453"/>
        <v>5</v>
      </c>
      <c r="U1925">
        <f t="shared" si="451"/>
        <v>1</v>
      </c>
      <c r="V1925">
        <f t="shared" si="454"/>
        <v>0</v>
      </c>
      <c r="W1925">
        <f t="shared" si="455"/>
        <v>1</v>
      </c>
      <c r="X1925">
        <f t="shared" ref="X1925:X1988" si="464">IF(AND(V1925=1,S1925&gt;6),1,0)</f>
        <v>0</v>
      </c>
      <c r="Y1925">
        <f t="shared" ref="Y1925:Y1988" si="465">IF(AND(W1925=1,T1925&gt;6),1,0)</f>
        <v>0</v>
      </c>
      <c r="Z1925">
        <f t="shared" si="456"/>
        <v>0</v>
      </c>
      <c r="AA1925">
        <f t="shared" si="457"/>
        <v>0</v>
      </c>
      <c r="AB1925">
        <f t="shared" si="458"/>
        <v>0</v>
      </c>
      <c r="AC1925">
        <f t="shared" si="459"/>
        <v>10</v>
      </c>
      <c r="AD1925" s="1">
        <f t="shared" si="460"/>
        <v>1.6666666666666667</v>
      </c>
      <c r="AE1925">
        <f t="shared" si="461"/>
        <v>10</v>
      </c>
      <c r="AF1925">
        <f t="shared" si="462"/>
        <v>0</v>
      </c>
      <c r="AG1925">
        <f t="shared" si="463"/>
        <v>10</v>
      </c>
    </row>
    <row r="1926" spans="1:33" x14ac:dyDescent="0.25">
      <c r="A1926" t="s">
        <v>3115</v>
      </c>
      <c r="B1926" t="s">
        <v>228</v>
      </c>
      <c r="C1926">
        <v>167653</v>
      </c>
      <c r="D1926">
        <v>167653</v>
      </c>
      <c r="S1926">
        <f t="shared" si="452"/>
        <v>0</v>
      </c>
      <c r="T1926">
        <f t="shared" si="453"/>
        <v>0</v>
      </c>
      <c r="U1926">
        <f t="shared" si="451"/>
        <v>0</v>
      </c>
      <c r="V1926">
        <f t="shared" si="454"/>
        <v>0</v>
      </c>
      <c r="W1926">
        <f t="shared" si="455"/>
        <v>0</v>
      </c>
      <c r="X1926">
        <f t="shared" si="464"/>
        <v>0</v>
      </c>
      <c r="Y1926">
        <f t="shared" si="465"/>
        <v>0</v>
      </c>
      <c r="Z1926">
        <f t="shared" si="456"/>
        <v>0</v>
      </c>
      <c r="AA1926">
        <f t="shared" si="457"/>
        <v>0</v>
      </c>
      <c r="AB1926">
        <f t="shared" si="458"/>
        <v>0</v>
      </c>
      <c r="AC1926">
        <f t="shared" si="459"/>
        <v>0</v>
      </c>
      <c r="AD1926" s="1">
        <f t="shared" si="460"/>
        <v>0</v>
      </c>
      <c r="AE1926">
        <f t="shared" si="461"/>
        <v>0</v>
      </c>
      <c r="AF1926">
        <f t="shared" si="462"/>
        <v>0</v>
      </c>
      <c r="AG1926">
        <f t="shared" si="463"/>
        <v>0</v>
      </c>
    </row>
    <row r="1927" spans="1:33" x14ac:dyDescent="0.25">
      <c r="A1927" t="s">
        <v>3116</v>
      </c>
      <c r="B1927" t="s">
        <v>1743</v>
      </c>
      <c r="C1927">
        <v>166862</v>
      </c>
      <c r="D1927">
        <v>166862</v>
      </c>
      <c r="H1927">
        <v>0</v>
      </c>
      <c r="I1927">
        <v>50</v>
      </c>
      <c r="J1927">
        <v>0</v>
      </c>
      <c r="K1927">
        <v>0</v>
      </c>
      <c r="L1927">
        <v>0</v>
      </c>
      <c r="M1927">
        <v>50</v>
      </c>
      <c r="S1927">
        <f t="shared" si="452"/>
        <v>0</v>
      </c>
      <c r="T1927">
        <f t="shared" si="453"/>
        <v>4.166666666666667</v>
      </c>
      <c r="U1927">
        <f t="shared" si="451"/>
        <v>1</v>
      </c>
      <c r="V1927">
        <f t="shared" si="454"/>
        <v>0</v>
      </c>
      <c r="W1927">
        <f t="shared" si="455"/>
        <v>1</v>
      </c>
      <c r="X1927">
        <f t="shared" si="464"/>
        <v>0</v>
      </c>
      <c r="Y1927">
        <f t="shared" si="465"/>
        <v>0</v>
      </c>
      <c r="Z1927">
        <f t="shared" si="456"/>
        <v>0</v>
      </c>
      <c r="AA1927">
        <f t="shared" si="457"/>
        <v>0</v>
      </c>
      <c r="AB1927">
        <f t="shared" si="458"/>
        <v>0</v>
      </c>
      <c r="AC1927">
        <f t="shared" si="459"/>
        <v>0</v>
      </c>
      <c r="AD1927" s="1">
        <f t="shared" si="460"/>
        <v>8.3333333333333339</v>
      </c>
      <c r="AE1927">
        <f t="shared" si="461"/>
        <v>0</v>
      </c>
      <c r="AF1927">
        <f t="shared" si="462"/>
        <v>0</v>
      </c>
      <c r="AG1927">
        <f t="shared" si="463"/>
        <v>0</v>
      </c>
    </row>
    <row r="1928" spans="1:33" x14ac:dyDescent="0.25">
      <c r="A1928" t="s">
        <v>3117</v>
      </c>
      <c r="B1928" t="s">
        <v>59</v>
      </c>
      <c r="C1928">
        <v>167659</v>
      </c>
      <c r="D1928">
        <v>167659</v>
      </c>
      <c r="S1928">
        <f t="shared" si="452"/>
        <v>0</v>
      </c>
      <c r="T1928">
        <f t="shared" si="453"/>
        <v>0</v>
      </c>
      <c r="U1928">
        <f t="shared" si="451"/>
        <v>0</v>
      </c>
      <c r="V1928">
        <f t="shared" si="454"/>
        <v>0</v>
      </c>
      <c r="W1928">
        <f t="shared" si="455"/>
        <v>0</v>
      </c>
      <c r="X1928">
        <f t="shared" si="464"/>
        <v>0</v>
      </c>
      <c r="Y1928">
        <f t="shared" si="465"/>
        <v>0</v>
      </c>
      <c r="Z1928">
        <f t="shared" si="456"/>
        <v>0</v>
      </c>
      <c r="AA1928">
        <f t="shared" si="457"/>
        <v>0</v>
      </c>
      <c r="AB1928">
        <f t="shared" si="458"/>
        <v>0</v>
      </c>
      <c r="AC1928">
        <f t="shared" si="459"/>
        <v>0</v>
      </c>
      <c r="AD1928" s="1">
        <f t="shared" si="460"/>
        <v>0</v>
      </c>
      <c r="AE1928">
        <f t="shared" si="461"/>
        <v>0</v>
      </c>
      <c r="AF1928">
        <f t="shared" si="462"/>
        <v>0</v>
      </c>
      <c r="AG1928">
        <f t="shared" si="463"/>
        <v>0</v>
      </c>
    </row>
    <row r="1929" spans="1:33" x14ac:dyDescent="0.25">
      <c r="A1929" t="s">
        <v>3118</v>
      </c>
      <c r="B1929" t="s">
        <v>2597</v>
      </c>
      <c r="C1929">
        <v>165641</v>
      </c>
      <c r="D1929">
        <v>165641</v>
      </c>
      <c r="E1929">
        <v>40</v>
      </c>
      <c r="F1929">
        <v>20</v>
      </c>
      <c r="G1929">
        <v>50</v>
      </c>
      <c r="O1929">
        <v>110</v>
      </c>
      <c r="S1929">
        <f t="shared" si="452"/>
        <v>6.875</v>
      </c>
      <c r="T1929">
        <f t="shared" si="453"/>
        <v>0</v>
      </c>
      <c r="U1929">
        <f t="shared" si="451"/>
        <v>1</v>
      </c>
      <c r="V1929">
        <f t="shared" si="454"/>
        <v>1</v>
      </c>
      <c r="W1929">
        <f t="shared" si="455"/>
        <v>0</v>
      </c>
      <c r="X1929">
        <f t="shared" si="464"/>
        <v>1</v>
      </c>
      <c r="Y1929">
        <f t="shared" si="465"/>
        <v>0</v>
      </c>
      <c r="Z1929">
        <f t="shared" si="456"/>
        <v>8</v>
      </c>
      <c r="AA1929">
        <f t="shared" si="457"/>
        <v>5</v>
      </c>
      <c r="AB1929">
        <f t="shared" si="458"/>
        <v>7.1428571428571432</v>
      </c>
      <c r="AC1929">
        <f t="shared" si="459"/>
        <v>0</v>
      </c>
      <c r="AD1929" s="1">
        <f t="shared" si="460"/>
        <v>0</v>
      </c>
      <c r="AE1929">
        <f t="shared" si="461"/>
        <v>0</v>
      </c>
      <c r="AF1929">
        <f t="shared" si="462"/>
        <v>0</v>
      </c>
      <c r="AG1929">
        <f t="shared" si="463"/>
        <v>0</v>
      </c>
    </row>
    <row r="1930" spans="1:33" x14ac:dyDescent="0.25">
      <c r="A1930" t="s">
        <v>3119</v>
      </c>
      <c r="B1930" t="s">
        <v>126</v>
      </c>
      <c r="C1930">
        <v>168197</v>
      </c>
      <c r="D1930">
        <v>168197</v>
      </c>
      <c r="H1930">
        <v>20</v>
      </c>
      <c r="I1930">
        <v>40</v>
      </c>
      <c r="J1930">
        <v>20</v>
      </c>
      <c r="K1930">
        <v>0</v>
      </c>
      <c r="L1930">
        <v>10</v>
      </c>
      <c r="M1930">
        <v>90</v>
      </c>
      <c r="S1930">
        <f t="shared" si="452"/>
        <v>0</v>
      </c>
      <c r="T1930">
        <f t="shared" si="453"/>
        <v>7.5</v>
      </c>
      <c r="U1930">
        <f t="shared" si="451"/>
        <v>1</v>
      </c>
      <c r="V1930">
        <f t="shared" si="454"/>
        <v>0</v>
      </c>
      <c r="W1930">
        <f t="shared" si="455"/>
        <v>1</v>
      </c>
      <c r="X1930">
        <f t="shared" si="464"/>
        <v>0</v>
      </c>
      <c r="Y1930">
        <f t="shared" si="465"/>
        <v>1</v>
      </c>
      <c r="Z1930">
        <f t="shared" si="456"/>
        <v>0</v>
      </c>
      <c r="AA1930">
        <f t="shared" si="457"/>
        <v>0</v>
      </c>
      <c r="AB1930">
        <f t="shared" si="458"/>
        <v>0</v>
      </c>
      <c r="AC1930">
        <f t="shared" si="459"/>
        <v>10</v>
      </c>
      <c r="AD1930" s="1">
        <f t="shared" si="460"/>
        <v>6.666666666666667</v>
      </c>
      <c r="AE1930">
        <f t="shared" si="461"/>
        <v>10</v>
      </c>
      <c r="AF1930">
        <f t="shared" si="462"/>
        <v>0</v>
      </c>
      <c r="AG1930">
        <f t="shared" si="463"/>
        <v>10</v>
      </c>
    </row>
    <row r="1931" spans="1:33" x14ac:dyDescent="0.25">
      <c r="A1931" t="s">
        <v>3120</v>
      </c>
      <c r="B1931" t="s">
        <v>3121</v>
      </c>
      <c r="C1931">
        <v>167390</v>
      </c>
      <c r="D1931">
        <v>167390</v>
      </c>
      <c r="E1931">
        <v>0</v>
      </c>
      <c r="F1931">
        <v>20</v>
      </c>
      <c r="G1931">
        <v>10</v>
      </c>
      <c r="O1931">
        <v>30</v>
      </c>
      <c r="S1931">
        <f t="shared" si="452"/>
        <v>1.875</v>
      </c>
      <c r="T1931">
        <f t="shared" si="453"/>
        <v>0</v>
      </c>
      <c r="U1931">
        <f t="shared" si="451"/>
        <v>1</v>
      </c>
      <c r="V1931">
        <f t="shared" si="454"/>
        <v>1</v>
      </c>
      <c r="W1931">
        <f t="shared" si="455"/>
        <v>0</v>
      </c>
      <c r="X1931">
        <f t="shared" si="464"/>
        <v>0</v>
      </c>
      <c r="Y1931">
        <f t="shared" si="465"/>
        <v>0</v>
      </c>
      <c r="Z1931">
        <f t="shared" si="456"/>
        <v>0</v>
      </c>
      <c r="AA1931">
        <f t="shared" si="457"/>
        <v>5</v>
      </c>
      <c r="AB1931">
        <f t="shared" si="458"/>
        <v>1.4285714285714286</v>
      </c>
      <c r="AC1931">
        <f t="shared" si="459"/>
        <v>0</v>
      </c>
      <c r="AD1931" s="1">
        <f t="shared" si="460"/>
        <v>0</v>
      </c>
      <c r="AE1931">
        <f t="shared" si="461"/>
        <v>0</v>
      </c>
      <c r="AF1931">
        <f t="shared" si="462"/>
        <v>0</v>
      </c>
      <c r="AG1931">
        <f t="shared" si="463"/>
        <v>0</v>
      </c>
    </row>
    <row r="1932" spans="1:33" x14ac:dyDescent="0.25">
      <c r="A1932" t="s">
        <v>3122</v>
      </c>
      <c r="B1932" t="s">
        <v>982</v>
      </c>
      <c r="C1932">
        <v>164440</v>
      </c>
      <c r="D1932">
        <v>164440</v>
      </c>
      <c r="E1932">
        <v>20</v>
      </c>
      <c r="F1932">
        <v>0</v>
      </c>
      <c r="G1932">
        <v>10</v>
      </c>
      <c r="O1932">
        <v>30</v>
      </c>
      <c r="S1932">
        <f t="shared" si="452"/>
        <v>1.875</v>
      </c>
      <c r="T1932">
        <f t="shared" si="453"/>
        <v>0</v>
      </c>
      <c r="U1932">
        <f t="shared" si="451"/>
        <v>1</v>
      </c>
      <c r="V1932">
        <f t="shared" si="454"/>
        <v>1</v>
      </c>
      <c r="W1932">
        <f t="shared" si="455"/>
        <v>0</v>
      </c>
      <c r="X1932">
        <f t="shared" si="464"/>
        <v>0</v>
      </c>
      <c r="Y1932">
        <f t="shared" si="465"/>
        <v>0</v>
      </c>
      <c r="Z1932">
        <f t="shared" si="456"/>
        <v>4</v>
      </c>
      <c r="AA1932">
        <f t="shared" si="457"/>
        <v>0</v>
      </c>
      <c r="AB1932">
        <f t="shared" si="458"/>
        <v>1.4285714285714286</v>
      </c>
      <c r="AC1932">
        <f t="shared" si="459"/>
        <v>0</v>
      </c>
      <c r="AD1932" s="1">
        <f t="shared" si="460"/>
        <v>0</v>
      </c>
      <c r="AE1932">
        <f t="shared" si="461"/>
        <v>0</v>
      </c>
      <c r="AF1932">
        <f t="shared" si="462"/>
        <v>0</v>
      </c>
      <c r="AG1932">
        <f t="shared" si="463"/>
        <v>0</v>
      </c>
    </row>
    <row r="1933" spans="1:33" x14ac:dyDescent="0.25">
      <c r="A1933" t="s">
        <v>3123</v>
      </c>
      <c r="B1933" t="s">
        <v>242</v>
      </c>
      <c r="C1933">
        <v>166912</v>
      </c>
      <c r="D1933">
        <v>166912</v>
      </c>
      <c r="H1933">
        <v>20</v>
      </c>
      <c r="I1933">
        <v>60</v>
      </c>
      <c r="J1933">
        <v>20</v>
      </c>
      <c r="K1933">
        <v>10</v>
      </c>
      <c r="L1933">
        <v>0</v>
      </c>
      <c r="M1933">
        <v>110</v>
      </c>
      <c r="S1933">
        <f t="shared" si="452"/>
        <v>0</v>
      </c>
      <c r="T1933">
        <f t="shared" si="453"/>
        <v>9.1666666666666661</v>
      </c>
      <c r="U1933">
        <f t="shared" si="451"/>
        <v>1</v>
      </c>
      <c r="V1933">
        <f t="shared" si="454"/>
        <v>0</v>
      </c>
      <c r="W1933">
        <f t="shared" si="455"/>
        <v>1</v>
      </c>
      <c r="X1933">
        <f t="shared" si="464"/>
        <v>0</v>
      </c>
      <c r="Y1933">
        <f t="shared" si="465"/>
        <v>1</v>
      </c>
      <c r="Z1933">
        <f t="shared" si="456"/>
        <v>0</v>
      </c>
      <c r="AA1933">
        <f t="shared" si="457"/>
        <v>0</v>
      </c>
      <c r="AB1933">
        <f t="shared" si="458"/>
        <v>0</v>
      </c>
      <c r="AC1933">
        <f t="shared" si="459"/>
        <v>10</v>
      </c>
      <c r="AD1933" s="1">
        <f t="shared" si="460"/>
        <v>10</v>
      </c>
      <c r="AE1933">
        <f t="shared" si="461"/>
        <v>10</v>
      </c>
      <c r="AF1933">
        <f t="shared" si="462"/>
        <v>10</v>
      </c>
      <c r="AG1933">
        <f t="shared" si="463"/>
        <v>0</v>
      </c>
    </row>
    <row r="1934" spans="1:33" x14ac:dyDescent="0.25">
      <c r="A1934" t="s">
        <v>3124</v>
      </c>
      <c r="B1934" t="s">
        <v>512</v>
      </c>
      <c r="C1934">
        <v>166238</v>
      </c>
      <c r="D1934">
        <v>166238</v>
      </c>
      <c r="E1934">
        <v>30</v>
      </c>
      <c r="F1934">
        <v>20</v>
      </c>
      <c r="G1934">
        <v>50</v>
      </c>
      <c r="O1934">
        <v>100</v>
      </c>
      <c r="S1934">
        <f t="shared" si="452"/>
        <v>6.25</v>
      </c>
      <c r="T1934">
        <f t="shared" si="453"/>
        <v>0</v>
      </c>
      <c r="U1934">
        <f t="shared" si="451"/>
        <v>1</v>
      </c>
      <c r="V1934">
        <f t="shared" si="454"/>
        <v>1</v>
      </c>
      <c r="W1934">
        <f t="shared" si="455"/>
        <v>0</v>
      </c>
      <c r="X1934">
        <f t="shared" si="464"/>
        <v>1</v>
      </c>
      <c r="Y1934">
        <f t="shared" si="465"/>
        <v>0</v>
      </c>
      <c r="Z1934">
        <f t="shared" si="456"/>
        <v>6</v>
      </c>
      <c r="AA1934">
        <f t="shared" si="457"/>
        <v>5</v>
      </c>
      <c r="AB1934">
        <f t="shared" si="458"/>
        <v>7.1428571428571432</v>
      </c>
      <c r="AC1934">
        <f t="shared" si="459"/>
        <v>0</v>
      </c>
      <c r="AD1934" s="1">
        <f t="shared" si="460"/>
        <v>0</v>
      </c>
      <c r="AE1934">
        <f t="shared" si="461"/>
        <v>0</v>
      </c>
      <c r="AF1934">
        <f t="shared" si="462"/>
        <v>0</v>
      </c>
      <c r="AG1934">
        <f t="shared" si="463"/>
        <v>0</v>
      </c>
    </row>
    <row r="1935" spans="1:33" x14ac:dyDescent="0.25">
      <c r="A1935" t="s">
        <v>3125</v>
      </c>
      <c r="B1935" t="s">
        <v>3126</v>
      </c>
      <c r="C1935">
        <v>166996</v>
      </c>
      <c r="D1935">
        <v>166996</v>
      </c>
      <c r="E1935">
        <v>10</v>
      </c>
      <c r="F1935">
        <v>30</v>
      </c>
      <c r="G1935">
        <v>30</v>
      </c>
      <c r="O1935">
        <v>70</v>
      </c>
      <c r="R1935" t="s">
        <v>20</v>
      </c>
      <c r="S1935">
        <f t="shared" si="452"/>
        <v>4.375</v>
      </c>
      <c r="T1935">
        <f t="shared" si="453"/>
        <v>0</v>
      </c>
      <c r="U1935">
        <f t="shared" si="451"/>
        <v>1</v>
      </c>
      <c r="V1935">
        <f t="shared" si="454"/>
        <v>1</v>
      </c>
      <c r="W1935">
        <f t="shared" si="455"/>
        <v>0</v>
      </c>
      <c r="X1935">
        <f t="shared" si="464"/>
        <v>0</v>
      </c>
      <c r="Y1935">
        <f t="shared" si="465"/>
        <v>0</v>
      </c>
      <c r="Z1935">
        <f t="shared" si="456"/>
        <v>2</v>
      </c>
      <c r="AA1935">
        <f t="shared" si="457"/>
        <v>7.5</v>
      </c>
      <c r="AB1935">
        <f t="shared" si="458"/>
        <v>4.2857142857142856</v>
      </c>
      <c r="AC1935">
        <f t="shared" si="459"/>
        <v>0</v>
      </c>
      <c r="AD1935" s="1">
        <f t="shared" si="460"/>
        <v>0</v>
      </c>
      <c r="AE1935">
        <f t="shared" si="461"/>
        <v>0</v>
      </c>
      <c r="AF1935">
        <f t="shared" si="462"/>
        <v>0</v>
      </c>
      <c r="AG1935">
        <f t="shared" si="463"/>
        <v>0</v>
      </c>
    </row>
    <row r="1936" spans="1:33" x14ac:dyDescent="0.25">
      <c r="A1936" t="s">
        <v>3127</v>
      </c>
      <c r="B1936" t="s">
        <v>3128</v>
      </c>
      <c r="C1936">
        <v>168600</v>
      </c>
      <c r="D1936">
        <v>168600</v>
      </c>
      <c r="E1936">
        <v>20</v>
      </c>
      <c r="F1936">
        <v>20</v>
      </c>
      <c r="G1936">
        <v>0</v>
      </c>
      <c r="O1936">
        <v>40</v>
      </c>
      <c r="S1936">
        <f t="shared" si="452"/>
        <v>2.5</v>
      </c>
      <c r="T1936">
        <f t="shared" si="453"/>
        <v>0</v>
      </c>
      <c r="U1936">
        <f t="shared" si="451"/>
        <v>1</v>
      </c>
      <c r="V1936">
        <f t="shared" si="454"/>
        <v>1</v>
      </c>
      <c r="W1936">
        <f t="shared" si="455"/>
        <v>0</v>
      </c>
      <c r="X1936">
        <f t="shared" si="464"/>
        <v>0</v>
      </c>
      <c r="Y1936">
        <f t="shared" si="465"/>
        <v>0</v>
      </c>
      <c r="Z1936">
        <f t="shared" si="456"/>
        <v>4</v>
      </c>
      <c r="AA1936">
        <f t="shared" si="457"/>
        <v>5</v>
      </c>
      <c r="AB1936">
        <f t="shared" si="458"/>
        <v>0</v>
      </c>
      <c r="AC1936">
        <f t="shared" si="459"/>
        <v>0</v>
      </c>
      <c r="AD1936" s="1">
        <f t="shared" si="460"/>
        <v>0</v>
      </c>
      <c r="AE1936">
        <f t="shared" si="461"/>
        <v>0</v>
      </c>
      <c r="AF1936">
        <f t="shared" si="462"/>
        <v>0</v>
      </c>
      <c r="AG1936">
        <f t="shared" si="463"/>
        <v>0</v>
      </c>
    </row>
    <row r="1937" spans="1:33" x14ac:dyDescent="0.25">
      <c r="A1937" t="s">
        <v>3129</v>
      </c>
      <c r="B1937" t="s">
        <v>99</v>
      </c>
      <c r="C1937">
        <v>167700</v>
      </c>
      <c r="D1937">
        <v>167700</v>
      </c>
      <c r="H1937">
        <v>20</v>
      </c>
      <c r="I1937">
        <v>50</v>
      </c>
      <c r="J1937">
        <v>10</v>
      </c>
      <c r="K1937">
        <v>10</v>
      </c>
      <c r="L1937">
        <v>10</v>
      </c>
      <c r="M1937">
        <v>100</v>
      </c>
      <c r="S1937">
        <f t="shared" si="452"/>
        <v>0</v>
      </c>
      <c r="T1937">
        <f t="shared" si="453"/>
        <v>8.3333333333333339</v>
      </c>
      <c r="U1937">
        <f t="shared" si="451"/>
        <v>1</v>
      </c>
      <c r="V1937">
        <f t="shared" si="454"/>
        <v>0</v>
      </c>
      <c r="W1937">
        <f t="shared" si="455"/>
        <v>1</v>
      </c>
      <c r="X1937">
        <f t="shared" si="464"/>
        <v>0</v>
      </c>
      <c r="Y1937">
        <f t="shared" si="465"/>
        <v>1</v>
      </c>
      <c r="Z1937">
        <f t="shared" si="456"/>
        <v>0</v>
      </c>
      <c r="AA1937">
        <f t="shared" si="457"/>
        <v>0</v>
      </c>
      <c r="AB1937">
        <f t="shared" si="458"/>
        <v>0</v>
      </c>
      <c r="AC1937">
        <f t="shared" si="459"/>
        <v>10</v>
      </c>
      <c r="AD1937" s="1">
        <f t="shared" si="460"/>
        <v>8.3333333333333339</v>
      </c>
      <c r="AE1937">
        <f t="shared" si="461"/>
        <v>5</v>
      </c>
      <c r="AF1937">
        <f t="shared" si="462"/>
        <v>10</v>
      </c>
      <c r="AG1937">
        <f t="shared" si="463"/>
        <v>10</v>
      </c>
    </row>
    <row r="1938" spans="1:33" x14ac:dyDescent="0.25">
      <c r="A1938" t="s">
        <v>3130</v>
      </c>
      <c r="B1938" t="s">
        <v>3131</v>
      </c>
      <c r="C1938">
        <v>168602</v>
      </c>
      <c r="D1938">
        <v>168602</v>
      </c>
      <c r="E1938">
        <v>30</v>
      </c>
      <c r="F1938">
        <v>20</v>
      </c>
      <c r="G1938">
        <v>40</v>
      </c>
      <c r="O1938">
        <v>90</v>
      </c>
      <c r="S1938">
        <f t="shared" si="452"/>
        <v>5.625</v>
      </c>
      <c r="T1938">
        <f t="shared" si="453"/>
        <v>0</v>
      </c>
      <c r="U1938">
        <f t="shared" si="451"/>
        <v>1</v>
      </c>
      <c r="V1938">
        <f t="shared" si="454"/>
        <v>1</v>
      </c>
      <c r="W1938">
        <f t="shared" si="455"/>
        <v>0</v>
      </c>
      <c r="X1938">
        <f t="shared" si="464"/>
        <v>0</v>
      </c>
      <c r="Y1938">
        <f t="shared" si="465"/>
        <v>0</v>
      </c>
      <c r="Z1938">
        <f t="shared" si="456"/>
        <v>6</v>
      </c>
      <c r="AA1938">
        <f t="shared" si="457"/>
        <v>5</v>
      </c>
      <c r="AB1938">
        <f t="shared" si="458"/>
        <v>5.7142857142857144</v>
      </c>
      <c r="AC1938">
        <f t="shared" si="459"/>
        <v>0</v>
      </c>
      <c r="AD1938" s="1">
        <f t="shared" si="460"/>
        <v>0</v>
      </c>
      <c r="AE1938">
        <f t="shared" si="461"/>
        <v>0</v>
      </c>
      <c r="AF1938">
        <f t="shared" si="462"/>
        <v>0</v>
      </c>
      <c r="AG1938">
        <f t="shared" si="463"/>
        <v>0</v>
      </c>
    </row>
    <row r="1939" spans="1:33" x14ac:dyDescent="0.25">
      <c r="A1939" t="s">
        <v>3132</v>
      </c>
      <c r="B1939" t="s">
        <v>3133</v>
      </c>
      <c r="C1939">
        <v>168030</v>
      </c>
      <c r="D1939">
        <v>168030</v>
      </c>
      <c r="H1939">
        <v>20</v>
      </c>
      <c r="I1939">
        <v>10</v>
      </c>
      <c r="J1939">
        <v>10</v>
      </c>
      <c r="K1939">
        <v>0</v>
      </c>
      <c r="L1939">
        <v>0</v>
      </c>
      <c r="M1939">
        <v>40</v>
      </c>
      <c r="S1939">
        <f t="shared" si="452"/>
        <v>0</v>
      </c>
      <c r="T1939">
        <f t="shared" si="453"/>
        <v>3.3333333333333335</v>
      </c>
      <c r="U1939">
        <f t="shared" si="451"/>
        <v>1</v>
      </c>
      <c r="V1939">
        <f t="shared" si="454"/>
        <v>0</v>
      </c>
      <c r="W1939">
        <f t="shared" si="455"/>
        <v>1</v>
      </c>
      <c r="X1939">
        <f t="shared" si="464"/>
        <v>0</v>
      </c>
      <c r="Y1939">
        <f t="shared" si="465"/>
        <v>0</v>
      </c>
      <c r="Z1939">
        <f t="shared" si="456"/>
        <v>0</v>
      </c>
      <c r="AA1939">
        <f t="shared" si="457"/>
        <v>0</v>
      </c>
      <c r="AB1939">
        <f t="shared" si="458"/>
        <v>0</v>
      </c>
      <c r="AC1939">
        <f t="shared" si="459"/>
        <v>10</v>
      </c>
      <c r="AD1939" s="1">
        <f t="shared" si="460"/>
        <v>1.6666666666666667</v>
      </c>
      <c r="AE1939">
        <f t="shared" si="461"/>
        <v>5</v>
      </c>
      <c r="AF1939">
        <f t="shared" si="462"/>
        <v>0</v>
      </c>
      <c r="AG1939">
        <f t="shared" si="463"/>
        <v>0</v>
      </c>
    </row>
    <row r="1940" spans="1:33" x14ac:dyDescent="0.25">
      <c r="A1940" t="s">
        <v>3134</v>
      </c>
      <c r="B1940" t="s">
        <v>944</v>
      </c>
      <c r="C1940">
        <v>167490</v>
      </c>
      <c r="D1940">
        <v>167490</v>
      </c>
      <c r="H1940">
        <v>0</v>
      </c>
      <c r="I1940">
        <v>30</v>
      </c>
      <c r="J1940">
        <v>20</v>
      </c>
      <c r="K1940">
        <v>10</v>
      </c>
      <c r="L1940">
        <v>10</v>
      </c>
      <c r="M1940">
        <v>70</v>
      </c>
      <c r="S1940">
        <f t="shared" si="452"/>
        <v>0</v>
      </c>
      <c r="T1940">
        <f t="shared" si="453"/>
        <v>5.833333333333333</v>
      </c>
      <c r="U1940">
        <f t="shared" si="451"/>
        <v>1</v>
      </c>
      <c r="V1940">
        <f t="shared" si="454"/>
        <v>0</v>
      </c>
      <c r="W1940">
        <f t="shared" si="455"/>
        <v>1</v>
      </c>
      <c r="X1940">
        <f t="shared" si="464"/>
        <v>0</v>
      </c>
      <c r="Y1940">
        <f t="shared" si="465"/>
        <v>0</v>
      </c>
      <c r="Z1940">
        <f t="shared" si="456"/>
        <v>0</v>
      </c>
      <c r="AA1940">
        <f t="shared" si="457"/>
        <v>0</v>
      </c>
      <c r="AB1940">
        <f t="shared" si="458"/>
        <v>0</v>
      </c>
      <c r="AC1940">
        <f t="shared" si="459"/>
        <v>0</v>
      </c>
      <c r="AD1940" s="1">
        <f t="shared" si="460"/>
        <v>5</v>
      </c>
      <c r="AE1940">
        <f t="shared" si="461"/>
        <v>10</v>
      </c>
      <c r="AF1940">
        <f t="shared" si="462"/>
        <v>10</v>
      </c>
      <c r="AG1940">
        <f t="shared" si="463"/>
        <v>10</v>
      </c>
    </row>
    <row r="1941" spans="1:33" x14ac:dyDescent="0.25">
      <c r="A1941" t="s">
        <v>3135</v>
      </c>
      <c r="B1941" t="s">
        <v>1219</v>
      </c>
      <c r="C1941">
        <v>168674</v>
      </c>
      <c r="D1941">
        <v>168674</v>
      </c>
      <c r="H1941">
        <v>0</v>
      </c>
      <c r="I1941">
        <v>30</v>
      </c>
      <c r="J1941">
        <v>10</v>
      </c>
      <c r="K1941">
        <v>10</v>
      </c>
      <c r="L1941">
        <v>0</v>
      </c>
      <c r="M1941">
        <v>50</v>
      </c>
      <c r="S1941">
        <f t="shared" si="452"/>
        <v>0</v>
      </c>
      <c r="T1941">
        <f t="shared" si="453"/>
        <v>4.166666666666667</v>
      </c>
      <c r="U1941">
        <f t="shared" si="451"/>
        <v>1</v>
      </c>
      <c r="V1941">
        <f t="shared" si="454"/>
        <v>0</v>
      </c>
      <c r="W1941">
        <f t="shared" si="455"/>
        <v>1</v>
      </c>
      <c r="X1941">
        <f t="shared" si="464"/>
        <v>0</v>
      </c>
      <c r="Y1941">
        <f t="shared" si="465"/>
        <v>0</v>
      </c>
      <c r="Z1941">
        <f t="shared" si="456"/>
        <v>0</v>
      </c>
      <c r="AA1941">
        <f t="shared" si="457"/>
        <v>0</v>
      </c>
      <c r="AB1941">
        <f t="shared" si="458"/>
        <v>0</v>
      </c>
      <c r="AC1941">
        <f t="shared" si="459"/>
        <v>0</v>
      </c>
      <c r="AD1941" s="1">
        <f t="shared" si="460"/>
        <v>5</v>
      </c>
      <c r="AE1941">
        <f t="shared" si="461"/>
        <v>5</v>
      </c>
      <c r="AF1941">
        <f t="shared" si="462"/>
        <v>10</v>
      </c>
      <c r="AG1941">
        <f t="shared" si="463"/>
        <v>0</v>
      </c>
    </row>
    <row r="1942" spans="1:33" x14ac:dyDescent="0.25">
      <c r="A1942" t="s">
        <v>3136</v>
      </c>
      <c r="B1942" t="s">
        <v>1832</v>
      </c>
      <c r="C1942">
        <v>166184</v>
      </c>
      <c r="D1942">
        <v>166184</v>
      </c>
      <c r="E1942">
        <v>10</v>
      </c>
      <c r="F1942">
        <v>20</v>
      </c>
      <c r="G1942">
        <v>10</v>
      </c>
      <c r="O1942">
        <v>40</v>
      </c>
      <c r="S1942">
        <f t="shared" si="452"/>
        <v>2.5</v>
      </c>
      <c r="T1942">
        <f t="shared" si="453"/>
        <v>0</v>
      </c>
      <c r="U1942">
        <f t="shared" si="451"/>
        <v>1</v>
      </c>
      <c r="V1942">
        <f t="shared" si="454"/>
        <v>1</v>
      </c>
      <c r="W1942">
        <f t="shared" si="455"/>
        <v>0</v>
      </c>
      <c r="X1942">
        <f t="shared" si="464"/>
        <v>0</v>
      </c>
      <c r="Y1942">
        <f t="shared" si="465"/>
        <v>0</v>
      </c>
      <c r="Z1942">
        <f t="shared" si="456"/>
        <v>2</v>
      </c>
      <c r="AA1942">
        <f t="shared" si="457"/>
        <v>5</v>
      </c>
      <c r="AB1942">
        <f t="shared" si="458"/>
        <v>1.4285714285714286</v>
      </c>
      <c r="AC1942">
        <f t="shared" si="459"/>
        <v>0</v>
      </c>
      <c r="AD1942" s="1">
        <f t="shared" si="460"/>
        <v>0</v>
      </c>
      <c r="AE1942">
        <f t="shared" si="461"/>
        <v>0</v>
      </c>
      <c r="AF1942">
        <f t="shared" si="462"/>
        <v>0</v>
      </c>
      <c r="AG1942">
        <f t="shared" si="463"/>
        <v>0</v>
      </c>
    </row>
    <row r="1943" spans="1:33" x14ac:dyDescent="0.25">
      <c r="A1943" t="s">
        <v>3137</v>
      </c>
      <c r="B1943" t="s">
        <v>3138</v>
      </c>
      <c r="C1943">
        <v>167788</v>
      </c>
      <c r="D1943">
        <v>167788</v>
      </c>
      <c r="H1943">
        <v>10</v>
      </c>
      <c r="I1943">
        <v>50</v>
      </c>
      <c r="J1943">
        <v>10</v>
      </c>
      <c r="K1943">
        <v>10</v>
      </c>
      <c r="L1943">
        <v>0</v>
      </c>
      <c r="M1943">
        <v>80</v>
      </c>
      <c r="S1943">
        <f t="shared" si="452"/>
        <v>0</v>
      </c>
      <c r="T1943">
        <f t="shared" si="453"/>
        <v>6.666666666666667</v>
      </c>
      <c r="U1943">
        <f t="shared" si="451"/>
        <v>1</v>
      </c>
      <c r="V1943">
        <f t="shared" si="454"/>
        <v>0</v>
      </c>
      <c r="W1943">
        <f t="shared" si="455"/>
        <v>1</v>
      </c>
      <c r="X1943">
        <f t="shared" si="464"/>
        <v>0</v>
      </c>
      <c r="Y1943">
        <f t="shared" si="465"/>
        <v>1</v>
      </c>
      <c r="Z1943">
        <f t="shared" si="456"/>
        <v>0</v>
      </c>
      <c r="AA1943">
        <f t="shared" si="457"/>
        <v>0</v>
      </c>
      <c r="AB1943">
        <f t="shared" si="458"/>
        <v>0</v>
      </c>
      <c r="AC1943">
        <f t="shared" si="459"/>
        <v>5</v>
      </c>
      <c r="AD1943" s="1">
        <f t="shared" si="460"/>
        <v>8.3333333333333339</v>
      </c>
      <c r="AE1943">
        <f t="shared" si="461"/>
        <v>5</v>
      </c>
      <c r="AF1943">
        <f t="shared" si="462"/>
        <v>10</v>
      </c>
      <c r="AG1943">
        <f t="shared" si="463"/>
        <v>0</v>
      </c>
    </row>
    <row r="1944" spans="1:33" x14ac:dyDescent="0.25">
      <c r="A1944" t="s">
        <v>3139</v>
      </c>
      <c r="B1944" t="s">
        <v>2768</v>
      </c>
      <c r="C1944">
        <v>167874</v>
      </c>
      <c r="D1944">
        <v>167874</v>
      </c>
      <c r="E1944">
        <v>20</v>
      </c>
      <c r="F1944">
        <v>30</v>
      </c>
      <c r="G1944">
        <v>50</v>
      </c>
      <c r="O1944">
        <v>100</v>
      </c>
      <c r="S1944">
        <f t="shared" si="452"/>
        <v>6.25</v>
      </c>
      <c r="T1944">
        <f t="shared" si="453"/>
        <v>0</v>
      </c>
      <c r="U1944">
        <f t="shared" si="451"/>
        <v>1</v>
      </c>
      <c r="V1944">
        <f t="shared" si="454"/>
        <v>1</v>
      </c>
      <c r="W1944">
        <f t="shared" si="455"/>
        <v>0</v>
      </c>
      <c r="X1944">
        <f t="shared" si="464"/>
        <v>1</v>
      </c>
      <c r="Y1944">
        <f t="shared" si="465"/>
        <v>0</v>
      </c>
      <c r="Z1944">
        <f t="shared" si="456"/>
        <v>4</v>
      </c>
      <c r="AA1944">
        <f t="shared" si="457"/>
        <v>7.5</v>
      </c>
      <c r="AB1944">
        <f t="shared" si="458"/>
        <v>7.1428571428571432</v>
      </c>
      <c r="AC1944">
        <f t="shared" si="459"/>
        <v>0</v>
      </c>
      <c r="AD1944" s="1">
        <f t="shared" si="460"/>
        <v>0</v>
      </c>
      <c r="AE1944">
        <f t="shared" si="461"/>
        <v>0</v>
      </c>
      <c r="AF1944">
        <f t="shared" si="462"/>
        <v>0</v>
      </c>
      <c r="AG1944">
        <f t="shared" si="463"/>
        <v>0</v>
      </c>
    </row>
    <row r="1945" spans="1:33" x14ac:dyDescent="0.25">
      <c r="A1945" t="s">
        <v>3140</v>
      </c>
      <c r="B1945" t="s">
        <v>3141</v>
      </c>
      <c r="C1945">
        <v>167323</v>
      </c>
      <c r="D1945">
        <v>167323</v>
      </c>
      <c r="H1945">
        <v>10</v>
      </c>
      <c r="I1945">
        <v>30</v>
      </c>
      <c r="J1945">
        <v>10</v>
      </c>
      <c r="K1945">
        <v>0</v>
      </c>
      <c r="L1945">
        <v>0</v>
      </c>
      <c r="M1945">
        <v>50</v>
      </c>
      <c r="S1945">
        <f t="shared" si="452"/>
        <v>0</v>
      </c>
      <c r="T1945">
        <f t="shared" si="453"/>
        <v>4.166666666666667</v>
      </c>
      <c r="U1945">
        <f t="shared" si="451"/>
        <v>1</v>
      </c>
      <c r="V1945">
        <f t="shared" si="454"/>
        <v>0</v>
      </c>
      <c r="W1945">
        <f t="shared" si="455"/>
        <v>1</v>
      </c>
      <c r="X1945">
        <f t="shared" si="464"/>
        <v>0</v>
      </c>
      <c r="Y1945">
        <f t="shared" si="465"/>
        <v>0</v>
      </c>
      <c r="Z1945">
        <f t="shared" si="456"/>
        <v>0</v>
      </c>
      <c r="AA1945">
        <f t="shared" si="457"/>
        <v>0</v>
      </c>
      <c r="AB1945">
        <f t="shared" si="458"/>
        <v>0</v>
      </c>
      <c r="AC1945">
        <f t="shared" si="459"/>
        <v>5</v>
      </c>
      <c r="AD1945" s="1">
        <f t="shared" si="460"/>
        <v>5</v>
      </c>
      <c r="AE1945">
        <f t="shared" si="461"/>
        <v>5</v>
      </c>
      <c r="AF1945">
        <f t="shared" si="462"/>
        <v>0</v>
      </c>
      <c r="AG1945">
        <f t="shared" si="463"/>
        <v>0</v>
      </c>
    </row>
    <row r="1946" spans="1:33" x14ac:dyDescent="0.25">
      <c r="A1946" t="s">
        <v>3142</v>
      </c>
      <c r="B1946" t="s">
        <v>3143</v>
      </c>
      <c r="C1946">
        <v>168824</v>
      </c>
      <c r="D1946">
        <v>168824</v>
      </c>
      <c r="S1946">
        <f t="shared" si="452"/>
        <v>0</v>
      </c>
      <c r="T1946">
        <f t="shared" si="453"/>
        <v>0</v>
      </c>
      <c r="U1946">
        <f t="shared" si="451"/>
        <v>0</v>
      </c>
      <c r="V1946">
        <f t="shared" si="454"/>
        <v>0</v>
      </c>
      <c r="W1946">
        <f t="shared" si="455"/>
        <v>0</v>
      </c>
      <c r="X1946">
        <f t="shared" si="464"/>
        <v>0</v>
      </c>
      <c r="Y1946">
        <f t="shared" si="465"/>
        <v>0</v>
      </c>
      <c r="Z1946">
        <f t="shared" si="456"/>
        <v>0</v>
      </c>
      <c r="AA1946">
        <f t="shared" si="457"/>
        <v>0</v>
      </c>
      <c r="AB1946">
        <f t="shared" si="458"/>
        <v>0</v>
      </c>
      <c r="AC1946">
        <f t="shared" si="459"/>
        <v>0</v>
      </c>
      <c r="AD1946" s="1">
        <f t="shared" si="460"/>
        <v>0</v>
      </c>
      <c r="AE1946">
        <f t="shared" si="461"/>
        <v>0</v>
      </c>
      <c r="AF1946">
        <f t="shared" si="462"/>
        <v>0</v>
      </c>
      <c r="AG1946">
        <f t="shared" si="463"/>
        <v>0</v>
      </c>
    </row>
    <row r="1947" spans="1:33" x14ac:dyDescent="0.25">
      <c r="A1947" t="s">
        <v>3144</v>
      </c>
      <c r="B1947" t="s">
        <v>674</v>
      </c>
      <c r="C1947">
        <v>166472</v>
      </c>
      <c r="D1947">
        <v>166472</v>
      </c>
      <c r="E1947">
        <v>20</v>
      </c>
      <c r="F1947">
        <v>20</v>
      </c>
      <c r="G1947">
        <v>50</v>
      </c>
      <c r="O1947">
        <v>90</v>
      </c>
      <c r="S1947">
        <f t="shared" si="452"/>
        <v>5.625</v>
      </c>
      <c r="T1947">
        <f t="shared" si="453"/>
        <v>0</v>
      </c>
      <c r="U1947">
        <f t="shared" si="451"/>
        <v>1</v>
      </c>
      <c r="V1947">
        <f t="shared" si="454"/>
        <v>1</v>
      </c>
      <c r="W1947">
        <f t="shared" si="455"/>
        <v>0</v>
      </c>
      <c r="X1947">
        <f t="shared" si="464"/>
        <v>0</v>
      </c>
      <c r="Y1947">
        <f t="shared" si="465"/>
        <v>0</v>
      </c>
      <c r="Z1947">
        <f t="shared" si="456"/>
        <v>4</v>
      </c>
      <c r="AA1947">
        <f t="shared" si="457"/>
        <v>5</v>
      </c>
      <c r="AB1947">
        <f t="shared" si="458"/>
        <v>7.1428571428571432</v>
      </c>
      <c r="AC1947">
        <f t="shared" si="459"/>
        <v>0</v>
      </c>
      <c r="AD1947" s="1">
        <f t="shared" si="460"/>
        <v>0</v>
      </c>
      <c r="AE1947">
        <f t="shared" si="461"/>
        <v>0</v>
      </c>
      <c r="AF1947">
        <f t="shared" si="462"/>
        <v>0</v>
      </c>
      <c r="AG1947">
        <f t="shared" si="463"/>
        <v>0</v>
      </c>
    </row>
    <row r="1948" spans="1:33" x14ac:dyDescent="0.25">
      <c r="A1948" t="s">
        <v>3145</v>
      </c>
      <c r="B1948" t="s">
        <v>340</v>
      </c>
      <c r="C1948">
        <v>166842</v>
      </c>
      <c r="D1948">
        <v>166842</v>
      </c>
      <c r="H1948">
        <v>10</v>
      </c>
      <c r="I1948">
        <v>0</v>
      </c>
      <c r="J1948">
        <v>10</v>
      </c>
      <c r="K1948">
        <v>10</v>
      </c>
      <c r="L1948">
        <v>0</v>
      </c>
      <c r="M1948">
        <v>30</v>
      </c>
      <c r="S1948">
        <f t="shared" si="452"/>
        <v>0</v>
      </c>
      <c r="T1948">
        <f t="shared" si="453"/>
        <v>2.5</v>
      </c>
      <c r="U1948">
        <f t="shared" si="451"/>
        <v>1</v>
      </c>
      <c r="V1948">
        <f t="shared" si="454"/>
        <v>0</v>
      </c>
      <c r="W1948">
        <f t="shared" si="455"/>
        <v>1</v>
      </c>
      <c r="X1948">
        <f t="shared" si="464"/>
        <v>0</v>
      </c>
      <c r="Y1948">
        <f t="shared" si="465"/>
        <v>0</v>
      </c>
      <c r="Z1948">
        <f t="shared" si="456"/>
        <v>0</v>
      </c>
      <c r="AA1948">
        <f t="shared" si="457"/>
        <v>0</v>
      </c>
      <c r="AB1948">
        <f t="shared" si="458"/>
        <v>0</v>
      </c>
      <c r="AC1948">
        <f t="shared" si="459"/>
        <v>5</v>
      </c>
      <c r="AD1948" s="1">
        <f t="shared" si="460"/>
        <v>0</v>
      </c>
      <c r="AE1948">
        <f t="shared" si="461"/>
        <v>5</v>
      </c>
      <c r="AF1948">
        <f t="shared" si="462"/>
        <v>10</v>
      </c>
      <c r="AG1948">
        <f t="shared" si="463"/>
        <v>0</v>
      </c>
    </row>
    <row r="1949" spans="1:33" x14ac:dyDescent="0.25">
      <c r="A1949" t="s">
        <v>3146</v>
      </c>
      <c r="B1949" t="s">
        <v>3147</v>
      </c>
      <c r="C1949">
        <v>168663</v>
      </c>
      <c r="D1949">
        <v>168663</v>
      </c>
      <c r="H1949">
        <v>20</v>
      </c>
      <c r="I1949">
        <v>60</v>
      </c>
      <c r="J1949">
        <v>20</v>
      </c>
      <c r="K1949">
        <v>10</v>
      </c>
      <c r="L1949">
        <v>10</v>
      </c>
      <c r="M1949">
        <v>120</v>
      </c>
      <c r="S1949">
        <f t="shared" si="452"/>
        <v>0</v>
      </c>
      <c r="T1949">
        <f t="shared" si="453"/>
        <v>10</v>
      </c>
      <c r="U1949">
        <f t="shared" si="451"/>
        <v>1</v>
      </c>
      <c r="V1949">
        <f t="shared" si="454"/>
        <v>0</v>
      </c>
      <c r="W1949">
        <f t="shared" si="455"/>
        <v>1</v>
      </c>
      <c r="X1949">
        <f t="shared" si="464"/>
        <v>0</v>
      </c>
      <c r="Y1949">
        <f t="shared" si="465"/>
        <v>1</v>
      </c>
      <c r="Z1949">
        <f t="shared" si="456"/>
        <v>0</v>
      </c>
      <c r="AA1949">
        <f t="shared" si="457"/>
        <v>0</v>
      </c>
      <c r="AB1949">
        <f t="shared" si="458"/>
        <v>0</v>
      </c>
      <c r="AC1949">
        <f t="shared" si="459"/>
        <v>10</v>
      </c>
      <c r="AD1949" s="1">
        <f t="shared" si="460"/>
        <v>10</v>
      </c>
      <c r="AE1949">
        <f t="shared" si="461"/>
        <v>10</v>
      </c>
      <c r="AF1949">
        <f t="shared" si="462"/>
        <v>10</v>
      </c>
      <c r="AG1949">
        <f t="shared" si="463"/>
        <v>10</v>
      </c>
    </row>
    <row r="1950" spans="1:33" x14ac:dyDescent="0.25">
      <c r="A1950" t="s">
        <v>3148</v>
      </c>
      <c r="B1950" t="s">
        <v>2830</v>
      </c>
      <c r="C1950">
        <v>165313</v>
      </c>
      <c r="D1950">
        <v>165313</v>
      </c>
      <c r="E1950">
        <v>0</v>
      </c>
      <c r="F1950">
        <v>10</v>
      </c>
      <c r="G1950">
        <v>30</v>
      </c>
      <c r="O1950">
        <v>40</v>
      </c>
      <c r="S1950">
        <f t="shared" si="452"/>
        <v>2.5</v>
      </c>
      <c r="T1950">
        <f t="shared" si="453"/>
        <v>0</v>
      </c>
      <c r="U1950">
        <f t="shared" si="451"/>
        <v>1</v>
      </c>
      <c r="V1950">
        <f t="shared" si="454"/>
        <v>1</v>
      </c>
      <c r="W1950">
        <f t="shared" si="455"/>
        <v>0</v>
      </c>
      <c r="X1950">
        <f t="shared" si="464"/>
        <v>0</v>
      </c>
      <c r="Y1950">
        <f t="shared" si="465"/>
        <v>0</v>
      </c>
      <c r="Z1950">
        <f t="shared" si="456"/>
        <v>0</v>
      </c>
      <c r="AA1950">
        <f t="shared" si="457"/>
        <v>2.5</v>
      </c>
      <c r="AB1950">
        <f t="shared" si="458"/>
        <v>4.2857142857142856</v>
      </c>
      <c r="AC1950">
        <f t="shared" si="459"/>
        <v>0</v>
      </c>
      <c r="AD1950" s="1">
        <f t="shared" si="460"/>
        <v>0</v>
      </c>
      <c r="AE1950">
        <f t="shared" si="461"/>
        <v>0</v>
      </c>
      <c r="AF1950">
        <f t="shared" si="462"/>
        <v>0</v>
      </c>
      <c r="AG1950">
        <f t="shared" si="463"/>
        <v>0</v>
      </c>
    </row>
    <row r="1951" spans="1:33" x14ac:dyDescent="0.25">
      <c r="A1951" t="s">
        <v>3149</v>
      </c>
      <c r="B1951" t="s">
        <v>1272</v>
      </c>
      <c r="C1951">
        <v>161249</v>
      </c>
      <c r="D1951">
        <v>161249</v>
      </c>
      <c r="H1951">
        <v>0</v>
      </c>
      <c r="I1951">
        <v>20</v>
      </c>
      <c r="J1951">
        <v>0</v>
      </c>
      <c r="K1951">
        <v>0</v>
      </c>
      <c r="L1951">
        <v>0</v>
      </c>
      <c r="M1951">
        <v>20</v>
      </c>
      <c r="S1951">
        <f t="shared" si="452"/>
        <v>0</v>
      </c>
      <c r="T1951">
        <f t="shared" si="453"/>
        <v>1.6666666666666667</v>
      </c>
      <c r="U1951">
        <f t="shared" si="451"/>
        <v>1</v>
      </c>
      <c r="V1951">
        <f t="shared" si="454"/>
        <v>0</v>
      </c>
      <c r="W1951">
        <f t="shared" si="455"/>
        <v>1</v>
      </c>
      <c r="X1951">
        <f t="shared" si="464"/>
        <v>0</v>
      </c>
      <c r="Y1951">
        <f t="shared" si="465"/>
        <v>0</v>
      </c>
      <c r="Z1951">
        <f t="shared" si="456"/>
        <v>0</v>
      </c>
      <c r="AA1951">
        <f t="shared" si="457"/>
        <v>0</v>
      </c>
      <c r="AB1951">
        <f t="shared" si="458"/>
        <v>0</v>
      </c>
      <c r="AC1951">
        <f t="shared" si="459"/>
        <v>0</v>
      </c>
      <c r="AD1951" s="1">
        <f t="shared" si="460"/>
        <v>3.3333333333333335</v>
      </c>
      <c r="AE1951">
        <f t="shared" si="461"/>
        <v>0</v>
      </c>
      <c r="AF1951">
        <f t="shared" si="462"/>
        <v>0</v>
      </c>
      <c r="AG1951">
        <f t="shared" si="463"/>
        <v>0</v>
      </c>
    </row>
    <row r="1952" spans="1:33" x14ac:dyDescent="0.25">
      <c r="A1952" t="s">
        <v>3150</v>
      </c>
      <c r="B1952" t="s">
        <v>3151</v>
      </c>
      <c r="C1952">
        <v>167857</v>
      </c>
      <c r="D1952">
        <v>167857</v>
      </c>
      <c r="H1952">
        <v>10</v>
      </c>
      <c r="I1952">
        <v>60</v>
      </c>
      <c r="J1952">
        <v>20</v>
      </c>
      <c r="K1952">
        <v>10</v>
      </c>
      <c r="L1952">
        <v>10</v>
      </c>
      <c r="M1952">
        <v>110</v>
      </c>
      <c r="S1952">
        <f t="shared" si="452"/>
        <v>0</v>
      </c>
      <c r="T1952">
        <f t="shared" si="453"/>
        <v>9.1666666666666661</v>
      </c>
      <c r="U1952">
        <f t="shared" si="451"/>
        <v>1</v>
      </c>
      <c r="V1952">
        <f t="shared" si="454"/>
        <v>0</v>
      </c>
      <c r="W1952">
        <f t="shared" si="455"/>
        <v>1</v>
      </c>
      <c r="X1952">
        <f t="shared" si="464"/>
        <v>0</v>
      </c>
      <c r="Y1952">
        <f t="shared" si="465"/>
        <v>1</v>
      </c>
      <c r="Z1952">
        <f t="shared" si="456"/>
        <v>0</v>
      </c>
      <c r="AA1952">
        <f t="shared" si="457"/>
        <v>0</v>
      </c>
      <c r="AB1952">
        <f t="shared" si="458"/>
        <v>0</v>
      </c>
      <c r="AC1952">
        <f t="shared" si="459"/>
        <v>5</v>
      </c>
      <c r="AD1952" s="1">
        <f t="shared" si="460"/>
        <v>10</v>
      </c>
      <c r="AE1952">
        <f t="shared" si="461"/>
        <v>10</v>
      </c>
      <c r="AF1952">
        <f t="shared" si="462"/>
        <v>10</v>
      </c>
      <c r="AG1952">
        <f t="shared" si="463"/>
        <v>10</v>
      </c>
    </row>
    <row r="1953" spans="1:33" x14ac:dyDescent="0.25">
      <c r="A1953" t="s">
        <v>3152</v>
      </c>
      <c r="B1953" t="s">
        <v>228</v>
      </c>
      <c r="C1953">
        <v>166365</v>
      </c>
      <c r="D1953">
        <v>166365</v>
      </c>
      <c r="H1953">
        <v>10</v>
      </c>
      <c r="I1953">
        <v>20</v>
      </c>
      <c r="J1953">
        <v>10</v>
      </c>
      <c r="K1953">
        <v>0</v>
      </c>
      <c r="L1953">
        <v>10</v>
      </c>
      <c r="M1953">
        <v>50</v>
      </c>
      <c r="S1953">
        <f t="shared" si="452"/>
        <v>0</v>
      </c>
      <c r="T1953">
        <f t="shared" si="453"/>
        <v>4.166666666666667</v>
      </c>
      <c r="U1953">
        <f t="shared" si="451"/>
        <v>1</v>
      </c>
      <c r="V1953">
        <f t="shared" si="454"/>
        <v>0</v>
      </c>
      <c r="W1953">
        <f t="shared" si="455"/>
        <v>1</v>
      </c>
      <c r="X1953">
        <f t="shared" si="464"/>
        <v>0</v>
      </c>
      <c r="Y1953">
        <f t="shared" si="465"/>
        <v>0</v>
      </c>
      <c r="Z1953">
        <f t="shared" si="456"/>
        <v>0</v>
      </c>
      <c r="AA1953">
        <f t="shared" si="457"/>
        <v>0</v>
      </c>
      <c r="AB1953">
        <f t="shared" si="458"/>
        <v>0</v>
      </c>
      <c r="AC1953">
        <f t="shared" si="459"/>
        <v>5</v>
      </c>
      <c r="AD1953" s="1">
        <f t="shared" si="460"/>
        <v>3.3333333333333335</v>
      </c>
      <c r="AE1953">
        <f t="shared" si="461"/>
        <v>5</v>
      </c>
      <c r="AF1953">
        <f t="shared" si="462"/>
        <v>0</v>
      </c>
      <c r="AG1953">
        <f t="shared" si="463"/>
        <v>10</v>
      </c>
    </row>
    <row r="1954" spans="1:33" x14ac:dyDescent="0.25">
      <c r="A1954" t="s">
        <v>3153</v>
      </c>
      <c r="B1954" t="s">
        <v>697</v>
      </c>
      <c r="C1954">
        <v>167014</v>
      </c>
      <c r="D1954">
        <v>167014</v>
      </c>
      <c r="H1954">
        <v>10</v>
      </c>
      <c r="I1954">
        <v>40</v>
      </c>
      <c r="J1954">
        <v>10</v>
      </c>
      <c r="K1954">
        <v>10</v>
      </c>
      <c r="L1954">
        <v>10</v>
      </c>
      <c r="M1954">
        <v>80</v>
      </c>
      <c r="R1954">
        <v>0</v>
      </c>
      <c r="S1954">
        <f t="shared" si="452"/>
        <v>0</v>
      </c>
      <c r="T1954">
        <f t="shared" si="453"/>
        <v>6.666666666666667</v>
      </c>
      <c r="U1954">
        <f t="shared" si="451"/>
        <v>1</v>
      </c>
      <c r="V1954">
        <f t="shared" si="454"/>
        <v>0</v>
      </c>
      <c r="W1954">
        <f t="shared" si="455"/>
        <v>1</v>
      </c>
      <c r="X1954">
        <f t="shared" si="464"/>
        <v>0</v>
      </c>
      <c r="Y1954">
        <f t="shared" si="465"/>
        <v>1</v>
      </c>
      <c r="Z1954">
        <f t="shared" si="456"/>
        <v>0</v>
      </c>
      <c r="AA1954">
        <f t="shared" si="457"/>
        <v>0</v>
      </c>
      <c r="AB1954">
        <f t="shared" si="458"/>
        <v>0</v>
      </c>
      <c r="AC1954">
        <f t="shared" si="459"/>
        <v>5</v>
      </c>
      <c r="AD1954" s="1">
        <f t="shared" si="460"/>
        <v>6.666666666666667</v>
      </c>
      <c r="AE1954">
        <f t="shared" si="461"/>
        <v>5</v>
      </c>
      <c r="AF1954">
        <f t="shared" si="462"/>
        <v>10</v>
      </c>
      <c r="AG1954">
        <f t="shared" si="463"/>
        <v>10</v>
      </c>
    </row>
    <row r="1955" spans="1:33" x14ac:dyDescent="0.25">
      <c r="A1955" t="s">
        <v>3154</v>
      </c>
      <c r="B1955" t="s">
        <v>3155</v>
      </c>
      <c r="C1955">
        <v>166322</v>
      </c>
      <c r="D1955">
        <v>166322</v>
      </c>
      <c r="E1955">
        <v>40</v>
      </c>
      <c r="F1955">
        <v>10</v>
      </c>
      <c r="G1955">
        <v>40</v>
      </c>
      <c r="O1955">
        <v>90</v>
      </c>
      <c r="S1955">
        <f t="shared" si="452"/>
        <v>5.625</v>
      </c>
      <c r="T1955">
        <f t="shared" si="453"/>
        <v>0</v>
      </c>
      <c r="U1955">
        <f t="shared" si="451"/>
        <v>1</v>
      </c>
      <c r="V1955">
        <f t="shared" si="454"/>
        <v>1</v>
      </c>
      <c r="W1955">
        <f t="shared" si="455"/>
        <v>0</v>
      </c>
      <c r="X1955">
        <f t="shared" si="464"/>
        <v>0</v>
      </c>
      <c r="Y1955">
        <f t="shared" si="465"/>
        <v>0</v>
      </c>
      <c r="Z1955">
        <f t="shared" si="456"/>
        <v>8</v>
      </c>
      <c r="AA1955">
        <f t="shared" si="457"/>
        <v>2.5</v>
      </c>
      <c r="AB1955">
        <f t="shared" si="458"/>
        <v>5.7142857142857144</v>
      </c>
      <c r="AC1955">
        <f t="shared" si="459"/>
        <v>0</v>
      </c>
      <c r="AD1955" s="1">
        <f t="shared" si="460"/>
        <v>0</v>
      </c>
      <c r="AE1955">
        <f t="shared" si="461"/>
        <v>0</v>
      </c>
      <c r="AF1955">
        <f t="shared" si="462"/>
        <v>0</v>
      </c>
      <c r="AG1955">
        <f t="shared" si="463"/>
        <v>0</v>
      </c>
    </row>
    <row r="1956" spans="1:33" x14ac:dyDescent="0.25">
      <c r="A1956" t="s">
        <v>3156</v>
      </c>
      <c r="B1956" t="s">
        <v>3157</v>
      </c>
      <c r="C1956">
        <v>166849</v>
      </c>
      <c r="D1956">
        <v>166849</v>
      </c>
      <c r="E1956">
        <v>30</v>
      </c>
      <c r="F1956">
        <v>30</v>
      </c>
      <c r="O1956">
        <v>60</v>
      </c>
      <c r="S1956">
        <f t="shared" si="452"/>
        <v>3.75</v>
      </c>
      <c r="T1956">
        <f t="shared" si="453"/>
        <v>0</v>
      </c>
      <c r="U1956">
        <f t="shared" si="451"/>
        <v>1</v>
      </c>
      <c r="V1956">
        <f t="shared" si="454"/>
        <v>1</v>
      </c>
      <c r="W1956">
        <f t="shared" si="455"/>
        <v>0</v>
      </c>
      <c r="X1956">
        <f t="shared" si="464"/>
        <v>0</v>
      </c>
      <c r="Y1956">
        <f t="shared" si="465"/>
        <v>0</v>
      </c>
      <c r="Z1956">
        <f t="shared" si="456"/>
        <v>6</v>
      </c>
      <c r="AA1956">
        <f t="shared" si="457"/>
        <v>7.5</v>
      </c>
      <c r="AB1956">
        <f t="shared" si="458"/>
        <v>0</v>
      </c>
      <c r="AC1956">
        <f t="shared" si="459"/>
        <v>0</v>
      </c>
      <c r="AD1956" s="1">
        <f t="shared" si="460"/>
        <v>0</v>
      </c>
      <c r="AE1956">
        <f t="shared" si="461"/>
        <v>0</v>
      </c>
      <c r="AF1956">
        <f t="shared" si="462"/>
        <v>0</v>
      </c>
      <c r="AG1956">
        <f t="shared" si="463"/>
        <v>0</v>
      </c>
    </row>
    <row r="1957" spans="1:33" x14ac:dyDescent="0.25">
      <c r="A1957" t="s">
        <v>3158</v>
      </c>
      <c r="B1957" t="s">
        <v>3159</v>
      </c>
      <c r="C1957">
        <v>166047</v>
      </c>
      <c r="D1957">
        <v>166047</v>
      </c>
      <c r="E1957">
        <v>10</v>
      </c>
      <c r="F1957">
        <v>20</v>
      </c>
      <c r="O1957">
        <v>30</v>
      </c>
      <c r="S1957">
        <f t="shared" si="452"/>
        <v>1.875</v>
      </c>
      <c r="T1957">
        <f t="shared" si="453"/>
        <v>0</v>
      </c>
      <c r="U1957">
        <f t="shared" si="451"/>
        <v>1</v>
      </c>
      <c r="V1957">
        <f t="shared" si="454"/>
        <v>1</v>
      </c>
      <c r="W1957">
        <f t="shared" si="455"/>
        <v>0</v>
      </c>
      <c r="X1957">
        <f t="shared" si="464"/>
        <v>0</v>
      </c>
      <c r="Y1957">
        <f t="shared" si="465"/>
        <v>0</v>
      </c>
      <c r="Z1957">
        <f t="shared" si="456"/>
        <v>2</v>
      </c>
      <c r="AA1957">
        <f t="shared" si="457"/>
        <v>5</v>
      </c>
      <c r="AB1957">
        <f t="shared" si="458"/>
        <v>0</v>
      </c>
      <c r="AC1957">
        <f t="shared" si="459"/>
        <v>0</v>
      </c>
      <c r="AD1957" s="1">
        <f t="shared" si="460"/>
        <v>0</v>
      </c>
      <c r="AE1957">
        <f t="shared" si="461"/>
        <v>0</v>
      </c>
      <c r="AF1957">
        <f t="shared" si="462"/>
        <v>0</v>
      </c>
      <c r="AG1957">
        <f t="shared" si="463"/>
        <v>0</v>
      </c>
    </row>
    <row r="1958" spans="1:33" x14ac:dyDescent="0.25">
      <c r="A1958" t="s">
        <v>3160</v>
      </c>
      <c r="B1958" t="s">
        <v>418</v>
      </c>
      <c r="C1958">
        <v>162804</v>
      </c>
      <c r="D1958">
        <v>162804</v>
      </c>
      <c r="E1958">
        <v>50</v>
      </c>
      <c r="F1958">
        <v>40</v>
      </c>
      <c r="G1958">
        <v>50</v>
      </c>
      <c r="O1958">
        <v>140</v>
      </c>
      <c r="S1958">
        <f t="shared" si="452"/>
        <v>8.75</v>
      </c>
      <c r="T1958">
        <f t="shared" si="453"/>
        <v>0</v>
      </c>
      <c r="U1958">
        <f t="shared" si="451"/>
        <v>1</v>
      </c>
      <c r="V1958">
        <f t="shared" si="454"/>
        <v>1</v>
      </c>
      <c r="W1958">
        <f t="shared" si="455"/>
        <v>0</v>
      </c>
      <c r="X1958">
        <f t="shared" si="464"/>
        <v>1</v>
      </c>
      <c r="Y1958">
        <f t="shared" si="465"/>
        <v>0</v>
      </c>
      <c r="Z1958">
        <f t="shared" si="456"/>
        <v>10</v>
      </c>
      <c r="AA1958">
        <f t="shared" si="457"/>
        <v>10</v>
      </c>
      <c r="AB1958">
        <f t="shared" si="458"/>
        <v>7.1428571428571432</v>
      </c>
      <c r="AC1958">
        <f t="shared" si="459"/>
        <v>0</v>
      </c>
      <c r="AD1958" s="1">
        <f t="shared" si="460"/>
        <v>0</v>
      </c>
      <c r="AE1958">
        <f t="shared" si="461"/>
        <v>0</v>
      </c>
      <c r="AF1958">
        <f t="shared" si="462"/>
        <v>0</v>
      </c>
      <c r="AG1958">
        <f t="shared" si="463"/>
        <v>0</v>
      </c>
    </row>
    <row r="1959" spans="1:33" x14ac:dyDescent="0.25">
      <c r="A1959" t="s">
        <v>3161</v>
      </c>
      <c r="B1959" t="s">
        <v>3162</v>
      </c>
      <c r="C1959">
        <v>167693</v>
      </c>
      <c r="D1959">
        <v>167693</v>
      </c>
      <c r="E1959">
        <v>30</v>
      </c>
      <c r="O1959">
        <v>30</v>
      </c>
      <c r="S1959">
        <f t="shared" si="452"/>
        <v>1.875</v>
      </c>
      <c r="T1959">
        <f t="shared" si="453"/>
        <v>0</v>
      </c>
      <c r="U1959">
        <f t="shared" si="451"/>
        <v>1</v>
      </c>
      <c r="V1959">
        <f t="shared" si="454"/>
        <v>1</v>
      </c>
      <c r="W1959">
        <f t="shared" si="455"/>
        <v>0</v>
      </c>
      <c r="X1959">
        <f t="shared" si="464"/>
        <v>0</v>
      </c>
      <c r="Y1959">
        <f t="shared" si="465"/>
        <v>0</v>
      </c>
      <c r="Z1959">
        <f t="shared" si="456"/>
        <v>6</v>
      </c>
      <c r="AA1959">
        <f t="shared" si="457"/>
        <v>0</v>
      </c>
      <c r="AB1959">
        <f t="shared" si="458"/>
        <v>0</v>
      </c>
      <c r="AC1959">
        <f t="shared" si="459"/>
        <v>0</v>
      </c>
      <c r="AD1959" s="1">
        <f t="shared" si="460"/>
        <v>0</v>
      </c>
      <c r="AE1959">
        <f t="shared" si="461"/>
        <v>0</v>
      </c>
      <c r="AF1959">
        <f t="shared" si="462"/>
        <v>0</v>
      </c>
      <c r="AG1959">
        <f t="shared" si="463"/>
        <v>0</v>
      </c>
    </row>
    <row r="1960" spans="1:33" x14ac:dyDescent="0.25">
      <c r="A1960" t="s">
        <v>3163</v>
      </c>
      <c r="B1960" t="s">
        <v>1553</v>
      </c>
      <c r="C1960">
        <v>167861</v>
      </c>
      <c r="D1960">
        <v>167861</v>
      </c>
      <c r="H1960">
        <v>10</v>
      </c>
      <c r="I1960">
        <v>30</v>
      </c>
      <c r="J1960">
        <v>20</v>
      </c>
      <c r="K1960">
        <v>10</v>
      </c>
      <c r="L1960">
        <v>10</v>
      </c>
      <c r="M1960">
        <v>80</v>
      </c>
      <c r="S1960">
        <f t="shared" si="452"/>
        <v>0</v>
      </c>
      <c r="T1960">
        <f t="shared" si="453"/>
        <v>6.666666666666667</v>
      </c>
      <c r="U1960">
        <f t="shared" si="451"/>
        <v>1</v>
      </c>
      <c r="V1960">
        <f t="shared" si="454"/>
        <v>0</v>
      </c>
      <c r="W1960">
        <f t="shared" si="455"/>
        <v>1</v>
      </c>
      <c r="X1960">
        <f t="shared" si="464"/>
        <v>0</v>
      </c>
      <c r="Y1960">
        <f t="shared" si="465"/>
        <v>1</v>
      </c>
      <c r="Z1960">
        <f t="shared" si="456"/>
        <v>0</v>
      </c>
      <c r="AA1960">
        <f t="shared" si="457"/>
        <v>0</v>
      </c>
      <c r="AB1960">
        <f t="shared" si="458"/>
        <v>0</v>
      </c>
      <c r="AC1960">
        <f t="shared" si="459"/>
        <v>5</v>
      </c>
      <c r="AD1960" s="1">
        <f t="shared" si="460"/>
        <v>5</v>
      </c>
      <c r="AE1960">
        <f t="shared" si="461"/>
        <v>10</v>
      </c>
      <c r="AF1960">
        <f t="shared" si="462"/>
        <v>10</v>
      </c>
      <c r="AG1960">
        <f t="shared" si="463"/>
        <v>10</v>
      </c>
    </row>
    <row r="1961" spans="1:33" x14ac:dyDescent="0.25">
      <c r="A1961" t="s">
        <v>3164</v>
      </c>
      <c r="B1961" t="s">
        <v>3165</v>
      </c>
      <c r="C1961">
        <v>167350</v>
      </c>
      <c r="D1961">
        <v>167350</v>
      </c>
      <c r="E1961">
        <v>0</v>
      </c>
      <c r="F1961">
        <v>0</v>
      </c>
      <c r="G1961">
        <v>0</v>
      </c>
      <c r="O1961">
        <v>0</v>
      </c>
      <c r="S1961">
        <f t="shared" si="452"/>
        <v>0</v>
      </c>
      <c r="T1961">
        <f t="shared" si="453"/>
        <v>0</v>
      </c>
      <c r="U1961">
        <f t="shared" si="451"/>
        <v>1</v>
      </c>
      <c r="V1961">
        <f t="shared" si="454"/>
        <v>1</v>
      </c>
      <c r="W1961">
        <f t="shared" si="455"/>
        <v>0</v>
      </c>
      <c r="X1961">
        <f t="shared" si="464"/>
        <v>0</v>
      </c>
      <c r="Y1961">
        <f t="shared" si="465"/>
        <v>0</v>
      </c>
      <c r="Z1961">
        <f t="shared" si="456"/>
        <v>0</v>
      </c>
      <c r="AA1961">
        <f t="shared" si="457"/>
        <v>0</v>
      </c>
      <c r="AB1961">
        <f t="shared" si="458"/>
        <v>0</v>
      </c>
      <c r="AC1961">
        <f t="shared" si="459"/>
        <v>0</v>
      </c>
      <c r="AD1961" s="1">
        <f t="shared" si="460"/>
        <v>0</v>
      </c>
      <c r="AE1961">
        <f t="shared" si="461"/>
        <v>0</v>
      </c>
      <c r="AF1961">
        <f t="shared" si="462"/>
        <v>0</v>
      </c>
      <c r="AG1961">
        <f t="shared" si="463"/>
        <v>0</v>
      </c>
    </row>
    <row r="1962" spans="1:33" x14ac:dyDescent="0.25">
      <c r="A1962" t="s">
        <v>3166</v>
      </c>
      <c r="B1962" t="s">
        <v>126</v>
      </c>
      <c r="C1962">
        <v>168180</v>
      </c>
      <c r="D1962">
        <v>168180</v>
      </c>
      <c r="E1962">
        <v>30</v>
      </c>
      <c r="F1962">
        <v>30</v>
      </c>
      <c r="G1962">
        <v>20</v>
      </c>
      <c r="O1962">
        <v>80</v>
      </c>
      <c r="S1962">
        <f t="shared" si="452"/>
        <v>5</v>
      </c>
      <c r="T1962">
        <f t="shared" si="453"/>
        <v>0</v>
      </c>
      <c r="U1962">
        <f t="shared" si="451"/>
        <v>1</v>
      </c>
      <c r="V1962">
        <f t="shared" si="454"/>
        <v>1</v>
      </c>
      <c r="W1962">
        <f t="shared" si="455"/>
        <v>0</v>
      </c>
      <c r="X1962">
        <f t="shared" si="464"/>
        <v>0</v>
      </c>
      <c r="Y1962">
        <f t="shared" si="465"/>
        <v>0</v>
      </c>
      <c r="Z1962">
        <f t="shared" si="456"/>
        <v>6</v>
      </c>
      <c r="AA1962">
        <f t="shared" si="457"/>
        <v>7.5</v>
      </c>
      <c r="AB1962">
        <f t="shared" si="458"/>
        <v>2.8571428571428572</v>
      </c>
      <c r="AC1962">
        <f t="shared" si="459"/>
        <v>0</v>
      </c>
      <c r="AD1962" s="1">
        <f t="shared" si="460"/>
        <v>0</v>
      </c>
      <c r="AE1962">
        <f t="shared" si="461"/>
        <v>0</v>
      </c>
      <c r="AF1962">
        <f t="shared" si="462"/>
        <v>0</v>
      </c>
      <c r="AG1962">
        <f t="shared" si="463"/>
        <v>0</v>
      </c>
    </row>
    <row r="1963" spans="1:33" x14ac:dyDescent="0.25">
      <c r="A1963" t="s">
        <v>3167</v>
      </c>
      <c r="B1963" t="s">
        <v>338</v>
      </c>
      <c r="C1963">
        <v>168678</v>
      </c>
      <c r="D1963">
        <v>168678</v>
      </c>
      <c r="E1963">
        <v>20</v>
      </c>
      <c r="F1963">
        <v>30</v>
      </c>
      <c r="G1963">
        <v>10</v>
      </c>
      <c r="O1963">
        <v>60</v>
      </c>
      <c r="S1963">
        <f t="shared" si="452"/>
        <v>3.75</v>
      </c>
      <c r="T1963">
        <f t="shared" si="453"/>
        <v>0</v>
      </c>
      <c r="U1963">
        <f t="shared" si="451"/>
        <v>1</v>
      </c>
      <c r="V1963">
        <f t="shared" si="454"/>
        <v>1</v>
      </c>
      <c r="W1963">
        <f t="shared" si="455"/>
        <v>0</v>
      </c>
      <c r="X1963">
        <f t="shared" si="464"/>
        <v>0</v>
      </c>
      <c r="Y1963">
        <f t="shared" si="465"/>
        <v>0</v>
      </c>
      <c r="Z1963">
        <f t="shared" si="456"/>
        <v>4</v>
      </c>
      <c r="AA1963">
        <f t="shared" si="457"/>
        <v>7.5</v>
      </c>
      <c r="AB1963">
        <f t="shared" si="458"/>
        <v>1.4285714285714286</v>
      </c>
      <c r="AC1963">
        <f t="shared" si="459"/>
        <v>0</v>
      </c>
      <c r="AD1963" s="1">
        <f t="shared" si="460"/>
        <v>0</v>
      </c>
      <c r="AE1963">
        <f t="shared" si="461"/>
        <v>0</v>
      </c>
      <c r="AF1963">
        <f t="shared" si="462"/>
        <v>0</v>
      </c>
      <c r="AG1963">
        <f t="shared" si="463"/>
        <v>0</v>
      </c>
    </row>
    <row r="1964" spans="1:33" x14ac:dyDescent="0.25">
      <c r="A1964" t="s">
        <v>3168</v>
      </c>
      <c r="B1964" t="s">
        <v>3169</v>
      </c>
      <c r="C1964">
        <v>167259</v>
      </c>
      <c r="D1964">
        <v>167259</v>
      </c>
      <c r="E1964">
        <v>20</v>
      </c>
      <c r="F1964">
        <v>10</v>
      </c>
      <c r="G1964">
        <v>50</v>
      </c>
      <c r="O1964">
        <v>80</v>
      </c>
      <c r="S1964">
        <f t="shared" si="452"/>
        <v>5</v>
      </c>
      <c r="T1964">
        <f t="shared" si="453"/>
        <v>0</v>
      </c>
      <c r="U1964">
        <f t="shared" si="451"/>
        <v>1</v>
      </c>
      <c r="V1964">
        <f t="shared" si="454"/>
        <v>1</v>
      </c>
      <c r="W1964">
        <f t="shared" si="455"/>
        <v>0</v>
      </c>
      <c r="X1964">
        <f t="shared" si="464"/>
        <v>0</v>
      </c>
      <c r="Y1964">
        <f t="shared" si="465"/>
        <v>0</v>
      </c>
      <c r="Z1964">
        <f t="shared" si="456"/>
        <v>4</v>
      </c>
      <c r="AA1964">
        <f t="shared" si="457"/>
        <v>2.5</v>
      </c>
      <c r="AB1964">
        <f t="shared" si="458"/>
        <v>7.1428571428571432</v>
      </c>
      <c r="AC1964">
        <f t="shared" si="459"/>
        <v>0</v>
      </c>
      <c r="AD1964" s="1">
        <f t="shared" si="460"/>
        <v>0</v>
      </c>
      <c r="AE1964">
        <f t="shared" si="461"/>
        <v>0</v>
      </c>
      <c r="AF1964">
        <f t="shared" si="462"/>
        <v>0</v>
      </c>
      <c r="AG1964">
        <f t="shared" si="463"/>
        <v>0</v>
      </c>
    </row>
    <row r="1965" spans="1:33" x14ac:dyDescent="0.25">
      <c r="A1965" t="s">
        <v>3170</v>
      </c>
      <c r="B1965" t="s">
        <v>674</v>
      </c>
      <c r="C1965">
        <v>164204</v>
      </c>
      <c r="D1965">
        <v>164204</v>
      </c>
      <c r="S1965">
        <f t="shared" si="452"/>
        <v>0</v>
      </c>
      <c r="T1965">
        <f t="shared" si="453"/>
        <v>0</v>
      </c>
      <c r="U1965">
        <f t="shared" si="451"/>
        <v>0</v>
      </c>
      <c r="V1965">
        <f t="shared" si="454"/>
        <v>0</v>
      </c>
      <c r="W1965">
        <f t="shared" si="455"/>
        <v>0</v>
      </c>
      <c r="X1965">
        <f t="shared" si="464"/>
        <v>0</v>
      </c>
      <c r="Y1965">
        <f t="shared" si="465"/>
        <v>0</v>
      </c>
      <c r="Z1965">
        <f t="shared" si="456"/>
        <v>0</v>
      </c>
      <c r="AA1965">
        <f t="shared" si="457"/>
        <v>0</v>
      </c>
      <c r="AB1965">
        <f t="shared" si="458"/>
        <v>0</v>
      </c>
      <c r="AC1965">
        <f t="shared" si="459"/>
        <v>0</v>
      </c>
      <c r="AD1965" s="1">
        <f t="shared" si="460"/>
        <v>0</v>
      </c>
      <c r="AE1965">
        <f t="shared" si="461"/>
        <v>0</v>
      </c>
      <c r="AF1965">
        <f t="shared" si="462"/>
        <v>0</v>
      </c>
      <c r="AG1965">
        <f t="shared" si="463"/>
        <v>0</v>
      </c>
    </row>
    <row r="1966" spans="1:33" x14ac:dyDescent="0.25">
      <c r="A1966" t="s">
        <v>3171</v>
      </c>
      <c r="B1966" t="s">
        <v>3172</v>
      </c>
      <c r="C1966">
        <v>168245</v>
      </c>
      <c r="D1966">
        <v>168245</v>
      </c>
      <c r="E1966">
        <v>20</v>
      </c>
      <c r="F1966">
        <v>10</v>
      </c>
      <c r="G1966">
        <v>30</v>
      </c>
      <c r="O1966">
        <v>60</v>
      </c>
      <c r="S1966">
        <f t="shared" si="452"/>
        <v>3.75</v>
      </c>
      <c r="T1966">
        <f t="shared" si="453"/>
        <v>0</v>
      </c>
      <c r="U1966">
        <f t="shared" si="451"/>
        <v>1</v>
      </c>
      <c r="V1966">
        <f t="shared" si="454"/>
        <v>1</v>
      </c>
      <c r="W1966">
        <f t="shared" si="455"/>
        <v>0</v>
      </c>
      <c r="X1966">
        <f t="shared" si="464"/>
        <v>0</v>
      </c>
      <c r="Y1966">
        <f t="shared" si="465"/>
        <v>0</v>
      </c>
      <c r="Z1966">
        <f t="shared" si="456"/>
        <v>4</v>
      </c>
      <c r="AA1966">
        <f t="shared" si="457"/>
        <v>2.5</v>
      </c>
      <c r="AB1966">
        <f t="shared" si="458"/>
        <v>4.2857142857142856</v>
      </c>
      <c r="AC1966">
        <f t="shared" si="459"/>
        <v>0</v>
      </c>
      <c r="AD1966" s="1">
        <f t="shared" si="460"/>
        <v>0</v>
      </c>
      <c r="AE1966">
        <f t="shared" si="461"/>
        <v>0</v>
      </c>
      <c r="AF1966">
        <f t="shared" si="462"/>
        <v>0</v>
      </c>
      <c r="AG1966">
        <f t="shared" si="463"/>
        <v>0</v>
      </c>
    </row>
    <row r="1967" spans="1:33" x14ac:dyDescent="0.25">
      <c r="A1967" t="s">
        <v>3173</v>
      </c>
      <c r="B1967" t="s">
        <v>1592</v>
      </c>
      <c r="C1967">
        <v>168592</v>
      </c>
      <c r="D1967">
        <v>168592</v>
      </c>
      <c r="H1967">
        <v>20</v>
      </c>
      <c r="I1967">
        <v>50</v>
      </c>
      <c r="J1967">
        <v>10</v>
      </c>
      <c r="K1967">
        <v>10</v>
      </c>
      <c r="L1967">
        <v>10</v>
      </c>
      <c r="M1967">
        <v>100</v>
      </c>
      <c r="S1967">
        <f t="shared" si="452"/>
        <v>0</v>
      </c>
      <c r="T1967">
        <f t="shared" si="453"/>
        <v>8.3333333333333339</v>
      </c>
      <c r="U1967">
        <f t="shared" si="451"/>
        <v>1</v>
      </c>
      <c r="V1967">
        <f t="shared" si="454"/>
        <v>0</v>
      </c>
      <c r="W1967">
        <f t="shared" si="455"/>
        <v>1</v>
      </c>
      <c r="X1967">
        <f t="shared" si="464"/>
        <v>0</v>
      </c>
      <c r="Y1967">
        <f t="shared" si="465"/>
        <v>1</v>
      </c>
      <c r="Z1967">
        <f t="shared" si="456"/>
        <v>0</v>
      </c>
      <c r="AA1967">
        <f t="shared" si="457"/>
        <v>0</v>
      </c>
      <c r="AB1967">
        <f t="shared" si="458"/>
        <v>0</v>
      </c>
      <c r="AC1967">
        <f t="shared" si="459"/>
        <v>10</v>
      </c>
      <c r="AD1967" s="1">
        <f t="shared" si="460"/>
        <v>8.3333333333333339</v>
      </c>
      <c r="AE1967">
        <f t="shared" si="461"/>
        <v>5</v>
      </c>
      <c r="AF1967">
        <f t="shared" si="462"/>
        <v>10</v>
      </c>
      <c r="AG1967">
        <f t="shared" si="463"/>
        <v>10</v>
      </c>
    </row>
    <row r="1968" spans="1:33" x14ac:dyDescent="0.25">
      <c r="A1968" t="s">
        <v>3174</v>
      </c>
      <c r="B1968" t="s">
        <v>1860</v>
      </c>
      <c r="C1968">
        <v>155309</v>
      </c>
      <c r="D1968">
        <v>155309</v>
      </c>
      <c r="N1968" t="s">
        <v>549</v>
      </c>
      <c r="S1968">
        <f t="shared" si="452"/>
        <v>0</v>
      </c>
      <c r="T1968">
        <f t="shared" si="453"/>
        <v>0</v>
      </c>
      <c r="U1968">
        <f t="shared" si="451"/>
        <v>0</v>
      </c>
      <c r="V1968">
        <f t="shared" si="454"/>
        <v>0</v>
      </c>
      <c r="W1968">
        <f t="shared" si="455"/>
        <v>0</v>
      </c>
      <c r="X1968">
        <f t="shared" si="464"/>
        <v>0</v>
      </c>
      <c r="Y1968">
        <f t="shared" si="465"/>
        <v>0</v>
      </c>
      <c r="Z1968">
        <f t="shared" si="456"/>
        <v>0</v>
      </c>
      <c r="AA1968">
        <f t="shared" si="457"/>
        <v>0</v>
      </c>
      <c r="AB1968">
        <f t="shared" si="458"/>
        <v>0</v>
      </c>
      <c r="AC1968">
        <f t="shared" si="459"/>
        <v>0</v>
      </c>
      <c r="AD1968" s="1">
        <f t="shared" si="460"/>
        <v>0</v>
      </c>
      <c r="AE1968">
        <f t="shared" si="461"/>
        <v>0</v>
      </c>
      <c r="AF1968">
        <f t="shared" si="462"/>
        <v>0</v>
      </c>
      <c r="AG1968">
        <f t="shared" si="463"/>
        <v>0</v>
      </c>
    </row>
    <row r="1969" spans="1:33" x14ac:dyDescent="0.25">
      <c r="A1969" t="s">
        <v>3175</v>
      </c>
      <c r="B1969" t="s">
        <v>3176</v>
      </c>
      <c r="C1969">
        <v>167276</v>
      </c>
      <c r="D1969">
        <v>167276</v>
      </c>
      <c r="H1969">
        <v>10</v>
      </c>
      <c r="I1969">
        <v>30</v>
      </c>
      <c r="J1969">
        <v>20</v>
      </c>
      <c r="K1969">
        <v>10</v>
      </c>
      <c r="L1969">
        <v>0</v>
      </c>
      <c r="M1969">
        <v>70</v>
      </c>
      <c r="N1969" t="s">
        <v>20</v>
      </c>
      <c r="S1969">
        <f t="shared" si="452"/>
        <v>0</v>
      </c>
      <c r="T1969">
        <f t="shared" si="453"/>
        <v>5.833333333333333</v>
      </c>
      <c r="U1969">
        <f t="shared" si="451"/>
        <v>1</v>
      </c>
      <c r="V1969">
        <f t="shared" si="454"/>
        <v>0</v>
      </c>
      <c r="W1969">
        <f t="shared" si="455"/>
        <v>1</v>
      </c>
      <c r="X1969">
        <f t="shared" si="464"/>
        <v>0</v>
      </c>
      <c r="Y1969">
        <f t="shared" si="465"/>
        <v>0</v>
      </c>
      <c r="Z1969">
        <f t="shared" si="456"/>
        <v>0</v>
      </c>
      <c r="AA1969">
        <f t="shared" si="457"/>
        <v>0</v>
      </c>
      <c r="AB1969">
        <f t="shared" si="458"/>
        <v>0</v>
      </c>
      <c r="AC1969">
        <f t="shared" si="459"/>
        <v>5</v>
      </c>
      <c r="AD1969" s="1">
        <f t="shared" si="460"/>
        <v>5</v>
      </c>
      <c r="AE1969">
        <f t="shared" si="461"/>
        <v>10</v>
      </c>
      <c r="AF1969">
        <f t="shared" si="462"/>
        <v>10</v>
      </c>
      <c r="AG1969">
        <f t="shared" si="463"/>
        <v>0</v>
      </c>
    </row>
    <row r="1970" spans="1:33" x14ac:dyDescent="0.25">
      <c r="A1970" t="s">
        <v>3177</v>
      </c>
      <c r="B1970" t="s">
        <v>3178</v>
      </c>
      <c r="C1970">
        <v>166376</v>
      </c>
      <c r="D1970">
        <v>166376</v>
      </c>
      <c r="E1970">
        <v>20</v>
      </c>
      <c r="F1970">
        <v>20</v>
      </c>
      <c r="G1970">
        <v>20</v>
      </c>
      <c r="O1970">
        <v>60</v>
      </c>
      <c r="S1970">
        <f t="shared" si="452"/>
        <v>3.75</v>
      </c>
      <c r="T1970">
        <f t="shared" si="453"/>
        <v>0</v>
      </c>
      <c r="U1970">
        <f t="shared" si="451"/>
        <v>1</v>
      </c>
      <c r="V1970">
        <f t="shared" si="454"/>
        <v>1</v>
      </c>
      <c r="W1970">
        <f t="shared" si="455"/>
        <v>0</v>
      </c>
      <c r="X1970">
        <f t="shared" si="464"/>
        <v>0</v>
      </c>
      <c r="Y1970">
        <f t="shared" si="465"/>
        <v>0</v>
      </c>
      <c r="Z1970">
        <f t="shared" si="456"/>
        <v>4</v>
      </c>
      <c r="AA1970">
        <f t="shared" si="457"/>
        <v>5</v>
      </c>
      <c r="AB1970">
        <f t="shared" si="458"/>
        <v>2.8571428571428572</v>
      </c>
      <c r="AC1970">
        <f t="shared" si="459"/>
        <v>0</v>
      </c>
      <c r="AD1970" s="1">
        <f t="shared" si="460"/>
        <v>0</v>
      </c>
      <c r="AE1970">
        <f t="shared" si="461"/>
        <v>0</v>
      </c>
      <c r="AF1970">
        <f t="shared" si="462"/>
        <v>0</v>
      </c>
      <c r="AG1970">
        <f t="shared" si="463"/>
        <v>0</v>
      </c>
    </row>
    <row r="1971" spans="1:33" x14ac:dyDescent="0.25">
      <c r="A1971" t="s">
        <v>3179</v>
      </c>
      <c r="B1971" t="s">
        <v>121</v>
      </c>
      <c r="C1971">
        <v>168540</v>
      </c>
      <c r="D1971">
        <v>168540</v>
      </c>
      <c r="H1971">
        <v>0</v>
      </c>
      <c r="I1971">
        <v>20</v>
      </c>
      <c r="J1971">
        <v>10</v>
      </c>
      <c r="K1971">
        <v>10</v>
      </c>
      <c r="L1971">
        <v>0</v>
      </c>
      <c r="M1971">
        <v>40</v>
      </c>
      <c r="S1971">
        <f t="shared" si="452"/>
        <v>0</v>
      </c>
      <c r="T1971">
        <f t="shared" si="453"/>
        <v>3.3333333333333335</v>
      </c>
      <c r="U1971">
        <f t="shared" si="451"/>
        <v>1</v>
      </c>
      <c r="V1971">
        <f t="shared" si="454"/>
        <v>0</v>
      </c>
      <c r="W1971">
        <f t="shared" si="455"/>
        <v>1</v>
      </c>
      <c r="X1971">
        <f t="shared" si="464"/>
        <v>0</v>
      </c>
      <c r="Y1971">
        <f t="shared" si="465"/>
        <v>0</v>
      </c>
      <c r="Z1971">
        <f t="shared" si="456"/>
        <v>0</v>
      </c>
      <c r="AA1971">
        <f t="shared" si="457"/>
        <v>0</v>
      </c>
      <c r="AB1971">
        <f t="shared" si="458"/>
        <v>0</v>
      </c>
      <c r="AC1971">
        <f t="shared" si="459"/>
        <v>0</v>
      </c>
      <c r="AD1971" s="1">
        <f t="shared" si="460"/>
        <v>3.3333333333333335</v>
      </c>
      <c r="AE1971">
        <f t="shared" si="461"/>
        <v>5</v>
      </c>
      <c r="AF1971">
        <f t="shared" si="462"/>
        <v>10</v>
      </c>
      <c r="AG1971">
        <f t="shared" si="463"/>
        <v>0</v>
      </c>
    </row>
    <row r="1972" spans="1:33" x14ac:dyDescent="0.25">
      <c r="A1972" t="s">
        <v>3180</v>
      </c>
      <c r="B1972" t="s">
        <v>168</v>
      </c>
      <c r="C1972">
        <v>164586</v>
      </c>
      <c r="D1972">
        <v>164586</v>
      </c>
      <c r="R1972" t="s">
        <v>20</v>
      </c>
      <c r="S1972">
        <f t="shared" si="452"/>
        <v>0</v>
      </c>
      <c r="T1972">
        <f t="shared" si="453"/>
        <v>0</v>
      </c>
      <c r="U1972">
        <f t="shared" si="451"/>
        <v>0</v>
      </c>
      <c r="V1972">
        <f t="shared" si="454"/>
        <v>0</v>
      </c>
      <c r="W1972">
        <f t="shared" si="455"/>
        <v>0</v>
      </c>
      <c r="X1972">
        <f t="shared" si="464"/>
        <v>0</v>
      </c>
      <c r="Y1972">
        <f t="shared" si="465"/>
        <v>0</v>
      </c>
      <c r="Z1972">
        <f t="shared" si="456"/>
        <v>0</v>
      </c>
      <c r="AA1972">
        <f t="shared" si="457"/>
        <v>0</v>
      </c>
      <c r="AB1972">
        <f t="shared" si="458"/>
        <v>0</v>
      </c>
      <c r="AC1972">
        <f t="shared" si="459"/>
        <v>0</v>
      </c>
      <c r="AD1972" s="1">
        <f t="shared" si="460"/>
        <v>0</v>
      </c>
      <c r="AE1972">
        <f t="shared" si="461"/>
        <v>0</v>
      </c>
      <c r="AF1972">
        <f t="shared" si="462"/>
        <v>0</v>
      </c>
      <c r="AG1972">
        <f t="shared" si="463"/>
        <v>0</v>
      </c>
    </row>
    <row r="1973" spans="1:33" x14ac:dyDescent="0.25">
      <c r="A1973" t="s">
        <v>3181</v>
      </c>
      <c r="B1973" t="s">
        <v>1308</v>
      </c>
      <c r="C1973">
        <v>167456</v>
      </c>
      <c r="D1973">
        <v>167456</v>
      </c>
      <c r="E1973">
        <v>20</v>
      </c>
      <c r="F1973">
        <v>20</v>
      </c>
      <c r="G1973">
        <v>30</v>
      </c>
      <c r="O1973">
        <v>70</v>
      </c>
      <c r="S1973">
        <f t="shared" si="452"/>
        <v>4.375</v>
      </c>
      <c r="T1973">
        <f t="shared" si="453"/>
        <v>0</v>
      </c>
      <c r="U1973">
        <f t="shared" si="451"/>
        <v>1</v>
      </c>
      <c r="V1973">
        <f t="shared" si="454"/>
        <v>1</v>
      </c>
      <c r="W1973">
        <f t="shared" si="455"/>
        <v>0</v>
      </c>
      <c r="X1973">
        <f t="shared" si="464"/>
        <v>0</v>
      </c>
      <c r="Y1973">
        <f t="shared" si="465"/>
        <v>0</v>
      </c>
      <c r="Z1973">
        <f t="shared" si="456"/>
        <v>4</v>
      </c>
      <c r="AA1973">
        <f t="shared" si="457"/>
        <v>5</v>
      </c>
      <c r="AB1973">
        <f t="shared" si="458"/>
        <v>4.2857142857142856</v>
      </c>
      <c r="AC1973">
        <f t="shared" si="459"/>
        <v>0</v>
      </c>
      <c r="AD1973" s="1">
        <f t="shared" si="460"/>
        <v>0</v>
      </c>
      <c r="AE1973">
        <f t="shared" si="461"/>
        <v>0</v>
      </c>
      <c r="AF1973">
        <f t="shared" si="462"/>
        <v>0</v>
      </c>
      <c r="AG1973">
        <f t="shared" si="463"/>
        <v>0</v>
      </c>
    </row>
    <row r="1974" spans="1:33" x14ac:dyDescent="0.25">
      <c r="A1974" t="s">
        <v>3182</v>
      </c>
      <c r="B1974" t="s">
        <v>3183</v>
      </c>
      <c r="C1974">
        <v>166248</v>
      </c>
      <c r="D1974">
        <v>166248</v>
      </c>
      <c r="E1974">
        <v>50</v>
      </c>
      <c r="F1974">
        <v>40</v>
      </c>
      <c r="G1974">
        <v>20</v>
      </c>
      <c r="O1974">
        <v>110</v>
      </c>
      <c r="S1974">
        <f t="shared" si="452"/>
        <v>6.875</v>
      </c>
      <c r="T1974">
        <f t="shared" si="453"/>
        <v>0</v>
      </c>
      <c r="U1974">
        <f t="shared" si="451"/>
        <v>1</v>
      </c>
      <c r="V1974">
        <f t="shared" si="454"/>
        <v>1</v>
      </c>
      <c r="W1974">
        <f t="shared" si="455"/>
        <v>0</v>
      </c>
      <c r="X1974">
        <f t="shared" si="464"/>
        <v>1</v>
      </c>
      <c r="Y1974">
        <f t="shared" si="465"/>
        <v>0</v>
      </c>
      <c r="Z1974">
        <f t="shared" si="456"/>
        <v>10</v>
      </c>
      <c r="AA1974">
        <f t="shared" si="457"/>
        <v>10</v>
      </c>
      <c r="AB1974">
        <f t="shared" si="458"/>
        <v>2.8571428571428572</v>
      </c>
      <c r="AC1974">
        <f t="shared" si="459"/>
        <v>0</v>
      </c>
      <c r="AD1974" s="1">
        <f t="shared" si="460"/>
        <v>0</v>
      </c>
      <c r="AE1974">
        <f t="shared" si="461"/>
        <v>0</v>
      </c>
      <c r="AF1974">
        <f t="shared" si="462"/>
        <v>0</v>
      </c>
      <c r="AG1974">
        <f t="shared" si="463"/>
        <v>0</v>
      </c>
    </row>
    <row r="1975" spans="1:33" x14ac:dyDescent="0.25">
      <c r="A1975" t="s">
        <v>3184</v>
      </c>
      <c r="B1975" t="s">
        <v>211</v>
      </c>
      <c r="C1975">
        <v>168116</v>
      </c>
      <c r="D1975">
        <v>168116</v>
      </c>
      <c r="E1975">
        <v>30</v>
      </c>
      <c r="F1975">
        <v>10</v>
      </c>
      <c r="G1975">
        <v>30</v>
      </c>
      <c r="O1975">
        <v>70</v>
      </c>
      <c r="S1975">
        <f t="shared" si="452"/>
        <v>4.375</v>
      </c>
      <c r="T1975">
        <f t="shared" si="453"/>
        <v>0</v>
      </c>
      <c r="U1975">
        <f t="shared" si="451"/>
        <v>1</v>
      </c>
      <c r="V1975">
        <f t="shared" si="454"/>
        <v>1</v>
      </c>
      <c r="W1975">
        <f t="shared" si="455"/>
        <v>0</v>
      </c>
      <c r="X1975">
        <f t="shared" si="464"/>
        <v>0</v>
      </c>
      <c r="Y1975">
        <f t="shared" si="465"/>
        <v>0</v>
      </c>
      <c r="Z1975">
        <f t="shared" si="456"/>
        <v>6</v>
      </c>
      <c r="AA1975">
        <f t="shared" si="457"/>
        <v>2.5</v>
      </c>
      <c r="AB1975">
        <f t="shared" si="458"/>
        <v>4.2857142857142856</v>
      </c>
      <c r="AC1975">
        <f t="shared" si="459"/>
        <v>0</v>
      </c>
      <c r="AD1975" s="1">
        <f t="shared" si="460"/>
        <v>0</v>
      </c>
      <c r="AE1975">
        <f t="shared" si="461"/>
        <v>0</v>
      </c>
      <c r="AF1975">
        <f t="shared" si="462"/>
        <v>0</v>
      </c>
      <c r="AG1975">
        <f t="shared" si="463"/>
        <v>0</v>
      </c>
    </row>
    <row r="1976" spans="1:33" x14ac:dyDescent="0.25">
      <c r="A1976" t="s">
        <v>3185</v>
      </c>
      <c r="B1976" t="s">
        <v>2768</v>
      </c>
      <c r="C1976">
        <v>167042</v>
      </c>
      <c r="D1976">
        <v>167042</v>
      </c>
      <c r="H1976">
        <v>10</v>
      </c>
      <c r="I1976">
        <v>50</v>
      </c>
      <c r="J1976">
        <v>10</v>
      </c>
      <c r="K1976">
        <v>0</v>
      </c>
      <c r="L1976">
        <v>10</v>
      </c>
      <c r="M1976">
        <v>80</v>
      </c>
      <c r="S1976">
        <f t="shared" si="452"/>
        <v>0</v>
      </c>
      <c r="T1976">
        <f t="shared" si="453"/>
        <v>6.666666666666667</v>
      </c>
      <c r="U1976">
        <f t="shared" si="451"/>
        <v>1</v>
      </c>
      <c r="V1976">
        <f t="shared" si="454"/>
        <v>0</v>
      </c>
      <c r="W1976">
        <f t="shared" si="455"/>
        <v>1</v>
      </c>
      <c r="X1976">
        <f t="shared" si="464"/>
        <v>0</v>
      </c>
      <c r="Y1976">
        <f t="shared" si="465"/>
        <v>1</v>
      </c>
      <c r="Z1976">
        <f t="shared" si="456"/>
        <v>0</v>
      </c>
      <c r="AA1976">
        <f t="shared" si="457"/>
        <v>0</v>
      </c>
      <c r="AB1976">
        <f t="shared" si="458"/>
        <v>0</v>
      </c>
      <c r="AC1976">
        <f t="shared" si="459"/>
        <v>5</v>
      </c>
      <c r="AD1976" s="1">
        <f t="shared" si="460"/>
        <v>8.3333333333333339</v>
      </c>
      <c r="AE1976">
        <f t="shared" si="461"/>
        <v>5</v>
      </c>
      <c r="AF1976">
        <f t="shared" si="462"/>
        <v>0</v>
      </c>
      <c r="AG1976">
        <f t="shared" si="463"/>
        <v>10</v>
      </c>
    </row>
    <row r="1977" spans="1:33" x14ac:dyDescent="0.25">
      <c r="A1977" t="s">
        <v>3186</v>
      </c>
      <c r="B1977" t="s">
        <v>3187</v>
      </c>
      <c r="C1977">
        <v>167629</v>
      </c>
      <c r="D1977">
        <v>167629</v>
      </c>
      <c r="S1977">
        <f t="shared" si="452"/>
        <v>0</v>
      </c>
      <c r="T1977">
        <f t="shared" si="453"/>
        <v>0</v>
      </c>
      <c r="U1977">
        <f t="shared" si="451"/>
        <v>0</v>
      </c>
      <c r="V1977">
        <f t="shared" si="454"/>
        <v>0</v>
      </c>
      <c r="W1977">
        <f t="shared" si="455"/>
        <v>0</v>
      </c>
      <c r="X1977">
        <f t="shared" si="464"/>
        <v>0</v>
      </c>
      <c r="Y1977">
        <f t="shared" si="465"/>
        <v>0</v>
      </c>
      <c r="Z1977">
        <f t="shared" si="456"/>
        <v>0</v>
      </c>
      <c r="AA1977">
        <f t="shared" si="457"/>
        <v>0</v>
      </c>
      <c r="AB1977">
        <f t="shared" si="458"/>
        <v>0</v>
      </c>
      <c r="AC1977">
        <f t="shared" si="459"/>
        <v>0</v>
      </c>
      <c r="AD1977" s="1">
        <f t="shared" si="460"/>
        <v>0</v>
      </c>
      <c r="AE1977">
        <f t="shared" si="461"/>
        <v>0</v>
      </c>
      <c r="AF1977">
        <f t="shared" si="462"/>
        <v>0</v>
      </c>
      <c r="AG1977">
        <f t="shared" si="463"/>
        <v>0</v>
      </c>
    </row>
    <row r="1978" spans="1:33" x14ac:dyDescent="0.25">
      <c r="A1978" t="s">
        <v>3188</v>
      </c>
      <c r="B1978" t="s">
        <v>3189</v>
      </c>
      <c r="C1978">
        <v>168828</v>
      </c>
      <c r="D1978">
        <v>168828</v>
      </c>
      <c r="H1978">
        <v>10</v>
      </c>
      <c r="I1978">
        <v>50</v>
      </c>
      <c r="J1978">
        <v>10</v>
      </c>
      <c r="K1978">
        <v>10</v>
      </c>
      <c r="L1978">
        <v>10</v>
      </c>
      <c r="M1978">
        <v>90</v>
      </c>
      <c r="S1978">
        <f t="shared" si="452"/>
        <v>0</v>
      </c>
      <c r="T1978">
        <f t="shared" si="453"/>
        <v>7.5</v>
      </c>
      <c r="U1978">
        <f t="shared" si="451"/>
        <v>1</v>
      </c>
      <c r="V1978">
        <f t="shared" si="454"/>
        <v>0</v>
      </c>
      <c r="W1978">
        <f t="shared" si="455"/>
        <v>1</v>
      </c>
      <c r="X1978">
        <f t="shared" si="464"/>
        <v>0</v>
      </c>
      <c r="Y1978">
        <f t="shared" si="465"/>
        <v>1</v>
      </c>
      <c r="Z1978">
        <f t="shared" si="456"/>
        <v>0</v>
      </c>
      <c r="AA1978">
        <f t="shared" si="457"/>
        <v>0</v>
      </c>
      <c r="AB1978">
        <f t="shared" si="458"/>
        <v>0</v>
      </c>
      <c r="AC1978">
        <f t="shared" si="459"/>
        <v>5</v>
      </c>
      <c r="AD1978" s="1">
        <f t="shared" si="460"/>
        <v>8.3333333333333339</v>
      </c>
      <c r="AE1978">
        <f t="shared" si="461"/>
        <v>5</v>
      </c>
      <c r="AF1978">
        <f t="shared" si="462"/>
        <v>10</v>
      </c>
      <c r="AG1978">
        <f t="shared" si="463"/>
        <v>10</v>
      </c>
    </row>
    <row r="1979" spans="1:33" x14ac:dyDescent="0.25">
      <c r="A1979" t="s">
        <v>3190</v>
      </c>
      <c r="B1979" t="s">
        <v>3172</v>
      </c>
      <c r="C1979">
        <v>167752</v>
      </c>
      <c r="D1979">
        <v>167752</v>
      </c>
      <c r="S1979">
        <f t="shared" si="452"/>
        <v>0</v>
      </c>
      <c r="T1979">
        <f t="shared" si="453"/>
        <v>0</v>
      </c>
      <c r="U1979">
        <f t="shared" si="451"/>
        <v>0</v>
      </c>
      <c r="V1979">
        <f t="shared" si="454"/>
        <v>0</v>
      </c>
      <c r="W1979">
        <f t="shared" si="455"/>
        <v>0</v>
      </c>
      <c r="X1979">
        <f t="shared" si="464"/>
        <v>0</v>
      </c>
      <c r="Y1979">
        <f t="shared" si="465"/>
        <v>0</v>
      </c>
      <c r="Z1979">
        <f t="shared" si="456"/>
        <v>0</v>
      </c>
      <c r="AA1979">
        <f t="shared" si="457"/>
        <v>0</v>
      </c>
      <c r="AB1979">
        <f t="shared" si="458"/>
        <v>0</v>
      </c>
      <c r="AC1979">
        <f t="shared" si="459"/>
        <v>0</v>
      </c>
      <c r="AD1979" s="1">
        <f t="shared" si="460"/>
        <v>0</v>
      </c>
      <c r="AE1979">
        <f t="shared" si="461"/>
        <v>0</v>
      </c>
      <c r="AF1979">
        <f t="shared" si="462"/>
        <v>0</v>
      </c>
      <c r="AG1979">
        <f t="shared" si="463"/>
        <v>0</v>
      </c>
    </row>
    <row r="1980" spans="1:33" x14ac:dyDescent="0.25">
      <c r="A1980" t="s">
        <v>3191</v>
      </c>
      <c r="B1980" t="s">
        <v>3192</v>
      </c>
      <c r="C1980">
        <v>166055</v>
      </c>
      <c r="D1980">
        <v>166055</v>
      </c>
      <c r="H1980">
        <v>10</v>
      </c>
      <c r="I1980">
        <v>30</v>
      </c>
      <c r="J1980">
        <v>10</v>
      </c>
      <c r="K1980">
        <v>0</v>
      </c>
      <c r="L1980">
        <v>0</v>
      </c>
      <c r="M1980">
        <v>50</v>
      </c>
      <c r="S1980">
        <f t="shared" si="452"/>
        <v>0</v>
      </c>
      <c r="T1980">
        <f t="shared" si="453"/>
        <v>4.166666666666667</v>
      </c>
      <c r="U1980">
        <f t="shared" si="451"/>
        <v>1</v>
      </c>
      <c r="V1980">
        <f t="shared" si="454"/>
        <v>0</v>
      </c>
      <c r="W1980">
        <f t="shared" si="455"/>
        <v>1</v>
      </c>
      <c r="X1980">
        <f t="shared" si="464"/>
        <v>0</v>
      </c>
      <c r="Y1980">
        <f t="shared" si="465"/>
        <v>0</v>
      </c>
      <c r="Z1980">
        <f t="shared" si="456"/>
        <v>0</v>
      </c>
      <c r="AA1980">
        <f t="shared" si="457"/>
        <v>0</v>
      </c>
      <c r="AB1980">
        <f t="shared" si="458"/>
        <v>0</v>
      </c>
      <c r="AC1980">
        <f t="shared" si="459"/>
        <v>5</v>
      </c>
      <c r="AD1980" s="1">
        <f t="shared" si="460"/>
        <v>5</v>
      </c>
      <c r="AE1980">
        <f t="shared" si="461"/>
        <v>5</v>
      </c>
      <c r="AF1980">
        <f t="shared" si="462"/>
        <v>0</v>
      </c>
      <c r="AG1980">
        <f t="shared" si="463"/>
        <v>0</v>
      </c>
    </row>
    <row r="1981" spans="1:33" x14ac:dyDescent="0.25">
      <c r="A1981" t="s">
        <v>3193</v>
      </c>
      <c r="B1981" t="s">
        <v>3194</v>
      </c>
      <c r="C1981">
        <v>167147</v>
      </c>
      <c r="D1981">
        <v>167147</v>
      </c>
      <c r="R1981">
        <v>10</v>
      </c>
      <c r="S1981">
        <f t="shared" si="452"/>
        <v>0</v>
      </c>
      <c r="T1981">
        <f t="shared" si="453"/>
        <v>0</v>
      </c>
      <c r="U1981">
        <f t="shared" si="451"/>
        <v>0</v>
      </c>
      <c r="V1981">
        <f t="shared" si="454"/>
        <v>0</v>
      </c>
      <c r="W1981">
        <f t="shared" si="455"/>
        <v>0</v>
      </c>
      <c r="X1981">
        <f t="shared" si="464"/>
        <v>0</v>
      </c>
      <c r="Y1981">
        <f t="shared" si="465"/>
        <v>0</v>
      </c>
      <c r="Z1981">
        <f t="shared" si="456"/>
        <v>0</v>
      </c>
      <c r="AA1981">
        <f t="shared" si="457"/>
        <v>0</v>
      </c>
      <c r="AB1981">
        <f t="shared" si="458"/>
        <v>0</v>
      </c>
      <c r="AC1981">
        <f t="shared" si="459"/>
        <v>0</v>
      </c>
      <c r="AD1981" s="1">
        <f t="shared" si="460"/>
        <v>0</v>
      </c>
      <c r="AE1981">
        <f t="shared" si="461"/>
        <v>0</v>
      </c>
      <c r="AF1981">
        <f t="shared" si="462"/>
        <v>0</v>
      </c>
      <c r="AG1981">
        <f t="shared" si="463"/>
        <v>0</v>
      </c>
    </row>
    <row r="1982" spans="1:33" x14ac:dyDescent="0.25">
      <c r="A1982" t="s">
        <v>3195</v>
      </c>
      <c r="B1982" t="s">
        <v>1743</v>
      </c>
      <c r="C1982">
        <v>167320</v>
      </c>
      <c r="D1982">
        <v>167320</v>
      </c>
      <c r="S1982">
        <f t="shared" si="452"/>
        <v>0</v>
      </c>
      <c r="T1982">
        <f t="shared" si="453"/>
        <v>0</v>
      </c>
      <c r="U1982">
        <f t="shared" si="451"/>
        <v>0</v>
      </c>
      <c r="V1982">
        <f t="shared" si="454"/>
        <v>0</v>
      </c>
      <c r="W1982">
        <f t="shared" si="455"/>
        <v>0</v>
      </c>
      <c r="X1982">
        <f t="shared" si="464"/>
        <v>0</v>
      </c>
      <c r="Y1982">
        <f t="shared" si="465"/>
        <v>0</v>
      </c>
      <c r="Z1982">
        <f t="shared" si="456"/>
        <v>0</v>
      </c>
      <c r="AA1982">
        <f t="shared" si="457"/>
        <v>0</v>
      </c>
      <c r="AB1982">
        <f t="shared" si="458"/>
        <v>0</v>
      </c>
      <c r="AC1982">
        <f t="shared" si="459"/>
        <v>0</v>
      </c>
      <c r="AD1982" s="1">
        <f t="shared" si="460"/>
        <v>0</v>
      </c>
      <c r="AE1982">
        <f t="shared" si="461"/>
        <v>0</v>
      </c>
      <c r="AF1982">
        <f t="shared" si="462"/>
        <v>0</v>
      </c>
      <c r="AG1982">
        <f t="shared" si="463"/>
        <v>0</v>
      </c>
    </row>
    <row r="1983" spans="1:33" x14ac:dyDescent="0.25">
      <c r="A1983" t="s">
        <v>3196</v>
      </c>
      <c r="B1983" t="s">
        <v>1242</v>
      </c>
      <c r="C1983">
        <v>168013</v>
      </c>
      <c r="D1983">
        <v>168013</v>
      </c>
      <c r="S1983">
        <f t="shared" si="452"/>
        <v>0</v>
      </c>
      <c r="T1983">
        <f t="shared" si="453"/>
        <v>0</v>
      </c>
      <c r="U1983">
        <f t="shared" si="451"/>
        <v>0</v>
      </c>
      <c r="V1983">
        <f t="shared" si="454"/>
        <v>0</v>
      </c>
      <c r="W1983">
        <f t="shared" si="455"/>
        <v>0</v>
      </c>
      <c r="X1983">
        <f t="shared" si="464"/>
        <v>0</v>
      </c>
      <c r="Y1983">
        <f t="shared" si="465"/>
        <v>0</v>
      </c>
      <c r="Z1983">
        <f t="shared" si="456"/>
        <v>0</v>
      </c>
      <c r="AA1983">
        <f t="shared" si="457"/>
        <v>0</v>
      </c>
      <c r="AB1983">
        <f t="shared" si="458"/>
        <v>0</v>
      </c>
      <c r="AC1983">
        <f t="shared" si="459"/>
        <v>0</v>
      </c>
      <c r="AD1983" s="1">
        <f t="shared" si="460"/>
        <v>0</v>
      </c>
      <c r="AE1983">
        <f t="shared" si="461"/>
        <v>0</v>
      </c>
      <c r="AF1983">
        <f t="shared" si="462"/>
        <v>0</v>
      </c>
      <c r="AG1983">
        <f t="shared" si="463"/>
        <v>0</v>
      </c>
    </row>
    <row r="1984" spans="1:33" x14ac:dyDescent="0.25">
      <c r="A1984" t="s">
        <v>3197</v>
      </c>
      <c r="B1984" t="s">
        <v>3198</v>
      </c>
      <c r="C1984">
        <v>165842</v>
      </c>
      <c r="D1984">
        <v>165842</v>
      </c>
      <c r="S1984">
        <f t="shared" si="452"/>
        <v>0</v>
      </c>
      <c r="T1984">
        <f t="shared" si="453"/>
        <v>0</v>
      </c>
      <c r="U1984">
        <f t="shared" si="451"/>
        <v>0</v>
      </c>
      <c r="V1984">
        <f t="shared" si="454"/>
        <v>0</v>
      </c>
      <c r="W1984">
        <f t="shared" si="455"/>
        <v>0</v>
      </c>
      <c r="X1984">
        <f t="shared" si="464"/>
        <v>0</v>
      </c>
      <c r="Y1984">
        <f t="shared" si="465"/>
        <v>0</v>
      </c>
      <c r="Z1984">
        <f t="shared" si="456"/>
        <v>0</v>
      </c>
      <c r="AA1984">
        <f t="shared" si="457"/>
        <v>0</v>
      </c>
      <c r="AB1984">
        <f t="shared" si="458"/>
        <v>0</v>
      </c>
      <c r="AC1984">
        <f t="shared" si="459"/>
        <v>0</v>
      </c>
      <c r="AD1984" s="1">
        <f t="shared" si="460"/>
        <v>0</v>
      </c>
      <c r="AE1984">
        <f t="shared" si="461"/>
        <v>0</v>
      </c>
      <c r="AF1984">
        <f t="shared" si="462"/>
        <v>0</v>
      </c>
      <c r="AG1984">
        <f t="shared" si="463"/>
        <v>0</v>
      </c>
    </row>
    <row r="1985" spans="1:33" x14ac:dyDescent="0.25">
      <c r="A1985" t="s">
        <v>3199</v>
      </c>
      <c r="B1985" t="s">
        <v>3200</v>
      </c>
      <c r="C1985">
        <v>168889</v>
      </c>
      <c r="D1985">
        <v>168889</v>
      </c>
      <c r="E1985">
        <v>40</v>
      </c>
      <c r="F1985">
        <v>30</v>
      </c>
      <c r="G1985">
        <v>20</v>
      </c>
      <c r="O1985">
        <v>90</v>
      </c>
      <c r="S1985">
        <f t="shared" si="452"/>
        <v>5.625</v>
      </c>
      <c r="T1985">
        <f t="shared" si="453"/>
        <v>0</v>
      </c>
      <c r="U1985">
        <f t="shared" si="451"/>
        <v>1</v>
      </c>
      <c r="V1985">
        <f t="shared" si="454"/>
        <v>1</v>
      </c>
      <c r="W1985">
        <f t="shared" si="455"/>
        <v>0</v>
      </c>
      <c r="X1985">
        <f t="shared" si="464"/>
        <v>0</v>
      </c>
      <c r="Y1985">
        <f t="shared" si="465"/>
        <v>0</v>
      </c>
      <c r="Z1985">
        <f t="shared" si="456"/>
        <v>8</v>
      </c>
      <c r="AA1985">
        <f t="shared" si="457"/>
        <v>7.5</v>
      </c>
      <c r="AB1985">
        <f t="shared" si="458"/>
        <v>2.8571428571428572</v>
      </c>
      <c r="AC1985">
        <f t="shared" si="459"/>
        <v>0</v>
      </c>
      <c r="AD1985" s="1">
        <f t="shared" si="460"/>
        <v>0</v>
      </c>
      <c r="AE1985">
        <f t="shared" si="461"/>
        <v>0</v>
      </c>
      <c r="AF1985">
        <f t="shared" si="462"/>
        <v>0</v>
      </c>
      <c r="AG1985">
        <f t="shared" si="463"/>
        <v>0</v>
      </c>
    </row>
    <row r="1986" spans="1:33" x14ac:dyDescent="0.25">
      <c r="A1986" t="s">
        <v>3201</v>
      </c>
      <c r="B1986" t="s">
        <v>228</v>
      </c>
      <c r="C1986">
        <v>164367</v>
      </c>
      <c r="D1986">
        <v>164367</v>
      </c>
      <c r="S1986">
        <f t="shared" si="452"/>
        <v>0</v>
      </c>
      <c r="T1986">
        <f t="shared" si="453"/>
        <v>0</v>
      </c>
      <c r="U1986">
        <f t="shared" ref="U1986:U2049" si="466">IF(AND(E1986="",F1986="",G1986="",H1986="",I1986="",J1986="",K1986="",L1986="",M1986=""),0,1)</f>
        <v>0</v>
      </c>
      <c r="V1986">
        <f t="shared" si="454"/>
        <v>0</v>
      </c>
      <c r="W1986">
        <f t="shared" si="455"/>
        <v>0</v>
      </c>
      <c r="X1986">
        <f t="shared" si="464"/>
        <v>0</v>
      </c>
      <c r="Y1986">
        <f t="shared" si="465"/>
        <v>0</v>
      </c>
      <c r="Z1986">
        <f t="shared" si="456"/>
        <v>0</v>
      </c>
      <c r="AA1986">
        <f t="shared" si="457"/>
        <v>0</v>
      </c>
      <c r="AB1986">
        <f t="shared" si="458"/>
        <v>0</v>
      </c>
      <c r="AC1986">
        <f t="shared" si="459"/>
        <v>0</v>
      </c>
      <c r="AD1986" s="1">
        <f t="shared" si="460"/>
        <v>0</v>
      </c>
      <c r="AE1986">
        <f t="shared" si="461"/>
        <v>0</v>
      </c>
      <c r="AF1986">
        <f t="shared" si="462"/>
        <v>0</v>
      </c>
      <c r="AG1986">
        <f t="shared" si="463"/>
        <v>0</v>
      </c>
    </row>
    <row r="1987" spans="1:33" x14ac:dyDescent="0.25">
      <c r="A1987" t="s">
        <v>3202</v>
      </c>
      <c r="B1987" t="s">
        <v>3203</v>
      </c>
      <c r="C1987">
        <v>166425</v>
      </c>
      <c r="D1987">
        <v>166425</v>
      </c>
      <c r="E1987">
        <v>0</v>
      </c>
      <c r="F1987">
        <v>20</v>
      </c>
      <c r="G1987">
        <v>20</v>
      </c>
      <c r="O1987">
        <v>40</v>
      </c>
      <c r="S1987">
        <f t="shared" ref="S1987:S2050" si="467">O1987/16</f>
        <v>2.5</v>
      </c>
      <c r="T1987">
        <f t="shared" ref="T1987:T2050" si="468">M1987/12</f>
        <v>0</v>
      </c>
      <c r="U1987">
        <f t="shared" si="466"/>
        <v>1</v>
      </c>
      <c r="V1987">
        <f t="shared" ref="V1987:V2050" si="469">IF(O1987="",0,1)</f>
        <v>1</v>
      </c>
      <c r="W1987">
        <f t="shared" ref="W1987:W2050" si="470">IF(M1987="",0,1)</f>
        <v>0</v>
      </c>
      <c r="X1987">
        <f t="shared" si="464"/>
        <v>0</v>
      </c>
      <c r="Y1987">
        <f t="shared" si="465"/>
        <v>0</v>
      </c>
      <c r="Z1987">
        <f t="shared" ref="Z1987:Z2050" si="471">E1987/5</f>
        <v>0</v>
      </c>
      <c r="AA1987">
        <f t="shared" ref="AA1987:AA2050" si="472">F1987/4</f>
        <v>5</v>
      </c>
      <c r="AB1987">
        <f t="shared" ref="AB1987:AB2050" si="473">G1987/7</f>
        <v>2.8571428571428572</v>
      </c>
      <c r="AC1987">
        <f t="shared" ref="AC1987:AC2050" si="474">H1987/2</f>
        <v>0</v>
      </c>
      <c r="AD1987" s="1">
        <f t="shared" ref="AD1987:AD2050" si="475">I1987/6</f>
        <v>0</v>
      </c>
      <c r="AE1987">
        <f t="shared" ref="AE1987:AE2050" si="476">J1987/2</f>
        <v>0</v>
      </c>
      <c r="AF1987">
        <f t="shared" ref="AF1987:AF2050" si="477">K1987</f>
        <v>0</v>
      </c>
      <c r="AG1987">
        <f t="shared" ref="AG1987:AG2050" si="478">L1987</f>
        <v>0</v>
      </c>
    </row>
    <row r="1988" spans="1:33" x14ac:dyDescent="0.25">
      <c r="A1988" t="s">
        <v>3204</v>
      </c>
      <c r="B1988" t="s">
        <v>43</v>
      </c>
      <c r="C1988">
        <v>167073</v>
      </c>
      <c r="D1988">
        <v>167073</v>
      </c>
      <c r="H1988">
        <v>10</v>
      </c>
      <c r="I1988">
        <v>40</v>
      </c>
      <c r="J1988">
        <v>10</v>
      </c>
      <c r="K1988">
        <v>10</v>
      </c>
      <c r="L1988">
        <v>10</v>
      </c>
      <c r="M1988">
        <v>80</v>
      </c>
      <c r="S1988">
        <f t="shared" si="467"/>
        <v>0</v>
      </c>
      <c r="T1988">
        <f t="shared" si="468"/>
        <v>6.666666666666667</v>
      </c>
      <c r="U1988">
        <f t="shared" si="466"/>
        <v>1</v>
      </c>
      <c r="V1988">
        <f t="shared" si="469"/>
        <v>0</v>
      </c>
      <c r="W1988">
        <f t="shared" si="470"/>
        <v>1</v>
      </c>
      <c r="X1988">
        <f t="shared" si="464"/>
        <v>0</v>
      </c>
      <c r="Y1988">
        <f t="shared" si="465"/>
        <v>1</v>
      </c>
      <c r="Z1988">
        <f t="shared" si="471"/>
        <v>0</v>
      </c>
      <c r="AA1988">
        <f t="shared" si="472"/>
        <v>0</v>
      </c>
      <c r="AB1988">
        <f t="shared" si="473"/>
        <v>0</v>
      </c>
      <c r="AC1988">
        <f t="shared" si="474"/>
        <v>5</v>
      </c>
      <c r="AD1988" s="1">
        <f t="shared" si="475"/>
        <v>6.666666666666667</v>
      </c>
      <c r="AE1988">
        <f t="shared" si="476"/>
        <v>5</v>
      </c>
      <c r="AF1988">
        <f t="shared" si="477"/>
        <v>10</v>
      </c>
      <c r="AG1988">
        <f t="shared" si="478"/>
        <v>10</v>
      </c>
    </row>
    <row r="1989" spans="1:33" x14ac:dyDescent="0.25">
      <c r="A1989" t="s">
        <v>3205</v>
      </c>
      <c r="B1989" t="s">
        <v>636</v>
      </c>
      <c r="C1989">
        <v>168767</v>
      </c>
      <c r="D1989">
        <v>168767</v>
      </c>
      <c r="S1989">
        <f t="shared" si="467"/>
        <v>0</v>
      </c>
      <c r="T1989">
        <f t="shared" si="468"/>
        <v>0</v>
      </c>
      <c r="U1989">
        <f t="shared" si="466"/>
        <v>0</v>
      </c>
      <c r="V1989">
        <f t="shared" si="469"/>
        <v>0</v>
      </c>
      <c r="W1989">
        <f t="shared" si="470"/>
        <v>0</v>
      </c>
      <c r="X1989">
        <f t="shared" ref="X1989:X2052" si="479">IF(AND(V1989=1,S1989&gt;6),1,0)</f>
        <v>0</v>
      </c>
      <c r="Y1989">
        <f t="shared" ref="Y1989:Y2052" si="480">IF(AND(W1989=1,T1989&gt;6),1,0)</f>
        <v>0</v>
      </c>
      <c r="Z1989">
        <f t="shared" si="471"/>
        <v>0</v>
      </c>
      <c r="AA1989">
        <f t="shared" si="472"/>
        <v>0</v>
      </c>
      <c r="AB1989">
        <f t="shared" si="473"/>
        <v>0</v>
      </c>
      <c r="AC1989">
        <f t="shared" si="474"/>
        <v>0</v>
      </c>
      <c r="AD1989" s="1">
        <f t="shared" si="475"/>
        <v>0</v>
      </c>
      <c r="AE1989">
        <f t="shared" si="476"/>
        <v>0</v>
      </c>
      <c r="AF1989">
        <f t="shared" si="477"/>
        <v>0</v>
      </c>
      <c r="AG1989">
        <f t="shared" si="478"/>
        <v>0</v>
      </c>
    </row>
    <row r="1990" spans="1:33" x14ac:dyDescent="0.25">
      <c r="A1990" t="s">
        <v>3206</v>
      </c>
      <c r="B1990" t="s">
        <v>963</v>
      </c>
      <c r="C1990">
        <v>166121</v>
      </c>
      <c r="D1990">
        <v>166121</v>
      </c>
      <c r="E1990">
        <v>40</v>
      </c>
      <c r="F1990">
        <v>20</v>
      </c>
      <c r="G1990">
        <v>20</v>
      </c>
      <c r="O1990">
        <v>80</v>
      </c>
      <c r="S1990">
        <f t="shared" si="467"/>
        <v>5</v>
      </c>
      <c r="T1990">
        <f t="shared" si="468"/>
        <v>0</v>
      </c>
      <c r="U1990">
        <f t="shared" si="466"/>
        <v>1</v>
      </c>
      <c r="V1990">
        <f t="shared" si="469"/>
        <v>1</v>
      </c>
      <c r="W1990">
        <f t="shared" si="470"/>
        <v>0</v>
      </c>
      <c r="X1990">
        <f t="shared" si="479"/>
        <v>0</v>
      </c>
      <c r="Y1990">
        <f t="shared" si="480"/>
        <v>0</v>
      </c>
      <c r="Z1990">
        <f t="shared" si="471"/>
        <v>8</v>
      </c>
      <c r="AA1990">
        <f t="shared" si="472"/>
        <v>5</v>
      </c>
      <c r="AB1990">
        <f t="shared" si="473"/>
        <v>2.8571428571428572</v>
      </c>
      <c r="AC1990">
        <f t="shared" si="474"/>
        <v>0</v>
      </c>
      <c r="AD1990" s="1">
        <f t="shared" si="475"/>
        <v>0</v>
      </c>
      <c r="AE1990">
        <f t="shared" si="476"/>
        <v>0</v>
      </c>
      <c r="AF1990">
        <f t="shared" si="477"/>
        <v>0</v>
      </c>
      <c r="AG1990">
        <f t="shared" si="478"/>
        <v>0</v>
      </c>
    </row>
    <row r="1991" spans="1:33" x14ac:dyDescent="0.25">
      <c r="A1991" t="s">
        <v>3207</v>
      </c>
      <c r="B1991" t="s">
        <v>3208</v>
      </c>
      <c r="C1991">
        <v>167501</v>
      </c>
      <c r="D1991">
        <v>167501</v>
      </c>
      <c r="H1991">
        <v>20</v>
      </c>
      <c r="I1991">
        <v>10</v>
      </c>
      <c r="J1991">
        <v>20</v>
      </c>
      <c r="K1991">
        <v>10</v>
      </c>
      <c r="L1991">
        <v>10</v>
      </c>
      <c r="M1991">
        <v>70</v>
      </c>
      <c r="S1991">
        <f t="shared" si="467"/>
        <v>0</v>
      </c>
      <c r="T1991">
        <f t="shared" si="468"/>
        <v>5.833333333333333</v>
      </c>
      <c r="U1991">
        <f t="shared" si="466"/>
        <v>1</v>
      </c>
      <c r="V1991">
        <f t="shared" si="469"/>
        <v>0</v>
      </c>
      <c r="W1991">
        <f t="shared" si="470"/>
        <v>1</v>
      </c>
      <c r="X1991">
        <f t="shared" si="479"/>
        <v>0</v>
      </c>
      <c r="Y1991">
        <f t="shared" si="480"/>
        <v>0</v>
      </c>
      <c r="Z1991">
        <f t="shared" si="471"/>
        <v>0</v>
      </c>
      <c r="AA1991">
        <f t="shared" si="472"/>
        <v>0</v>
      </c>
      <c r="AB1991">
        <f t="shared" si="473"/>
        <v>0</v>
      </c>
      <c r="AC1991">
        <f t="shared" si="474"/>
        <v>10</v>
      </c>
      <c r="AD1991" s="1">
        <f t="shared" si="475"/>
        <v>1.6666666666666667</v>
      </c>
      <c r="AE1991">
        <f t="shared" si="476"/>
        <v>10</v>
      </c>
      <c r="AF1991">
        <f t="shared" si="477"/>
        <v>10</v>
      </c>
      <c r="AG1991">
        <f t="shared" si="478"/>
        <v>10</v>
      </c>
    </row>
    <row r="1992" spans="1:33" x14ac:dyDescent="0.25">
      <c r="A1992" t="s">
        <v>3209</v>
      </c>
      <c r="B1992" t="s">
        <v>3210</v>
      </c>
      <c r="C1992">
        <v>165631</v>
      </c>
      <c r="D1992">
        <v>165631</v>
      </c>
      <c r="H1992">
        <v>10</v>
      </c>
      <c r="I1992">
        <v>50</v>
      </c>
      <c r="J1992">
        <v>10</v>
      </c>
      <c r="K1992">
        <v>10</v>
      </c>
      <c r="L1992">
        <v>10</v>
      </c>
      <c r="M1992">
        <v>90</v>
      </c>
      <c r="S1992">
        <f t="shared" si="467"/>
        <v>0</v>
      </c>
      <c r="T1992">
        <f t="shared" si="468"/>
        <v>7.5</v>
      </c>
      <c r="U1992">
        <f t="shared" si="466"/>
        <v>1</v>
      </c>
      <c r="V1992">
        <f t="shared" si="469"/>
        <v>0</v>
      </c>
      <c r="W1992">
        <f t="shared" si="470"/>
        <v>1</v>
      </c>
      <c r="X1992">
        <f t="shared" si="479"/>
        <v>0</v>
      </c>
      <c r="Y1992">
        <f t="shared" si="480"/>
        <v>1</v>
      </c>
      <c r="Z1992">
        <f t="shared" si="471"/>
        <v>0</v>
      </c>
      <c r="AA1992">
        <f t="shared" si="472"/>
        <v>0</v>
      </c>
      <c r="AB1992">
        <f t="shared" si="473"/>
        <v>0</v>
      </c>
      <c r="AC1992">
        <f t="shared" si="474"/>
        <v>5</v>
      </c>
      <c r="AD1992" s="1">
        <f t="shared" si="475"/>
        <v>8.3333333333333339</v>
      </c>
      <c r="AE1992">
        <f t="shared" si="476"/>
        <v>5</v>
      </c>
      <c r="AF1992">
        <f t="shared" si="477"/>
        <v>10</v>
      </c>
      <c r="AG1992">
        <f t="shared" si="478"/>
        <v>10</v>
      </c>
    </row>
    <row r="1993" spans="1:33" x14ac:dyDescent="0.25">
      <c r="A1993" t="s">
        <v>3211</v>
      </c>
      <c r="B1993" t="s">
        <v>3212</v>
      </c>
      <c r="C1993">
        <v>168788</v>
      </c>
      <c r="D1993">
        <v>168788</v>
      </c>
      <c r="H1993">
        <v>0</v>
      </c>
      <c r="I1993">
        <v>40</v>
      </c>
      <c r="J1993">
        <v>10</v>
      </c>
      <c r="K1993">
        <v>10</v>
      </c>
      <c r="L1993">
        <v>0</v>
      </c>
      <c r="M1993">
        <v>60</v>
      </c>
      <c r="S1993">
        <f t="shared" si="467"/>
        <v>0</v>
      </c>
      <c r="T1993">
        <f t="shared" si="468"/>
        <v>5</v>
      </c>
      <c r="U1993">
        <f t="shared" si="466"/>
        <v>1</v>
      </c>
      <c r="V1993">
        <f t="shared" si="469"/>
        <v>0</v>
      </c>
      <c r="W1993">
        <f t="shared" si="470"/>
        <v>1</v>
      </c>
      <c r="X1993">
        <f t="shared" si="479"/>
        <v>0</v>
      </c>
      <c r="Y1993">
        <f t="shared" si="480"/>
        <v>0</v>
      </c>
      <c r="Z1993">
        <f t="shared" si="471"/>
        <v>0</v>
      </c>
      <c r="AA1993">
        <f t="shared" si="472"/>
        <v>0</v>
      </c>
      <c r="AB1993">
        <f t="shared" si="473"/>
        <v>0</v>
      </c>
      <c r="AC1993">
        <f t="shared" si="474"/>
        <v>0</v>
      </c>
      <c r="AD1993" s="1">
        <f t="shared" si="475"/>
        <v>6.666666666666667</v>
      </c>
      <c r="AE1993">
        <f t="shared" si="476"/>
        <v>5</v>
      </c>
      <c r="AF1993">
        <f t="shared" si="477"/>
        <v>10</v>
      </c>
      <c r="AG1993">
        <f t="shared" si="478"/>
        <v>0</v>
      </c>
    </row>
    <row r="1994" spans="1:33" x14ac:dyDescent="0.25">
      <c r="A1994" t="s">
        <v>3213</v>
      </c>
      <c r="B1994" t="s">
        <v>1358</v>
      </c>
      <c r="C1994">
        <v>166848</v>
      </c>
      <c r="D1994">
        <v>166848</v>
      </c>
      <c r="H1994">
        <v>10</v>
      </c>
      <c r="I1994">
        <v>20</v>
      </c>
      <c r="J1994">
        <v>10</v>
      </c>
      <c r="K1994">
        <v>10</v>
      </c>
      <c r="L1994">
        <v>10</v>
      </c>
      <c r="M1994">
        <v>60</v>
      </c>
      <c r="S1994">
        <f t="shared" si="467"/>
        <v>0</v>
      </c>
      <c r="T1994">
        <f t="shared" si="468"/>
        <v>5</v>
      </c>
      <c r="U1994">
        <f t="shared" si="466"/>
        <v>1</v>
      </c>
      <c r="V1994">
        <f t="shared" si="469"/>
        <v>0</v>
      </c>
      <c r="W1994">
        <f t="shared" si="470"/>
        <v>1</v>
      </c>
      <c r="X1994">
        <f t="shared" si="479"/>
        <v>0</v>
      </c>
      <c r="Y1994">
        <f t="shared" si="480"/>
        <v>0</v>
      </c>
      <c r="Z1994">
        <f t="shared" si="471"/>
        <v>0</v>
      </c>
      <c r="AA1994">
        <f t="shared" si="472"/>
        <v>0</v>
      </c>
      <c r="AB1994">
        <f t="shared" si="473"/>
        <v>0</v>
      </c>
      <c r="AC1994">
        <f t="shared" si="474"/>
        <v>5</v>
      </c>
      <c r="AD1994" s="1">
        <f t="shared" si="475"/>
        <v>3.3333333333333335</v>
      </c>
      <c r="AE1994">
        <f t="shared" si="476"/>
        <v>5</v>
      </c>
      <c r="AF1994">
        <f t="shared" si="477"/>
        <v>10</v>
      </c>
      <c r="AG1994">
        <f t="shared" si="478"/>
        <v>10</v>
      </c>
    </row>
    <row r="1995" spans="1:33" x14ac:dyDescent="0.25">
      <c r="A1995" t="s">
        <v>3214</v>
      </c>
      <c r="B1995" t="s">
        <v>870</v>
      </c>
      <c r="C1995">
        <v>167877</v>
      </c>
      <c r="D1995">
        <v>167877</v>
      </c>
      <c r="E1995">
        <v>30</v>
      </c>
      <c r="F1995">
        <v>10</v>
      </c>
      <c r="G1995">
        <v>10</v>
      </c>
      <c r="O1995">
        <v>50</v>
      </c>
      <c r="S1995">
        <f t="shared" si="467"/>
        <v>3.125</v>
      </c>
      <c r="T1995">
        <f t="shared" si="468"/>
        <v>0</v>
      </c>
      <c r="U1995">
        <f t="shared" si="466"/>
        <v>1</v>
      </c>
      <c r="V1995">
        <f t="shared" si="469"/>
        <v>1</v>
      </c>
      <c r="W1995">
        <f t="shared" si="470"/>
        <v>0</v>
      </c>
      <c r="X1995">
        <f t="shared" si="479"/>
        <v>0</v>
      </c>
      <c r="Y1995">
        <f t="shared" si="480"/>
        <v>0</v>
      </c>
      <c r="Z1995">
        <f t="shared" si="471"/>
        <v>6</v>
      </c>
      <c r="AA1995">
        <f t="shared" si="472"/>
        <v>2.5</v>
      </c>
      <c r="AB1995">
        <f t="shared" si="473"/>
        <v>1.4285714285714286</v>
      </c>
      <c r="AC1995">
        <f t="shared" si="474"/>
        <v>0</v>
      </c>
      <c r="AD1995" s="1">
        <f t="shared" si="475"/>
        <v>0</v>
      </c>
      <c r="AE1995">
        <f t="shared" si="476"/>
        <v>0</v>
      </c>
      <c r="AF1995">
        <f t="shared" si="477"/>
        <v>0</v>
      </c>
      <c r="AG1995">
        <f t="shared" si="478"/>
        <v>0</v>
      </c>
    </row>
    <row r="1996" spans="1:33" x14ac:dyDescent="0.25">
      <c r="A1996" t="s">
        <v>3215</v>
      </c>
      <c r="B1996" t="s">
        <v>3216</v>
      </c>
      <c r="C1996">
        <v>164476</v>
      </c>
      <c r="D1996">
        <v>164476</v>
      </c>
      <c r="S1996">
        <f t="shared" si="467"/>
        <v>0</v>
      </c>
      <c r="T1996">
        <f t="shared" si="468"/>
        <v>0</v>
      </c>
      <c r="U1996">
        <f t="shared" si="466"/>
        <v>0</v>
      </c>
      <c r="V1996">
        <f t="shared" si="469"/>
        <v>0</v>
      </c>
      <c r="W1996">
        <f t="shared" si="470"/>
        <v>0</v>
      </c>
      <c r="X1996">
        <f t="shared" si="479"/>
        <v>0</v>
      </c>
      <c r="Y1996">
        <f t="shared" si="480"/>
        <v>0</v>
      </c>
      <c r="Z1996">
        <f t="shared" si="471"/>
        <v>0</v>
      </c>
      <c r="AA1996">
        <f t="shared" si="472"/>
        <v>0</v>
      </c>
      <c r="AB1996">
        <f t="shared" si="473"/>
        <v>0</v>
      </c>
      <c r="AC1996">
        <f t="shared" si="474"/>
        <v>0</v>
      </c>
      <c r="AD1996" s="1">
        <f t="shared" si="475"/>
        <v>0</v>
      </c>
      <c r="AE1996">
        <f t="shared" si="476"/>
        <v>0</v>
      </c>
      <c r="AF1996">
        <f t="shared" si="477"/>
        <v>0</v>
      </c>
      <c r="AG1996">
        <f t="shared" si="478"/>
        <v>0</v>
      </c>
    </row>
    <row r="1997" spans="1:33" x14ac:dyDescent="0.25">
      <c r="A1997" t="s">
        <v>3217</v>
      </c>
      <c r="B1997" t="s">
        <v>3218</v>
      </c>
      <c r="C1997">
        <v>168689</v>
      </c>
      <c r="D1997">
        <v>168689</v>
      </c>
      <c r="H1997">
        <v>20</v>
      </c>
      <c r="I1997">
        <v>30</v>
      </c>
      <c r="J1997">
        <v>20</v>
      </c>
      <c r="K1997">
        <v>10</v>
      </c>
      <c r="L1997">
        <v>0</v>
      </c>
      <c r="M1997">
        <v>80</v>
      </c>
      <c r="S1997">
        <f t="shared" si="467"/>
        <v>0</v>
      </c>
      <c r="T1997">
        <f t="shared" si="468"/>
        <v>6.666666666666667</v>
      </c>
      <c r="U1997">
        <f t="shared" si="466"/>
        <v>1</v>
      </c>
      <c r="V1997">
        <f t="shared" si="469"/>
        <v>0</v>
      </c>
      <c r="W1997">
        <f t="shared" si="470"/>
        <v>1</v>
      </c>
      <c r="X1997">
        <f t="shared" si="479"/>
        <v>0</v>
      </c>
      <c r="Y1997">
        <f t="shared" si="480"/>
        <v>1</v>
      </c>
      <c r="Z1997">
        <f t="shared" si="471"/>
        <v>0</v>
      </c>
      <c r="AA1997">
        <f t="shared" si="472"/>
        <v>0</v>
      </c>
      <c r="AB1997">
        <f t="shared" si="473"/>
        <v>0</v>
      </c>
      <c r="AC1997">
        <f t="shared" si="474"/>
        <v>10</v>
      </c>
      <c r="AD1997" s="1">
        <f t="shared" si="475"/>
        <v>5</v>
      </c>
      <c r="AE1997">
        <f t="shared" si="476"/>
        <v>10</v>
      </c>
      <c r="AF1997">
        <f t="shared" si="477"/>
        <v>10</v>
      </c>
      <c r="AG1997">
        <f t="shared" si="478"/>
        <v>0</v>
      </c>
    </row>
    <row r="1998" spans="1:33" x14ac:dyDescent="0.25">
      <c r="A1998" t="s">
        <v>3219</v>
      </c>
      <c r="B1998" t="s">
        <v>3220</v>
      </c>
      <c r="C1998">
        <v>167233</v>
      </c>
      <c r="D1998">
        <v>167233</v>
      </c>
      <c r="S1998">
        <f t="shared" si="467"/>
        <v>0</v>
      </c>
      <c r="T1998">
        <f t="shared" si="468"/>
        <v>0</v>
      </c>
      <c r="U1998">
        <f t="shared" si="466"/>
        <v>0</v>
      </c>
      <c r="V1998">
        <f t="shared" si="469"/>
        <v>0</v>
      </c>
      <c r="W1998">
        <f t="shared" si="470"/>
        <v>0</v>
      </c>
      <c r="X1998">
        <f t="shared" si="479"/>
        <v>0</v>
      </c>
      <c r="Y1998">
        <f t="shared" si="480"/>
        <v>0</v>
      </c>
      <c r="Z1998">
        <f t="shared" si="471"/>
        <v>0</v>
      </c>
      <c r="AA1998">
        <f t="shared" si="472"/>
        <v>0</v>
      </c>
      <c r="AB1998">
        <f t="shared" si="473"/>
        <v>0</v>
      </c>
      <c r="AC1998">
        <f t="shared" si="474"/>
        <v>0</v>
      </c>
      <c r="AD1998" s="1">
        <f t="shared" si="475"/>
        <v>0</v>
      </c>
      <c r="AE1998">
        <f t="shared" si="476"/>
        <v>0</v>
      </c>
      <c r="AF1998">
        <f t="shared" si="477"/>
        <v>0</v>
      </c>
      <c r="AG1998">
        <f t="shared" si="478"/>
        <v>0</v>
      </c>
    </row>
    <row r="1999" spans="1:33" x14ac:dyDescent="0.25">
      <c r="A1999" t="s">
        <v>3221</v>
      </c>
      <c r="B1999" t="s">
        <v>3222</v>
      </c>
      <c r="C1999">
        <v>168379</v>
      </c>
      <c r="D1999">
        <v>168379</v>
      </c>
      <c r="E1999">
        <v>10</v>
      </c>
      <c r="F1999">
        <v>0</v>
      </c>
      <c r="G1999">
        <v>40</v>
      </c>
      <c r="O1999">
        <v>50</v>
      </c>
      <c r="S1999">
        <f t="shared" si="467"/>
        <v>3.125</v>
      </c>
      <c r="T1999">
        <f t="shared" si="468"/>
        <v>0</v>
      </c>
      <c r="U1999">
        <f t="shared" si="466"/>
        <v>1</v>
      </c>
      <c r="V1999">
        <f t="shared" si="469"/>
        <v>1</v>
      </c>
      <c r="W1999">
        <f t="shared" si="470"/>
        <v>0</v>
      </c>
      <c r="X1999">
        <f t="shared" si="479"/>
        <v>0</v>
      </c>
      <c r="Y1999">
        <f t="shared" si="480"/>
        <v>0</v>
      </c>
      <c r="Z1999">
        <f t="shared" si="471"/>
        <v>2</v>
      </c>
      <c r="AA1999">
        <f t="shared" si="472"/>
        <v>0</v>
      </c>
      <c r="AB1999">
        <f t="shared" si="473"/>
        <v>5.7142857142857144</v>
      </c>
      <c r="AC1999">
        <f t="shared" si="474"/>
        <v>0</v>
      </c>
      <c r="AD1999" s="1">
        <f t="shared" si="475"/>
        <v>0</v>
      </c>
      <c r="AE1999">
        <f t="shared" si="476"/>
        <v>0</v>
      </c>
      <c r="AF1999">
        <f t="shared" si="477"/>
        <v>0</v>
      </c>
      <c r="AG1999">
        <f t="shared" si="478"/>
        <v>0</v>
      </c>
    </row>
    <row r="2000" spans="1:33" x14ac:dyDescent="0.25">
      <c r="A2000" t="s">
        <v>3223</v>
      </c>
      <c r="B2000" t="s">
        <v>1219</v>
      </c>
      <c r="C2000">
        <v>166236</v>
      </c>
      <c r="D2000">
        <v>166236</v>
      </c>
      <c r="E2000">
        <v>10</v>
      </c>
      <c r="F2000">
        <v>30</v>
      </c>
      <c r="G2000">
        <v>10</v>
      </c>
      <c r="O2000">
        <v>50</v>
      </c>
      <c r="S2000">
        <f t="shared" si="467"/>
        <v>3.125</v>
      </c>
      <c r="T2000">
        <f t="shared" si="468"/>
        <v>0</v>
      </c>
      <c r="U2000">
        <f t="shared" si="466"/>
        <v>1</v>
      </c>
      <c r="V2000">
        <f t="shared" si="469"/>
        <v>1</v>
      </c>
      <c r="W2000">
        <f t="shared" si="470"/>
        <v>0</v>
      </c>
      <c r="X2000">
        <f t="shared" si="479"/>
        <v>0</v>
      </c>
      <c r="Y2000">
        <f t="shared" si="480"/>
        <v>0</v>
      </c>
      <c r="Z2000">
        <f t="shared" si="471"/>
        <v>2</v>
      </c>
      <c r="AA2000">
        <f t="shared" si="472"/>
        <v>7.5</v>
      </c>
      <c r="AB2000">
        <f t="shared" si="473"/>
        <v>1.4285714285714286</v>
      </c>
      <c r="AC2000">
        <f t="shared" si="474"/>
        <v>0</v>
      </c>
      <c r="AD2000" s="1">
        <f t="shared" si="475"/>
        <v>0</v>
      </c>
      <c r="AE2000">
        <f t="shared" si="476"/>
        <v>0</v>
      </c>
      <c r="AF2000">
        <f t="shared" si="477"/>
        <v>0</v>
      </c>
      <c r="AG2000">
        <f t="shared" si="478"/>
        <v>0</v>
      </c>
    </row>
    <row r="2001" spans="1:33" x14ac:dyDescent="0.25">
      <c r="A2001" t="s">
        <v>3224</v>
      </c>
      <c r="B2001" t="s">
        <v>3225</v>
      </c>
      <c r="C2001">
        <v>165725</v>
      </c>
      <c r="D2001">
        <v>165725</v>
      </c>
      <c r="S2001">
        <f t="shared" si="467"/>
        <v>0</v>
      </c>
      <c r="T2001">
        <f t="shared" si="468"/>
        <v>0</v>
      </c>
      <c r="U2001">
        <f t="shared" si="466"/>
        <v>0</v>
      </c>
      <c r="V2001">
        <f t="shared" si="469"/>
        <v>0</v>
      </c>
      <c r="W2001">
        <f t="shared" si="470"/>
        <v>0</v>
      </c>
      <c r="X2001">
        <f t="shared" si="479"/>
        <v>0</v>
      </c>
      <c r="Y2001">
        <f t="shared" si="480"/>
        <v>0</v>
      </c>
      <c r="Z2001">
        <f t="shared" si="471"/>
        <v>0</v>
      </c>
      <c r="AA2001">
        <f t="shared" si="472"/>
        <v>0</v>
      </c>
      <c r="AB2001">
        <f t="shared" si="473"/>
        <v>0</v>
      </c>
      <c r="AC2001">
        <f t="shared" si="474"/>
        <v>0</v>
      </c>
      <c r="AD2001" s="1">
        <f t="shared" si="475"/>
        <v>0</v>
      </c>
      <c r="AE2001">
        <f t="shared" si="476"/>
        <v>0</v>
      </c>
      <c r="AF2001">
        <f t="shared" si="477"/>
        <v>0</v>
      </c>
      <c r="AG2001">
        <f t="shared" si="478"/>
        <v>0</v>
      </c>
    </row>
    <row r="2002" spans="1:33" x14ac:dyDescent="0.25">
      <c r="A2002" t="s">
        <v>3226</v>
      </c>
      <c r="B2002" t="s">
        <v>3227</v>
      </c>
      <c r="C2002">
        <v>143282</v>
      </c>
      <c r="D2002">
        <v>143282</v>
      </c>
      <c r="S2002">
        <f t="shared" si="467"/>
        <v>0</v>
      </c>
      <c r="T2002">
        <f t="shared" si="468"/>
        <v>0</v>
      </c>
      <c r="U2002">
        <f t="shared" si="466"/>
        <v>0</v>
      </c>
      <c r="V2002">
        <f t="shared" si="469"/>
        <v>0</v>
      </c>
      <c r="W2002">
        <f t="shared" si="470"/>
        <v>0</v>
      </c>
      <c r="X2002">
        <f t="shared" si="479"/>
        <v>0</v>
      </c>
      <c r="Y2002">
        <f t="shared" si="480"/>
        <v>0</v>
      </c>
      <c r="Z2002">
        <f t="shared" si="471"/>
        <v>0</v>
      </c>
      <c r="AA2002">
        <f t="shared" si="472"/>
        <v>0</v>
      </c>
      <c r="AB2002">
        <f t="shared" si="473"/>
        <v>0</v>
      </c>
      <c r="AC2002">
        <f t="shared" si="474"/>
        <v>0</v>
      </c>
      <c r="AD2002" s="1">
        <f t="shared" si="475"/>
        <v>0</v>
      </c>
      <c r="AE2002">
        <f t="shared" si="476"/>
        <v>0</v>
      </c>
      <c r="AF2002">
        <f t="shared" si="477"/>
        <v>0</v>
      </c>
      <c r="AG2002">
        <f t="shared" si="478"/>
        <v>0</v>
      </c>
    </row>
    <row r="2003" spans="1:33" x14ac:dyDescent="0.25">
      <c r="A2003" t="s">
        <v>3228</v>
      </c>
      <c r="B2003" t="s">
        <v>190</v>
      </c>
      <c r="C2003">
        <v>164886</v>
      </c>
      <c r="D2003">
        <v>164886</v>
      </c>
      <c r="S2003">
        <f t="shared" si="467"/>
        <v>0</v>
      </c>
      <c r="T2003">
        <f t="shared" si="468"/>
        <v>0</v>
      </c>
      <c r="U2003">
        <f t="shared" si="466"/>
        <v>0</v>
      </c>
      <c r="V2003">
        <f t="shared" si="469"/>
        <v>0</v>
      </c>
      <c r="W2003">
        <f t="shared" si="470"/>
        <v>0</v>
      </c>
      <c r="X2003">
        <f t="shared" si="479"/>
        <v>0</v>
      </c>
      <c r="Y2003">
        <f t="shared" si="480"/>
        <v>0</v>
      </c>
      <c r="Z2003">
        <f t="shared" si="471"/>
        <v>0</v>
      </c>
      <c r="AA2003">
        <f t="shared" si="472"/>
        <v>0</v>
      </c>
      <c r="AB2003">
        <f t="shared" si="473"/>
        <v>0</v>
      </c>
      <c r="AC2003">
        <f t="shared" si="474"/>
        <v>0</v>
      </c>
      <c r="AD2003" s="1">
        <f t="shared" si="475"/>
        <v>0</v>
      </c>
      <c r="AE2003">
        <f t="shared" si="476"/>
        <v>0</v>
      </c>
      <c r="AF2003">
        <f t="shared" si="477"/>
        <v>0</v>
      </c>
      <c r="AG2003">
        <f t="shared" si="478"/>
        <v>0</v>
      </c>
    </row>
    <row r="2004" spans="1:33" x14ac:dyDescent="0.25">
      <c r="A2004" t="s">
        <v>3229</v>
      </c>
      <c r="B2004" t="s">
        <v>3230</v>
      </c>
      <c r="C2004">
        <v>163539</v>
      </c>
      <c r="D2004">
        <v>163539</v>
      </c>
      <c r="H2004">
        <v>20</v>
      </c>
      <c r="I2004">
        <v>50</v>
      </c>
      <c r="J2004">
        <v>20</v>
      </c>
      <c r="K2004">
        <v>10</v>
      </c>
      <c r="L2004">
        <v>0</v>
      </c>
      <c r="M2004">
        <v>100</v>
      </c>
      <c r="S2004">
        <f t="shared" si="467"/>
        <v>0</v>
      </c>
      <c r="T2004">
        <f t="shared" si="468"/>
        <v>8.3333333333333339</v>
      </c>
      <c r="U2004">
        <f t="shared" si="466"/>
        <v>1</v>
      </c>
      <c r="V2004">
        <f t="shared" si="469"/>
        <v>0</v>
      </c>
      <c r="W2004">
        <f t="shared" si="470"/>
        <v>1</v>
      </c>
      <c r="X2004">
        <f t="shared" si="479"/>
        <v>0</v>
      </c>
      <c r="Y2004">
        <f t="shared" si="480"/>
        <v>1</v>
      </c>
      <c r="Z2004">
        <f t="shared" si="471"/>
        <v>0</v>
      </c>
      <c r="AA2004">
        <f t="shared" si="472"/>
        <v>0</v>
      </c>
      <c r="AB2004">
        <f t="shared" si="473"/>
        <v>0</v>
      </c>
      <c r="AC2004">
        <f t="shared" si="474"/>
        <v>10</v>
      </c>
      <c r="AD2004" s="1">
        <f t="shared" si="475"/>
        <v>8.3333333333333339</v>
      </c>
      <c r="AE2004">
        <f t="shared" si="476"/>
        <v>10</v>
      </c>
      <c r="AF2004">
        <f t="shared" si="477"/>
        <v>10</v>
      </c>
      <c r="AG2004">
        <f t="shared" si="478"/>
        <v>0</v>
      </c>
    </row>
    <row r="2005" spans="1:33" x14ac:dyDescent="0.25">
      <c r="A2005" t="s">
        <v>3231</v>
      </c>
      <c r="B2005" t="s">
        <v>211</v>
      </c>
      <c r="C2005">
        <v>168574</v>
      </c>
      <c r="D2005">
        <v>168574</v>
      </c>
      <c r="H2005">
        <v>20</v>
      </c>
      <c r="I2005">
        <v>40</v>
      </c>
      <c r="J2005">
        <v>20</v>
      </c>
      <c r="K2005">
        <v>10</v>
      </c>
      <c r="L2005">
        <v>10</v>
      </c>
      <c r="M2005">
        <v>100</v>
      </c>
      <c r="S2005">
        <f t="shared" si="467"/>
        <v>0</v>
      </c>
      <c r="T2005">
        <f t="shared" si="468"/>
        <v>8.3333333333333339</v>
      </c>
      <c r="U2005">
        <f t="shared" si="466"/>
        <v>1</v>
      </c>
      <c r="V2005">
        <f t="shared" si="469"/>
        <v>0</v>
      </c>
      <c r="W2005">
        <f t="shared" si="470"/>
        <v>1</v>
      </c>
      <c r="X2005">
        <f t="shared" si="479"/>
        <v>0</v>
      </c>
      <c r="Y2005">
        <f t="shared" si="480"/>
        <v>1</v>
      </c>
      <c r="Z2005">
        <f t="shared" si="471"/>
        <v>0</v>
      </c>
      <c r="AA2005">
        <f t="shared" si="472"/>
        <v>0</v>
      </c>
      <c r="AB2005">
        <f t="shared" si="473"/>
        <v>0</v>
      </c>
      <c r="AC2005">
        <f t="shared" si="474"/>
        <v>10</v>
      </c>
      <c r="AD2005" s="1">
        <f t="shared" si="475"/>
        <v>6.666666666666667</v>
      </c>
      <c r="AE2005">
        <f t="shared" si="476"/>
        <v>10</v>
      </c>
      <c r="AF2005">
        <f t="shared" si="477"/>
        <v>10</v>
      </c>
      <c r="AG2005">
        <f t="shared" si="478"/>
        <v>10</v>
      </c>
    </row>
    <row r="2006" spans="1:33" x14ac:dyDescent="0.25">
      <c r="A2006" t="s">
        <v>3232</v>
      </c>
      <c r="B2006" t="s">
        <v>761</v>
      </c>
      <c r="C2006">
        <v>167869</v>
      </c>
      <c r="D2006">
        <v>167869</v>
      </c>
      <c r="H2006">
        <v>20</v>
      </c>
      <c r="I2006">
        <v>60</v>
      </c>
      <c r="J2006">
        <v>10</v>
      </c>
      <c r="K2006">
        <v>10</v>
      </c>
      <c r="L2006">
        <v>0</v>
      </c>
      <c r="M2006">
        <v>100</v>
      </c>
      <c r="S2006">
        <f t="shared" si="467"/>
        <v>0</v>
      </c>
      <c r="T2006">
        <f t="shared" si="468"/>
        <v>8.3333333333333339</v>
      </c>
      <c r="U2006">
        <f t="shared" si="466"/>
        <v>1</v>
      </c>
      <c r="V2006">
        <f t="shared" si="469"/>
        <v>0</v>
      </c>
      <c r="W2006">
        <f t="shared" si="470"/>
        <v>1</v>
      </c>
      <c r="X2006">
        <f t="shared" si="479"/>
        <v>0</v>
      </c>
      <c r="Y2006">
        <f t="shared" si="480"/>
        <v>1</v>
      </c>
      <c r="Z2006">
        <f t="shared" si="471"/>
        <v>0</v>
      </c>
      <c r="AA2006">
        <f t="shared" si="472"/>
        <v>0</v>
      </c>
      <c r="AB2006">
        <f t="shared" si="473"/>
        <v>0</v>
      </c>
      <c r="AC2006">
        <f t="shared" si="474"/>
        <v>10</v>
      </c>
      <c r="AD2006" s="1">
        <f t="shared" si="475"/>
        <v>10</v>
      </c>
      <c r="AE2006">
        <f t="shared" si="476"/>
        <v>5</v>
      </c>
      <c r="AF2006">
        <f t="shared" si="477"/>
        <v>10</v>
      </c>
      <c r="AG2006">
        <f t="shared" si="478"/>
        <v>0</v>
      </c>
    </row>
    <row r="2007" spans="1:33" x14ac:dyDescent="0.25">
      <c r="A2007" t="s">
        <v>3233</v>
      </c>
      <c r="B2007" t="s">
        <v>1223</v>
      </c>
      <c r="C2007">
        <v>164848</v>
      </c>
      <c r="D2007">
        <v>164848</v>
      </c>
      <c r="E2007">
        <v>20</v>
      </c>
      <c r="F2007">
        <v>20</v>
      </c>
      <c r="G2007">
        <v>40</v>
      </c>
      <c r="O2007">
        <v>80</v>
      </c>
      <c r="S2007">
        <f t="shared" si="467"/>
        <v>5</v>
      </c>
      <c r="T2007">
        <f t="shared" si="468"/>
        <v>0</v>
      </c>
      <c r="U2007">
        <f t="shared" si="466"/>
        <v>1</v>
      </c>
      <c r="V2007">
        <f t="shared" si="469"/>
        <v>1</v>
      </c>
      <c r="W2007">
        <f t="shared" si="470"/>
        <v>0</v>
      </c>
      <c r="X2007">
        <f t="shared" si="479"/>
        <v>0</v>
      </c>
      <c r="Y2007">
        <f t="shared" si="480"/>
        <v>0</v>
      </c>
      <c r="Z2007">
        <f t="shared" si="471"/>
        <v>4</v>
      </c>
      <c r="AA2007">
        <f t="shared" si="472"/>
        <v>5</v>
      </c>
      <c r="AB2007">
        <f t="shared" si="473"/>
        <v>5.7142857142857144</v>
      </c>
      <c r="AC2007">
        <f t="shared" si="474"/>
        <v>0</v>
      </c>
      <c r="AD2007" s="1">
        <f t="shared" si="475"/>
        <v>0</v>
      </c>
      <c r="AE2007">
        <f t="shared" si="476"/>
        <v>0</v>
      </c>
      <c r="AF2007">
        <f t="shared" si="477"/>
        <v>0</v>
      </c>
      <c r="AG2007">
        <f t="shared" si="478"/>
        <v>0</v>
      </c>
    </row>
    <row r="2008" spans="1:33" x14ac:dyDescent="0.25">
      <c r="A2008" t="s">
        <v>3234</v>
      </c>
      <c r="B2008" t="s">
        <v>3235</v>
      </c>
      <c r="C2008">
        <v>168120</v>
      </c>
      <c r="D2008">
        <v>168120</v>
      </c>
      <c r="H2008">
        <v>10</v>
      </c>
      <c r="I2008">
        <v>20</v>
      </c>
      <c r="J2008">
        <v>0</v>
      </c>
      <c r="K2008">
        <v>0</v>
      </c>
      <c r="M2008">
        <v>30</v>
      </c>
      <c r="S2008">
        <f t="shared" si="467"/>
        <v>0</v>
      </c>
      <c r="T2008">
        <f t="shared" si="468"/>
        <v>2.5</v>
      </c>
      <c r="U2008">
        <f t="shared" si="466"/>
        <v>1</v>
      </c>
      <c r="V2008">
        <f t="shared" si="469"/>
        <v>0</v>
      </c>
      <c r="W2008">
        <f t="shared" si="470"/>
        <v>1</v>
      </c>
      <c r="X2008">
        <f t="shared" si="479"/>
        <v>0</v>
      </c>
      <c r="Y2008">
        <f t="shared" si="480"/>
        <v>0</v>
      </c>
      <c r="Z2008">
        <f t="shared" si="471"/>
        <v>0</v>
      </c>
      <c r="AA2008">
        <f t="shared" si="472"/>
        <v>0</v>
      </c>
      <c r="AB2008">
        <f t="shared" si="473"/>
        <v>0</v>
      </c>
      <c r="AC2008">
        <f t="shared" si="474"/>
        <v>5</v>
      </c>
      <c r="AD2008" s="1">
        <f t="shared" si="475"/>
        <v>3.3333333333333335</v>
      </c>
      <c r="AE2008">
        <f t="shared" si="476"/>
        <v>0</v>
      </c>
      <c r="AF2008">
        <f t="shared" si="477"/>
        <v>0</v>
      </c>
      <c r="AG2008">
        <f t="shared" si="478"/>
        <v>0</v>
      </c>
    </row>
    <row r="2009" spans="1:33" x14ac:dyDescent="0.25">
      <c r="A2009" t="s">
        <v>3234</v>
      </c>
      <c r="B2009" t="s">
        <v>3236</v>
      </c>
      <c r="C2009">
        <v>166300</v>
      </c>
      <c r="D2009">
        <v>166300</v>
      </c>
      <c r="H2009">
        <v>10</v>
      </c>
      <c r="I2009">
        <v>20</v>
      </c>
      <c r="J2009">
        <v>10</v>
      </c>
      <c r="K2009">
        <v>0</v>
      </c>
      <c r="L2009">
        <v>0</v>
      </c>
      <c r="M2009">
        <v>40</v>
      </c>
      <c r="S2009">
        <f t="shared" si="467"/>
        <v>0</v>
      </c>
      <c r="T2009">
        <f t="shared" si="468"/>
        <v>3.3333333333333335</v>
      </c>
      <c r="U2009">
        <f t="shared" si="466"/>
        <v>1</v>
      </c>
      <c r="V2009">
        <f t="shared" si="469"/>
        <v>0</v>
      </c>
      <c r="W2009">
        <f t="shared" si="470"/>
        <v>1</v>
      </c>
      <c r="X2009">
        <f t="shared" si="479"/>
        <v>0</v>
      </c>
      <c r="Y2009">
        <f t="shared" si="480"/>
        <v>0</v>
      </c>
      <c r="Z2009">
        <f t="shared" si="471"/>
        <v>0</v>
      </c>
      <c r="AA2009">
        <f t="shared" si="472"/>
        <v>0</v>
      </c>
      <c r="AB2009">
        <f t="shared" si="473"/>
        <v>0</v>
      </c>
      <c r="AC2009">
        <f t="shared" si="474"/>
        <v>5</v>
      </c>
      <c r="AD2009" s="1">
        <f t="shared" si="475"/>
        <v>3.3333333333333335</v>
      </c>
      <c r="AE2009">
        <f t="shared" si="476"/>
        <v>5</v>
      </c>
      <c r="AF2009">
        <f t="shared" si="477"/>
        <v>0</v>
      </c>
      <c r="AG2009">
        <f t="shared" si="478"/>
        <v>0</v>
      </c>
    </row>
    <row r="2010" spans="1:33" x14ac:dyDescent="0.25">
      <c r="A2010" t="s">
        <v>3237</v>
      </c>
      <c r="B2010" t="s">
        <v>725</v>
      </c>
      <c r="C2010">
        <v>165268</v>
      </c>
      <c r="D2010">
        <v>165268</v>
      </c>
      <c r="H2010">
        <v>0</v>
      </c>
      <c r="I2010">
        <v>30</v>
      </c>
      <c r="J2010">
        <v>20</v>
      </c>
      <c r="K2010">
        <v>10</v>
      </c>
      <c r="L2010">
        <v>0</v>
      </c>
      <c r="M2010">
        <v>60</v>
      </c>
      <c r="S2010">
        <f t="shared" si="467"/>
        <v>0</v>
      </c>
      <c r="T2010">
        <f t="shared" si="468"/>
        <v>5</v>
      </c>
      <c r="U2010">
        <f t="shared" si="466"/>
        <v>1</v>
      </c>
      <c r="V2010">
        <f t="shared" si="469"/>
        <v>0</v>
      </c>
      <c r="W2010">
        <f t="shared" si="470"/>
        <v>1</v>
      </c>
      <c r="X2010">
        <f t="shared" si="479"/>
        <v>0</v>
      </c>
      <c r="Y2010">
        <f t="shared" si="480"/>
        <v>0</v>
      </c>
      <c r="Z2010">
        <f t="shared" si="471"/>
        <v>0</v>
      </c>
      <c r="AA2010">
        <f t="shared" si="472"/>
        <v>0</v>
      </c>
      <c r="AB2010">
        <f t="shared" si="473"/>
        <v>0</v>
      </c>
      <c r="AC2010">
        <f t="shared" si="474"/>
        <v>0</v>
      </c>
      <c r="AD2010" s="1">
        <f t="shared" si="475"/>
        <v>5</v>
      </c>
      <c r="AE2010">
        <f t="shared" si="476"/>
        <v>10</v>
      </c>
      <c r="AF2010">
        <f t="shared" si="477"/>
        <v>10</v>
      </c>
      <c r="AG2010">
        <f t="shared" si="478"/>
        <v>0</v>
      </c>
    </row>
    <row r="2011" spans="1:33" x14ac:dyDescent="0.25">
      <c r="A2011" t="s">
        <v>3238</v>
      </c>
      <c r="B2011" t="s">
        <v>166</v>
      </c>
      <c r="C2011">
        <v>164513</v>
      </c>
      <c r="D2011">
        <v>164513</v>
      </c>
      <c r="N2011" t="s">
        <v>549</v>
      </c>
      <c r="S2011">
        <f t="shared" si="467"/>
        <v>0</v>
      </c>
      <c r="T2011">
        <f t="shared" si="468"/>
        <v>0</v>
      </c>
      <c r="U2011">
        <f t="shared" si="466"/>
        <v>0</v>
      </c>
      <c r="V2011">
        <f t="shared" si="469"/>
        <v>0</v>
      </c>
      <c r="W2011">
        <f t="shared" si="470"/>
        <v>0</v>
      </c>
      <c r="X2011">
        <f t="shared" si="479"/>
        <v>0</v>
      </c>
      <c r="Y2011">
        <f t="shared" si="480"/>
        <v>0</v>
      </c>
      <c r="Z2011">
        <f t="shared" si="471"/>
        <v>0</v>
      </c>
      <c r="AA2011">
        <f t="shared" si="472"/>
        <v>0</v>
      </c>
      <c r="AB2011">
        <f t="shared" si="473"/>
        <v>0</v>
      </c>
      <c r="AC2011">
        <f t="shared" si="474"/>
        <v>0</v>
      </c>
      <c r="AD2011" s="1">
        <f t="shared" si="475"/>
        <v>0</v>
      </c>
      <c r="AE2011">
        <f t="shared" si="476"/>
        <v>0</v>
      </c>
      <c r="AF2011">
        <f t="shared" si="477"/>
        <v>0</v>
      </c>
      <c r="AG2011">
        <f t="shared" si="478"/>
        <v>0</v>
      </c>
    </row>
    <row r="2012" spans="1:33" x14ac:dyDescent="0.25">
      <c r="A2012" t="s">
        <v>3239</v>
      </c>
      <c r="B2012" t="s">
        <v>1134</v>
      </c>
      <c r="C2012">
        <v>166543</v>
      </c>
      <c r="D2012">
        <v>166543</v>
      </c>
      <c r="H2012">
        <v>10</v>
      </c>
      <c r="J2012">
        <v>10</v>
      </c>
      <c r="M2012">
        <v>20</v>
      </c>
      <c r="S2012">
        <f t="shared" si="467"/>
        <v>0</v>
      </c>
      <c r="T2012">
        <f t="shared" si="468"/>
        <v>1.6666666666666667</v>
      </c>
      <c r="U2012">
        <f t="shared" si="466"/>
        <v>1</v>
      </c>
      <c r="V2012">
        <f t="shared" si="469"/>
        <v>0</v>
      </c>
      <c r="W2012">
        <f t="shared" si="470"/>
        <v>1</v>
      </c>
      <c r="X2012">
        <f t="shared" si="479"/>
        <v>0</v>
      </c>
      <c r="Y2012">
        <f t="shared" si="480"/>
        <v>0</v>
      </c>
      <c r="Z2012">
        <f t="shared" si="471"/>
        <v>0</v>
      </c>
      <c r="AA2012">
        <f t="shared" si="472"/>
        <v>0</v>
      </c>
      <c r="AB2012">
        <f t="shared" si="473"/>
        <v>0</v>
      </c>
      <c r="AC2012">
        <f t="shared" si="474"/>
        <v>5</v>
      </c>
      <c r="AD2012" s="1">
        <f t="shared" si="475"/>
        <v>0</v>
      </c>
      <c r="AE2012">
        <f t="shared" si="476"/>
        <v>5</v>
      </c>
      <c r="AF2012">
        <f t="shared" si="477"/>
        <v>0</v>
      </c>
      <c r="AG2012">
        <f t="shared" si="478"/>
        <v>0</v>
      </c>
    </row>
    <row r="2013" spans="1:33" x14ac:dyDescent="0.25">
      <c r="A2013" t="s">
        <v>3240</v>
      </c>
      <c r="B2013" t="s">
        <v>3241</v>
      </c>
      <c r="C2013">
        <v>164805</v>
      </c>
      <c r="D2013">
        <v>164805</v>
      </c>
      <c r="N2013" t="s">
        <v>549</v>
      </c>
      <c r="S2013">
        <f t="shared" si="467"/>
        <v>0</v>
      </c>
      <c r="T2013">
        <f t="shared" si="468"/>
        <v>0</v>
      </c>
      <c r="U2013">
        <f t="shared" si="466"/>
        <v>0</v>
      </c>
      <c r="V2013">
        <f t="shared" si="469"/>
        <v>0</v>
      </c>
      <c r="W2013">
        <f t="shared" si="470"/>
        <v>0</v>
      </c>
      <c r="X2013">
        <f t="shared" si="479"/>
        <v>0</v>
      </c>
      <c r="Y2013">
        <f t="shared" si="480"/>
        <v>0</v>
      </c>
      <c r="Z2013">
        <f t="shared" si="471"/>
        <v>0</v>
      </c>
      <c r="AA2013">
        <f t="shared" si="472"/>
        <v>0</v>
      </c>
      <c r="AB2013">
        <f t="shared" si="473"/>
        <v>0</v>
      </c>
      <c r="AC2013">
        <f t="shared" si="474"/>
        <v>0</v>
      </c>
      <c r="AD2013" s="1">
        <f t="shared" si="475"/>
        <v>0</v>
      </c>
      <c r="AE2013">
        <f t="shared" si="476"/>
        <v>0</v>
      </c>
      <c r="AF2013">
        <f t="shared" si="477"/>
        <v>0</v>
      </c>
      <c r="AG2013">
        <f t="shared" si="478"/>
        <v>0</v>
      </c>
    </row>
    <row r="2014" spans="1:33" x14ac:dyDescent="0.25">
      <c r="A2014" t="s">
        <v>3242</v>
      </c>
      <c r="B2014" t="s">
        <v>130</v>
      </c>
      <c r="C2014">
        <v>167796</v>
      </c>
      <c r="D2014">
        <v>167796</v>
      </c>
      <c r="E2014">
        <v>20</v>
      </c>
      <c r="F2014">
        <v>40</v>
      </c>
      <c r="G2014">
        <v>30</v>
      </c>
      <c r="O2014">
        <v>90</v>
      </c>
      <c r="S2014">
        <f t="shared" si="467"/>
        <v>5.625</v>
      </c>
      <c r="T2014">
        <f t="shared" si="468"/>
        <v>0</v>
      </c>
      <c r="U2014">
        <f t="shared" si="466"/>
        <v>1</v>
      </c>
      <c r="V2014">
        <f t="shared" si="469"/>
        <v>1</v>
      </c>
      <c r="W2014">
        <f t="shared" si="470"/>
        <v>0</v>
      </c>
      <c r="X2014">
        <f t="shared" si="479"/>
        <v>0</v>
      </c>
      <c r="Y2014">
        <f t="shared" si="480"/>
        <v>0</v>
      </c>
      <c r="Z2014">
        <f t="shared" si="471"/>
        <v>4</v>
      </c>
      <c r="AA2014">
        <f t="shared" si="472"/>
        <v>10</v>
      </c>
      <c r="AB2014">
        <f t="shared" si="473"/>
        <v>4.2857142857142856</v>
      </c>
      <c r="AC2014">
        <f t="shared" si="474"/>
        <v>0</v>
      </c>
      <c r="AD2014" s="1">
        <f t="shared" si="475"/>
        <v>0</v>
      </c>
      <c r="AE2014">
        <f t="shared" si="476"/>
        <v>0</v>
      </c>
      <c r="AF2014">
        <f t="shared" si="477"/>
        <v>0</v>
      </c>
      <c r="AG2014">
        <f t="shared" si="478"/>
        <v>0</v>
      </c>
    </row>
    <row r="2015" spans="1:33" x14ac:dyDescent="0.25">
      <c r="A2015" t="s">
        <v>3243</v>
      </c>
      <c r="B2015" t="s">
        <v>3244</v>
      </c>
      <c r="C2015">
        <v>166382</v>
      </c>
      <c r="D2015">
        <v>166382</v>
      </c>
      <c r="E2015">
        <v>20</v>
      </c>
      <c r="F2015">
        <v>10</v>
      </c>
      <c r="G2015">
        <v>30</v>
      </c>
      <c r="O2015">
        <v>60</v>
      </c>
      <c r="S2015">
        <f t="shared" si="467"/>
        <v>3.75</v>
      </c>
      <c r="T2015">
        <f t="shared" si="468"/>
        <v>0</v>
      </c>
      <c r="U2015">
        <f t="shared" si="466"/>
        <v>1</v>
      </c>
      <c r="V2015">
        <f t="shared" si="469"/>
        <v>1</v>
      </c>
      <c r="W2015">
        <f t="shared" si="470"/>
        <v>0</v>
      </c>
      <c r="X2015">
        <f t="shared" si="479"/>
        <v>0</v>
      </c>
      <c r="Y2015">
        <f t="shared" si="480"/>
        <v>0</v>
      </c>
      <c r="Z2015">
        <f t="shared" si="471"/>
        <v>4</v>
      </c>
      <c r="AA2015">
        <f t="shared" si="472"/>
        <v>2.5</v>
      </c>
      <c r="AB2015">
        <f t="shared" si="473"/>
        <v>4.2857142857142856</v>
      </c>
      <c r="AC2015">
        <f t="shared" si="474"/>
        <v>0</v>
      </c>
      <c r="AD2015" s="1">
        <f t="shared" si="475"/>
        <v>0</v>
      </c>
      <c r="AE2015">
        <f t="shared" si="476"/>
        <v>0</v>
      </c>
      <c r="AF2015">
        <f t="shared" si="477"/>
        <v>0</v>
      </c>
      <c r="AG2015">
        <f t="shared" si="478"/>
        <v>0</v>
      </c>
    </row>
    <row r="2016" spans="1:33" x14ac:dyDescent="0.25">
      <c r="A2016" t="s">
        <v>3245</v>
      </c>
      <c r="B2016" t="s">
        <v>166</v>
      </c>
      <c r="C2016">
        <v>168780</v>
      </c>
      <c r="D2016">
        <v>168780</v>
      </c>
      <c r="H2016">
        <v>0</v>
      </c>
      <c r="I2016">
        <v>40</v>
      </c>
      <c r="J2016">
        <v>10</v>
      </c>
      <c r="M2016">
        <v>50</v>
      </c>
      <c r="R2016">
        <v>10</v>
      </c>
      <c r="S2016">
        <f t="shared" si="467"/>
        <v>0</v>
      </c>
      <c r="T2016">
        <f t="shared" si="468"/>
        <v>4.166666666666667</v>
      </c>
      <c r="U2016">
        <f t="shared" si="466"/>
        <v>1</v>
      </c>
      <c r="V2016">
        <f t="shared" si="469"/>
        <v>0</v>
      </c>
      <c r="W2016">
        <f t="shared" si="470"/>
        <v>1</v>
      </c>
      <c r="X2016">
        <f t="shared" si="479"/>
        <v>0</v>
      </c>
      <c r="Y2016">
        <f t="shared" si="480"/>
        <v>0</v>
      </c>
      <c r="Z2016">
        <f t="shared" si="471"/>
        <v>0</v>
      </c>
      <c r="AA2016">
        <f t="shared" si="472"/>
        <v>0</v>
      </c>
      <c r="AB2016">
        <f t="shared" si="473"/>
        <v>0</v>
      </c>
      <c r="AC2016">
        <f t="shared" si="474"/>
        <v>0</v>
      </c>
      <c r="AD2016" s="1">
        <f t="shared" si="475"/>
        <v>6.666666666666667</v>
      </c>
      <c r="AE2016">
        <f t="shared" si="476"/>
        <v>5</v>
      </c>
      <c r="AF2016">
        <f t="shared" si="477"/>
        <v>0</v>
      </c>
      <c r="AG2016">
        <f t="shared" si="478"/>
        <v>0</v>
      </c>
    </row>
    <row r="2017" spans="1:33" x14ac:dyDescent="0.25">
      <c r="A2017" t="s">
        <v>3246</v>
      </c>
      <c r="B2017" t="s">
        <v>3247</v>
      </c>
      <c r="C2017">
        <v>167640</v>
      </c>
      <c r="D2017">
        <v>167640</v>
      </c>
      <c r="H2017">
        <v>10</v>
      </c>
      <c r="I2017">
        <v>20</v>
      </c>
      <c r="J2017">
        <v>10</v>
      </c>
      <c r="K2017">
        <v>0</v>
      </c>
      <c r="L2017">
        <v>10</v>
      </c>
      <c r="M2017">
        <v>50</v>
      </c>
      <c r="S2017">
        <f t="shared" si="467"/>
        <v>0</v>
      </c>
      <c r="T2017">
        <f t="shared" si="468"/>
        <v>4.166666666666667</v>
      </c>
      <c r="U2017">
        <f t="shared" si="466"/>
        <v>1</v>
      </c>
      <c r="V2017">
        <f t="shared" si="469"/>
        <v>0</v>
      </c>
      <c r="W2017">
        <f t="shared" si="470"/>
        <v>1</v>
      </c>
      <c r="X2017">
        <f t="shared" si="479"/>
        <v>0</v>
      </c>
      <c r="Y2017">
        <f t="shared" si="480"/>
        <v>0</v>
      </c>
      <c r="Z2017">
        <f t="shared" si="471"/>
        <v>0</v>
      </c>
      <c r="AA2017">
        <f t="shared" si="472"/>
        <v>0</v>
      </c>
      <c r="AB2017">
        <f t="shared" si="473"/>
        <v>0</v>
      </c>
      <c r="AC2017">
        <f t="shared" si="474"/>
        <v>5</v>
      </c>
      <c r="AD2017" s="1">
        <f t="shared" si="475"/>
        <v>3.3333333333333335</v>
      </c>
      <c r="AE2017">
        <f t="shared" si="476"/>
        <v>5</v>
      </c>
      <c r="AF2017">
        <f t="shared" si="477"/>
        <v>0</v>
      </c>
      <c r="AG2017">
        <f t="shared" si="478"/>
        <v>10</v>
      </c>
    </row>
    <row r="2018" spans="1:33" x14ac:dyDescent="0.25">
      <c r="A2018" t="s">
        <v>3248</v>
      </c>
      <c r="B2018" t="s">
        <v>3249</v>
      </c>
      <c r="C2018">
        <v>161934</v>
      </c>
      <c r="D2018">
        <v>161934</v>
      </c>
      <c r="S2018">
        <f t="shared" si="467"/>
        <v>0</v>
      </c>
      <c r="T2018">
        <f t="shared" si="468"/>
        <v>0</v>
      </c>
      <c r="U2018">
        <f t="shared" si="466"/>
        <v>0</v>
      </c>
      <c r="V2018">
        <f t="shared" si="469"/>
        <v>0</v>
      </c>
      <c r="W2018">
        <f t="shared" si="470"/>
        <v>0</v>
      </c>
      <c r="X2018">
        <f t="shared" si="479"/>
        <v>0</v>
      </c>
      <c r="Y2018">
        <f t="shared" si="480"/>
        <v>0</v>
      </c>
      <c r="Z2018">
        <f t="shared" si="471"/>
        <v>0</v>
      </c>
      <c r="AA2018">
        <f t="shared" si="472"/>
        <v>0</v>
      </c>
      <c r="AB2018">
        <f t="shared" si="473"/>
        <v>0</v>
      </c>
      <c r="AC2018">
        <f t="shared" si="474"/>
        <v>0</v>
      </c>
      <c r="AD2018" s="1">
        <f t="shared" si="475"/>
        <v>0</v>
      </c>
      <c r="AE2018">
        <f t="shared" si="476"/>
        <v>0</v>
      </c>
      <c r="AF2018">
        <f t="shared" si="477"/>
        <v>0</v>
      </c>
      <c r="AG2018">
        <f t="shared" si="478"/>
        <v>0</v>
      </c>
    </row>
    <row r="2019" spans="1:33" x14ac:dyDescent="0.25">
      <c r="A2019" t="s">
        <v>3250</v>
      </c>
      <c r="B2019" t="s">
        <v>3251</v>
      </c>
      <c r="C2019">
        <v>165108</v>
      </c>
      <c r="D2019">
        <v>165108</v>
      </c>
      <c r="E2019">
        <v>40</v>
      </c>
      <c r="F2019">
        <v>10</v>
      </c>
      <c r="G2019">
        <v>40</v>
      </c>
      <c r="O2019">
        <v>90</v>
      </c>
      <c r="S2019">
        <f t="shared" si="467"/>
        <v>5.625</v>
      </c>
      <c r="T2019">
        <f t="shared" si="468"/>
        <v>0</v>
      </c>
      <c r="U2019">
        <f t="shared" si="466"/>
        <v>1</v>
      </c>
      <c r="V2019">
        <f t="shared" si="469"/>
        <v>1</v>
      </c>
      <c r="W2019">
        <f t="shared" si="470"/>
        <v>0</v>
      </c>
      <c r="X2019">
        <f t="shared" si="479"/>
        <v>0</v>
      </c>
      <c r="Y2019">
        <f t="shared" si="480"/>
        <v>0</v>
      </c>
      <c r="Z2019">
        <f t="shared" si="471"/>
        <v>8</v>
      </c>
      <c r="AA2019">
        <f t="shared" si="472"/>
        <v>2.5</v>
      </c>
      <c r="AB2019">
        <f t="shared" si="473"/>
        <v>5.7142857142857144</v>
      </c>
      <c r="AC2019">
        <f t="shared" si="474"/>
        <v>0</v>
      </c>
      <c r="AD2019" s="1">
        <f t="shared" si="475"/>
        <v>0</v>
      </c>
      <c r="AE2019">
        <f t="shared" si="476"/>
        <v>0</v>
      </c>
      <c r="AF2019">
        <f t="shared" si="477"/>
        <v>0</v>
      </c>
      <c r="AG2019">
        <f t="shared" si="478"/>
        <v>0</v>
      </c>
    </row>
    <row r="2020" spans="1:33" x14ac:dyDescent="0.25">
      <c r="A2020" t="s">
        <v>3252</v>
      </c>
      <c r="B2020" t="s">
        <v>808</v>
      </c>
      <c r="C2020">
        <v>168702</v>
      </c>
      <c r="D2020">
        <v>168702</v>
      </c>
      <c r="E2020">
        <v>50</v>
      </c>
      <c r="F2020">
        <v>30</v>
      </c>
      <c r="G2020">
        <v>50</v>
      </c>
      <c r="O2020">
        <v>130</v>
      </c>
      <c r="S2020">
        <f t="shared" si="467"/>
        <v>8.125</v>
      </c>
      <c r="T2020">
        <f t="shared" si="468"/>
        <v>0</v>
      </c>
      <c r="U2020">
        <f t="shared" si="466"/>
        <v>1</v>
      </c>
      <c r="V2020">
        <f t="shared" si="469"/>
        <v>1</v>
      </c>
      <c r="W2020">
        <f t="shared" si="470"/>
        <v>0</v>
      </c>
      <c r="X2020">
        <f t="shared" si="479"/>
        <v>1</v>
      </c>
      <c r="Y2020">
        <f t="shared" si="480"/>
        <v>0</v>
      </c>
      <c r="Z2020">
        <f t="shared" si="471"/>
        <v>10</v>
      </c>
      <c r="AA2020">
        <f t="shared" si="472"/>
        <v>7.5</v>
      </c>
      <c r="AB2020">
        <f t="shared" si="473"/>
        <v>7.1428571428571432</v>
      </c>
      <c r="AC2020">
        <f t="shared" si="474"/>
        <v>0</v>
      </c>
      <c r="AD2020" s="1">
        <f t="shared" si="475"/>
        <v>0</v>
      </c>
      <c r="AE2020">
        <f t="shared" si="476"/>
        <v>0</v>
      </c>
      <c r="AF2020">
        <f t="shared" si="477"/>
        <v>0</v>
      </c>
      <c r="AG2020">
        <f t="shared" si="478"/>
        <v>0</v>
      </c>
    </row>
    <row r="2021" spans="1:33" x14ac:dyDescent="0.25">
      <c r="A2021" t="s">
        <v>3253</v>
      </c>
      <c r="B2021" t="s">
        <v>3254</v>
      </c>
      <c r="C2021">
        <v>167801</v>
      </c>
      <c r="D2021">
        <v>167801</v>
      </c>
      <c r="E2021">
        <v>40</v>
      </c>
      <c r="F2021">
        <v>30</v>
      </c>
      <c r="G2021">
        <v>40</v>
      </c>
      <c r="O2021">
        <v>110</v>
      </c>
      <c r="S2021">
        <f t="shared" si="467"/>
        <v>6.875</v>
      </c>
      <c r="T2021">
        <f t="shared" si="468"/>
        <v>0</v>
      </c>
      <c r="U2021">
        <f t="shared" si="466"/>
        <v>1</v>
      </c>
      <c r="V2021">
        <f t="shared" si="469"/>
        <v>1</v>
      </c>
      <c r="W2021">
        <f t="shared" si="470"/>
        <v>0</v>
      </c>
      <c r="X2021">
        <f t="shared" si="479"/>
        <v>1</v>
      </c>
      <c r="Y2021">
        <f t="shared" si="480"/>
        <v>0</v>
      </c>
      <c r="Z2021">
        <f t="shared" si="471"/>
        <v>8</v>
      </c>
      <c r="AA2021">
        <f t="shared" si="472"/>
        <v>7.5</v>
      </c>
      <c r="AB2021">
        <f t="shared" si="473"/>
        <v>5.7142857142857144</v>
      </c>
      <c r="AC2021">
        <f t="shared" si="474"/>
        <v>0</v>
      </c>
      <c r="AD2021" s="1">
        <f t="shared" si="475"/>
        <v>0</v>
      </c>
      <c r="AE2021">
        <f t="shared" si="476"/>
        <v>0</v>
      </c>
      <c r="AF2021">
        <f t="shared" si="477"/>
        <v>0</v>
      </c>
      <c r="AG2021">
        <f t="shared" si="478"/>
        <v>0</v>
      </c>
    </row>
    <row r="2022" spans="1:33" x14ac:dyDescent="0.25">
      <c r="A2022" t="s">
        <v>3255</v>
      </c>
      <c r="B2022" t="s">
        <v>3256</v>
      </c>
      <c r="C2022">
        <v>165582</v>
      </c>
      <c r="D2022">
        <v>165582</v>
      </c>
      <c r="E2022">
        <v>10</v>
      </c>
      <c r="F2022">
        <v>30</v>
      </c>
      <c r="G2022">
        <v>10</v>
      </c>
      <c r="O2022">
        <v>50</v>
      </c>
      <c r="S2022">
        <f t="shared" si="467"/>
        <v>3.125</v>
      </c>
      <c r="T2022">
        <f t="shared" si="468"/>
        <v>0</v>
      </c>
      <c r="U2022">
        <f t="shared" si="466"/>
        <v>1</v>
      </c>
      <c r="V2022">
        <f t="shared" si="469"/>
        <v>1</v>
      </c>
      <c r="W2022">
        <f t="shared" si="470"/>
        <v>0</v>
      </c>
      <c r="X2022">
        <f t="shared" si="479"/>
        <v>0</v>
      </c>
      <c r="Y2022">
        <f t="shared" si="480"/>
        <v>0</v>
      </c>
      <c r="Z2022">
        <f t="shared" si="471"/>
        <v>2</v>
      </c>
      <c r="AA2022">
        <f t="shared" si="472"/>
        <v>7.5</v>
      </c>
      <c r="AB2022">
        <f t="shared" si="473"/>
        <v>1.4285714285714286</v>
      </c>
      <c r="AC2022">
        <f t="shared" si="474"/>
        <v>0</v>
      </c>
      <c r="AD2022" s="1">
        <f t="shared" si="475"/>
        <v>0</v>
      </c>
      <c r="AE2022">
        <f t="shared" si="476"/>
        <v>0</v>
      </c>
      <c r="AF2022">
        <f t="shared" si="477"/>
        <v>0</v>
      </c>
      <c r="AG2022">
        <f t="shared" si="478"/>
        <v>0</v>
      </c>
    </row>
    <row r="2023" spans="1:33" x14ac:dyDescent="0.25">
      <c r="A2023" t="s">
        <v>3257</v>
      </c>
      <c r="B2023" t="s">
        <v>3258</v>
      </c>
      <c r="C2023">
        <v>166406</v>
      </c>
      <c r="D2023">
        <v>166406</v>
      </c>
      <c r="E2023">
        <v>10</v>
      </c>
      <c r="F2023">
        <v>40</v>
      </c>
      <c r="G2023">
        <v>50</v>
      </c>
      <c r="O2023">
        <v>100</v>
      </c>
      <c r="S2023">
        <f t="shared" si="467"/>
        <v>6.25</v>
      </c>
      <c r="T2023">
        <f t="shared" si="468"/>
        <v>0</v>
      </c>
      <c r="U2023">
        <f t="shared" si="466"/>
        <v>1</v>
      </c>
      <c r="V2023">
        <f t="shared" si="469"/>
        <v>1</v>
      </c>
      <c r="W2023">
        <f t="shared" si="470"/>
        <v>0</v>
      </c>
      <c r="X2023">
        <f t="shared" si="479"/>
        <v>1</v>
      </c>
      <c r="Y2023">
        <f t="shared" si="480"/>
        <v>0</v>
      </c>
      <c r="Z2023">
        <f t="shared" si="471"/>
        <v>2</v>
      </c>
      <c r="AA2023">
        <f t="shared" si="472"/>
        <v>10</v>
      </c>
      <c r="AB2023">
        <f t="shared" si="473"/>
        <v>7.1428571428571432</v>
      </c>
      <c r="AC2023">
        <f t="shared" si="474"/>
        <v>0</v>
      </c>
      <c r="AD2023" s="1">
        <f t="shared" si="475"/>
        <v>0</v>
      </c>
      <c r="AE2023">
        <f t="shared" si="476"/>
        <v>0</v>
      </c>
      <c r="AF2023">
        <f t="shared" si="477"/>
        <v>0</v>
      </c>
      <c r="AG2023">
        <f t="shared" si="478"/>
        <v>0</v>
      </c>
    </row>
    <row r="2024" spans="1:33" x14ac:dyDescent="0.25">
      <c r="A2024" t="s">
        <v>3259</v>
      </c>
      <c r="B2024" t="s">
        <v>467</v>
      </c>
      <c r="C2024">
        <v>168582</v>
      </c>
      <c r="D2024">
        <v>168582</v>
      </c>
      <c r="H2024">
        <v>10</v>
      </c>
      <c r="I2024">
        <v>40</v>
      </c>
      <c r="J2024">
        <v>20</v>
      </c>
      <c r="K2024">
        <v>10</v>
      </c>
      <c r="L2024">
        <v>10</v>
      </c>
      <c r="M2024">
        <v>90</v>
      </c>
      <c r="S2024">
        <f t="shared" si="467"/>
        <v>0</v>
      </c>
      <c r="T2024">
        <f t="shared" si="468"/>
        <v>7.5</v>
      </c>
      <c r="U2024">
        <f t="shared" si="466"/>
        <v>1</v>
      </c>
      <c r="V2024">
        <f t="shared" si="469"/>
        <v>0</v>
      </c>
      <c r="W2024">
        <f t="shared" si="470"/>
        <v>1</v>
      </c>
      <c r="X2024">
        <f t="shared" si="479"/>
        <v>0</v>
      </c>
      <c r="Y2024">
        <f t="shared" si="480"/>
        <v>1</v>
      </c>
      <c r="Z2024">
        <f t="shared" si="471"/>
        <v>0</v>
      </c>
      <c r="AA2024">
        <f t="shared" si="472"/>
        <v>0</v>
      </c>
      <c r="AB2024">
        <f t="shared" si="473"/>
        <v>0</v>
      </c>
      <c r="AC2024">
        <f t="shared" si="474"/>
        <v>5</v>
      </c>
      <c r="AD2024" s="1">
        <f t="shared" si="475"/>
        <v>6.666666666666667</v>
      </c>
      <c r="AE2024">
        <f t="shared" si="476"/>
        <v>10</v>
      </c>
      <c r="AF2024">
        <f t="shared" si="477"/>
        <v>10</v>
      </c>
      <c r="AG2024">
        <f t="shared" si="478"/>
        <v>10</v>
      </c>
    </row>
    <row r="2025" spans="1:33" x14ac:dyDescent="0.25">
      <c r="A2025" t="s">
        <v>3260</v>
      </c>
      <c r="B2025" t="s">
        <v>43</v>
      </c>
      <c r="C2025">
        <v>166391</v>
      </c>
      <c r="D2025">
        <v>166391</v>
      </c>
      <c r="E2025">
        <v>50</v>
      </c>
      <c r="F2025">
        <v>20</v>
      </c>
      <c r="G2025">
        <v>30</v>
      </c>
      <c r="O2025">
        <v>100</v>
      </c>
      <c r="S2025">
        <f t="shared" si="467"/>
        <v>6.25</v>
      </c>
      <c r="T2025">
        <f t="shared" si="468"/>
        <v>0</v>
      </c>
      <c r="U2025">
        <f t="shared" si="466"/>
        <v>1</v>
      </c>
      <c r="V2025">
        <f t="shared" si="469"/>
        <v>1</v>
      </c>
      <c r="W2025">
        <f t="shared" si="470"/>
        <v>0</v>
      </c>
      <c r="X2025">
        <f t="shared" si="479"/>
        <v>1</v>
      </c>
      <c r="Y2025">
        <f t="shared" si="480"/>
        <v>0</v>
      </c>
      <c r="Z2025">
        <f t="shared" si="471"/>
        <v>10</v>
      </c>
      <c r="AA2025">
        <f t="shared" si="472"/>
        <v>5</v>
      </c>
      <c r="AB2025">
        <f t="shared" si="473"/>
        <v>4.2857142857142856</v>
      </c>
      <c r="AC2025">
        <f t="shared" si="474"/>
        <v>0</v>
      </c>
      <c r="AD2025" s="1">
        <f t="shared" si="475"/>
        <v>0</v>
      </c>
      <c r="AE2025">
        <f t="shared" si="476"/>
        <v>0</v>
      </c>
      <c r="AF2025">
        <f t="shared" si="477"/>
        <v>0</v>
      </c>
      <c r="AG2025">
        <f t="shared" si="478"/>
        <v>0</v>
      </c>
    </row>
    <row r="2026" spans="1:33" x14ac:dyDescent="0.25">
      <c r="A2026" t="s">
        <v>3261</v>
      </c>
      <c r="B2026" t="s">
        <v>3262</v>
      </c>
      <c r="C2026">
        <v>166209</v>
      </c>
      <c r="D2026">
        <v>166209</v>
      </c>
      <c r="E2026">
        <v>30</v>
      </c>
      <c r="F2026">
        <v>20</v>
      </c>
      <c r="G2026">
        <v>30</v>
      </c>
      <c r="O2026">
        <v>80</v>
      </c>
      <c r="R2026" t="s">
        <v>20</v>
      </c>
      <c r="S2026">
        <f t="shared" si="467"/>
        <v>5</v>
      </c>
      <c r="T2026">
        <f t="shared" si="468"/>
        <v>0</v>
      </c>
      <c r="U2026">
        <f t="shared" si="466"/>
        <v>1</v>
      </c>
      <c r="V2026">
        <f t="shared" si="469"/>
        <v>1</v>
      </c>
      <c r="W2026">
        <f t="shared" si="470"/>
        <v>0</v>
      </c>
      <c r="X2026">
        <f t="shared" si="479"/>
        <v>0</v>
      </c>
      <c r="Y2026">
        <f t="shared" si="480"/>
        <v>0</v>
      </c>
      <c r="Z2026">
        <f t="shared" si="471"/>
        <v>6</v>
      </c>
      <c r="AA2026">
        <f t="shared" si="472"/>
        <v>5</v>
      </c>
      <c r="AB2026">
        <f t="shared" si="473"/>
        <v>4.2857142857142856</v>
      </c>
      <c r="AC2026">
        <f t="shared" si="474"/>
        <v>0</v>
      </c>
      <c r="AD2026" s="1">
        <f t="shared" si="475"/>
        <v>0</v>
      </c>
      <c r="AE2026">
        <f t="shared" si="476"/>
        <v>0</v>
      </c>
      <c r="AF2026">
        <f t="shared" si="477"/>
        <v>0</v>
      </c>
      <c r="AG2026">
        <f t="shared" si="478"/>
        <v>0</v>
      </c>
    </row>
    <row r="2027" spans="1:33" x14ac:dyDescent="0.25">
      <c r="A2027" t="s">
        <v>3263</v>
      </c>
      <c r="B2027" t="s">
        <v>3264</v>
      </c>
      <c r="C2027">
        <v>168763</v>
      </c>
      <c r="D2027">
        <v>168763</v>
      </c>
      <c r="S2027">
        <f t="shared" si="467"/>
        <v>0</v>
      </c>
      <c r="T2027">
        <f t="shared" si="468"/>
        <v>0</v>
      </c>
      <c r="U2027">
        <f t="shared" si="466"/>
        <v>0</v>
      </c>
      <c r="V2027">
        <f t="shared" si="469"/>
        <v>0</v>
      </c>
      <c r="W2027">
        <f t="shared" si="470"/>
        <v>0</v>
      </c>
      <c r="X2027">
        <f t="shared" si="479"/>
        <v>0</v>
      </c>
      <c r="Y2027">
        <f t="shared" si="480"/>
        <v>0</v>
      </c>
      <c r="Z2027">
        <f t="shared" si="471"/>
        <v>0</v>
      </c>
      <c r="AA2027">
        <f t="shared" si="472"/>
        <v>0</v>
      </c>
      <c r="AB2027">
        <f t="shared" si="473"/>
        <v>0</v>
      </c>
      <c r="AC2027">
        <f t="shared" si="474"/>
        <v>0</v>
      </c>
      <c r="AD2027" s="1">
        <f t="shared" si="475"/>
        <v>0</v>
      </c>
      <c r="AE2027">
        <f t="shared" si="476"/>
        <v>0</v>
      </c>
      <c r="AF2027">
        <f t="shared" si="477"/>
        <v>0</v>
      </c>
      <c r="AG2027">
        <f t="shared" si="478"/>
        <v>0</v>
      </c>
    </row>
    <row r="2028" spans="1:33" x14ac:dyDescent="0.25">
      <c r="A2028" t="s">
        <v>3265</v>
      </c>
      <c r="B2028" t="s">
        <v>197</v>
      </c>
      <c r="C2028">
        <v>168237</v>
      </c>
      <c r="D2028">
        <v>168237</v>
      </c>
      <c r="H2028">
        <v>10</v>
      </c>
      <c r="I2028">
        <v>40</v>
      </c>
      <c r="J2028">
        <v>10</v>
      </c>
      <c r="K2028">
        <v>10</v>
      </c>
      <c r="L2028">
        <v>10</v>
      </c>
      <c r="M2028">
        <v>80</v>
      </c>
      <c r="S2028">
        <f t="shared" si="467"/>
        <v>0</v>
      </c>
      <c r="T2028">
        <f t="shared" si="468"/>
        <v>6.666666666666667</v>
      </c>
      <c r="U2028">
        <f t="shared" si="466"/>
        <v>1</v>
      </c>
      <c r="V2028">
        <f t="shared" si="469"/>
        <v>0</v>
      </c>
      <c r="W2028">
        <f t="shared" si="470"/>
        <v>1</v>
      </c>
      <c r="X2028">
        <f t="shared" si="479"/>
        <v>0</v>
      </c>
      <c r="Y2028">
        <f t="shared" si="480"/>
        <v>1</v>
      </c>
      <c r="Z2028">
        <f t="shared" si="471"/>
        <v>0</v>
      </c>
      <c r="AA2028">
        <f t="shared" si="472"/>
        <v>0</v>
      </c>
      <c r="AB2028">
        <f t="shared" si="473"/>
        <v>0</v>
      </c>
      <c r="AC2028">
        <f t="shared" si="474"/>
        <v>5</v>
      </c>
      <c r="AD2028" s="1">
        <f t="shared" si="475"/>
        <v>6.666666666666667</v>
      </c>
      <c r="AE2028">
        <f t="shared" si="476"/>
        <v>5</v>
      </c>
      <c r="AF2028">
        <f t="shared" si="477"/>
        <v>10</v>
      </c>
      <c r="AG2028">
        <f t="shared" si="478"/>
        <v>10</v>
      </c>
    </row>
    <row r="2029" spans="1:33" x14ac:dyDescent="0.25">
      <c r="A2029" t="s">
        <v>3266</v>
      </c>
      <c r="B2029" t="s">
        <v>346</v>
      </c>
      <c r="C2029" t="s">
        <v>3267</v>
      </c>
      <c r="D2029" t="s">
        <v>3268</v>
      </c>
      <c r="H2029">
        <v>10</v>
      </c>
      <c r="I2029">
        <v>10</v>
      </c>
      <c r="J2029">
        <v>20</v>
      </c>
      <c r="K2029">
        <v>0</v>
      </c>
      <c r="L2029">
        <v>10</v>
      </c>
      <c r="M2029">
        <v>50</v>
      </c>
      <c r="S2029">
        <f t="shared" si="467"/>
        <v>0</v>
      </c>
      <c r="T2029">
        <f t="shared" si="468"/>
        <v>4.166666666666667</v>
      </c>
      <c r="U2029">
        <f t="shared" si="466"/>
        <v>1</v>
      </c>
      <c r="V2029">
        <f t="shared" si="469"/>
        <v>0</v>
      </c>
      <c r="W2029">
        <f t="shared" si="470"/>
        <v>1</v>
      </c>
      <c r="X2029">
        <f t="shared" si="479"/>
        <v>0</v>
      </c>
      <c r="Y2029">
        <f t="shared" si="480"/>
        <v>0</v>
      </c>
      <c r="Z2029">
        <f t="shared" si="471"/>
        <v>0</v>
      </c>
      <c r="AA2029">
        <f t="shared" si="472"/>
        <v>0</v>
      </c>
      <c r="AB2029">
        <f t="shared" si="473"/>
        <v>0</v>
      </c>
      <c r="AC2029">
        <f t="shared" si="474"/>
        <v>5</v>
      </c>
      <c r="AD2029" s="1">
        <f t="shared" si="475"/>
        <v>1.6666666666666667</v>
      </c>
      <c r="AE2029">
        <f t="shared" si="476"/>
        <v>10</v>
      </c>
      <c r="AF2029">
        <f t="shared" si="477"/>
        <v>0</v>
      </c>
      <c r="AG2029">
        <f t="shared" si="478"/>
        <v>10</v>
      </c>
    </row>
    <row r="2030" spans="1:33" x14ac:dyDescent="0.25">
      <c r="A2030" t="s">
        <v>3269</v>
      </c>
      <c r="B2030" t="s">
        <v>3270</v>
      </c>
      <c r="C2030">
        <v>165937</v>
      </c>
      <c r="D2030">
        <v>165937</v>
      </c>
      <c r="H2030">
        <v>20</v>
      </c>
      <c r="I2030">
        <v>50</v>
      </c>
      <c r="J2030">
        <v>10</v>
      </c>
      <c r="K2030">
        <v>10</v>
      </c>
      <c r="L2030">
        <v>10</v>
      </c>
      <c r="M2030">
        <v>100</v>
      </c>
      <c r="S2030">
        <f t="shared" si="467"/>
        <v>0</v>
      </c>
      <c r="T2030">
        <f t="shared" si="468"/>
        <v>8.3333333333333339</v>
      </c>
      <c r="U2030">
        <f t="shared" si="466"/>
        <v>1</v>
      </c>
      <c r="V2030">
        <f t="shared" si="469"/>
        <v>0</v>
      </c>
      <c r="W2030">
        <f t="shared" si="470"/>
        <v>1</v>
      </c>
      <c r="X2030">
        <f t="shared" si="479"/>
        <v>0</v>
      </c>
      <c r="Y2030">
        <f t="shared" si="480"/>
        <v>1</v>
      </c>
      <c r="Z2030">
        <f t="shared" si="471"/>
        <v>0</v>
      </c>
      <c r="AA2030">
        <f t="shared" si="472"/>
        <v>0</v>
      </c>
      <c r="AB2030">
        <f t="shared" si="473"/>
        <v>0</v>
      </c>
      <c r="AC2030">
        <f t="shared" si="474"/>
        <v>10</v>
      </c>
      <c r="AD2030" s="1">
        <f t="shared" si="475"/>
        <v>8.3333333333333339</v>
      </c>
      <c r="AE2030">
        <f t="shared" si="476"/>
        <v>5</v>
      </c>
      <c r="AF2030">
        <f t="shared" si="477"/>
        <v>10</v>
      </c>
      <c r="AG2030">
        <f t="shared" si="478"/>
        <v>10</v>
      </c>
    </row>
    <row r="2031" spans="1:33" x14ac:dyDescent="0.25">
      <c r="A2031" t="s">
        <v>3271</v>
      </c>
      <c r="B2031" t="s">
        <v>199</v>
      </c>
      <c r="C2031">
        <v>165272</v>
      </c>
      <c r="D2031">
        <v>165272</v>
      </c>
      <c r="E2031">
        <v>40</v>
      </c>
      <c r="F2031">
        <v>40</v>
      </c>
      <c r="G2031">
        <v>20</v>
      </c>
      <c r="O2031">
        <v>100</v>
      </c>
      <c r="S2031">
        <f t="shared" si="467"/>
        <v>6.25</v>
      </c>
      <c r="T2031">
        <f t="shared" si="468"/>
        <v>0</v>
      </c>
      <c r="U2031">
        <f t="shared" si="466"/>
        <v>1</v>
      </c>
      <c r="V2031">
        <f t="shared" si="469"/>
        <v>1</v>
      </c>
      <c r="W2031">
        <f t="shared" si="470"/>
        <v>0</v>
      </c>
      <c r="X2031">
        <f t="shared" si="479"/>
        <v>1</v>
      </c>
      <c r="Y2031">
        <f t="shared" si="480"/>
        <v>0</v>
      </c>
      <c r="Z2031">
        <f t="shared" si="471"/>
        <v>8</v>
      </c>
      <c r="AA2031">
        <f t="shared" si="472"/>
        <v>10</v>
      </c>
      <c r="AB2031">
        <f t="shared" si="473"/>
        <v>2.8571428571428572</v>
      </c>
      <c r="AC2031">
        <f t="shared" si="474"/>
        <v>0</v>
      </c>
      <c r="AD2031" s="1">
        <f t="shared" si="475"/>
        <v>0</v>
      </c>
      <c r="AE2031">
        <f t="shared" si="476"/>
        <v>0</v>
      </c>
      <c r="AF2031">
        <f t="shared" si="477"/>
        <v>0</v>
      </c>
      <c r="AG2031">
        <f t="shared" si="478"/>
        <v>0</v>
      </c>
    </row>
    <row r="2032" spans="1:33" x14ac:dyDescent="0.25">
      <c r="A2032" t="s">
        <v>3272</v>
      </c>
      <c r="B2032" t="s">
        <v>759</v>
      </c>
      <c r="C2032">
        <v>167469</v>
      </c>
      <c r="D2032">
        <v>167469</v>
      </c>
      <c r="E2032">
        <v>30</v>
      </c>
      <c r="F2032">
        <v>20</v>
      </c>
      <c r="G2032">
        <v>10</v>
      </c>
      <c r="O2032">
        <v>60</v>
      </c>
      <c r="S2032">
        <f t="shared" si="467"/>
        <v>3.75</v>
      </c>
      <c r="T2032">
        <f t="shared" si="468"/>
        <v>0</v>
      </c>
      <c r="U2032">
        <f t="shared" si="466"/>
        <v>1</v>
      </c>
      <c r="V2032">
        <f t="shared" si="469"/>
        <v>1</v>
      </c>
      <c r="W2032">
        <f t="shared" si="470"/>
        <v>0</v>
      </c>
      <c r="X2032">
        <f t="shared" si="479"/>
        <v>0</v>
      </c>
      <c r="Y2032">
        <f t="shared" si="480"/>
        <v>0</v>
      </c>
      <c r="Z2032">
        <f t="shared" si="471"/>
        <v>6</v>
      </c>
      <c r="AA2032">
        <f t="shared" si="472"/>
        <v>5</v>
      </c>
      <c r="AB2032">
        <f t="shared" si="473"/>
        <v>1.4285714285714286</v>
      </c>
      <c r="AC2032">
        <f t="shared" si="474"/>
        <v>0</v>
      </c>
      <c r="AD2032" s="1">
        <f t="shared" si="475"/>
        <v>0</v>
      </c>
      <c r="AE2032">
        <f t="shared" si="476"/>
        <v>0</v>
      </c>
      <c r="AF2032">
        <f t="shared" si="477"/>
        <v>0</v>
      </c>
      <c r="AG2032">
        <f t="shared" si="478"/>
        <v>0</v>
      </c>
    </row>
    <row r="2033" spans="1:33" x14ac:dyDescent="0.25">
      <c r="A2033" t="s">
        <v>3273</v>
      </c>
      <c r="B2033" t="s">
        <v>982</v>
      </c>
      <c r="C2033">
        <v>167529</v>
      </c>
      <c r="D2033">
        <v>167529</v>
      </c>
      <c r="E2033">
        <v>50</v>
      </c>
      <c r="F2033">
        <v>20</v>
      </c>
      <c r="G2033">
        <v>40</v>
      </c>
      <c r="O2033">
        <v>110</v>
      </c>
      <c r="S2033">
        <f t="shared" si="467"/>
        <v>6.875</v>
      </c>
      <c r="T2033">
        <f t="shared" si="468"/>
        <v>0</v>
      </c>
      <c r="U2033">
        <f t="shared" si="466"/>
        <v>1</v>
      </c>
      <c r="V2033">
        <f t="shared" si="469"/>
        <v>1</v>
      </c>
      <c r="W2033">
        <f t="shared" si="470"/>
        <v>0</v>
      </c>
      <c r="X2033">
        <f t="shared" si="479"/>
        <v>1</v>
      </c>
      <c r="Y2033">
        <f t="shared" si="480"/>
        <v>0</v>
      </c>
      <c r="Z2033">
        <f t="shared" si="471"/>
        <v>10</v>
      </c>
      <c r="AA2033">
        <f t="shared" si="472"/>
        <v>5</v>
      </c>
      <c r="AB2033">
        <f t="shared" si="473"/>
        <v>5.7142857142857144</v>
      </c>
      <c r="AC2033">
        <f t="shared" si="474"/>
        <v>0</v>
      </c>
      <c r="AD2033" s="1">
        <f t="shared" si="475"/>
        <v>0</v>
      </c>
      <c r="AE2033">
        <f t="shared" si="476"/>
        <v>0</v>
      </c>
      <c r="AF2033">
        <f t="shared" si="477"/>
        <v>0</v>
      </c>
      <c r="AG2033">
        <f t="shared" si="478"/>
        <v>0</v>
      </c>
    </row>
    <row r="2034" spans="1:33" x14ac:dyDescent="0.25">
      <c r="A2034" t="s">
        <v>3274</v>
      </c>
      <c r="B2034" t="s">
        <v>1219</v>
      </c>
      <c r="C2034">
        <v>159219</v>
      </c>
      <c r="D2034">
        <v>159219</v>
      </c>
      <c r="S2034">
        <f t="shared" si="467"/>
        <v>0</v>
      </c>
      <c r="T2034">
        <f t="shared" si="468"/>
        <v>0</v>
      </c>
      <c r="U2034">
        <f t="shared" si="466"/>
        <v>0</v>
      </c>
      <c r="V2034">
        <f t="shared" si="469"/>
        <v>0</v>
      </c>
      <c r="W2034">
        <f t="shared" si="470"/>
        <v>0</v>
      </c>
      <c r="X2034">
        <f t="shared" si="479"/>
        <v>0</v>
      </c>
      <c r="Y2034">
        <f t="shared" si="480"/>
        <v>0</v>
      </c>
      <c r="Z2034">
        <f t="shared" si="471"/>
        <v>0</v>
      </c>
      <c r="AA2034">
        <f t="shared" si="472"/>
        <v>0</v>
      </c>
      <c r="AB2034">
        <f t="shared" si="473"/>
        <v>0</v>
      </c>
      <c r="AC2034">
        <f t="shared" si="474"/>
        <v>0</v>
      </c>
      <c r="AD2034" s="1">
        <f t="shared" si="475"/>
        <v>0</v>
      </c>
      <c r="AE2034">
        <f t="shared" si="476"/>
        <v>0</v>
      </c>
      <c r="AF2034">
        <f t="shared" si="477"/>
        <v>0</v>
      </c>
      <c r="AG2034">
        <f t="shared" si="478"/>
        <v>0</v>
      </c>
    </row>
    <row r="2035" spans="1:33" x14ac:dyDescent="0.25">
      <c r="A2035" t="s">
        <v>3275</v>
      </c>
      <c r="B2035" t="s">
        <v>93</v>
      </c>
      <c r="C2035">
        <v>166110</v>
      </c>
      <c r="D2035">
        <v>166110</v>
      </c>
      <c r="H2035">
        <v>10</v>
      </c>
      <c r="I2035">
        <v>30</v>
      </c>
      <c r="J2035">
        <v>10</v>
      </c>
      <c r="K2035">
        <v>10</v>
      </c>
      <c r="L2035">
        <v>10</v>
      </c>
      <c r="M2035">
        <v>70</v>
      </c>
      <c r="S2035">
        <f t="shared" si="467"/>
        <v>0</v>
      </c>
      <c r="T2035">
        <f t="shared" si="468"/>
        <v>5.833333333333333</v>
      </c>
      <c r="U2035">
        <f t="shared" si="466"/>
        <v>1</v>
      </c>
      <c r="V2035">
        <f t="shared" si="469"/>
        <v>0</v>
      </c>
      <c r="W2035">
        <f t="shared" si="470"/>
        <v>1</v>
      </c>
      <c r="X2035">
        <f t="shared" si="479"/>
        <v>0</v>
      </c>
      <c r="Y2035">
        <f t="shared" si="480"/>
        <v>0</v>
      </c>
      <c r="Z2035">
        <f t="shared" si="471"/>
        <v>0</v>
      </c>
      <c r="AA2035">
        <f t="shared" si="472"/>
        <v>0</v>
      </c>
      <c r="AB2035">
        <f t="shared" si="473"/>
        <v>0</v>
      </c>
      <c r="AC2035">
        <f t="shared" si="474"/>
        <v>5</v>
      </c>
      <c r="AD2035" s="1">
        <f t="shared" si="475"/>
        <v>5</v>
      </c>
      <c r="AE2035">
        <f t="shared" si="476"/>
        <v>5</v>
      </c>
      <c r="AF2035">
        <f t="shared" si="477"/>
        <v>10</v>
      </c>
      <c r="AG2035">
        <f t="shared" si="478"/>
        <v>10</v>
      </c>
    </row>
    <row r="2036" spans="1:33" x14ac:dyDescent="0.25">
      <c r="A2036" t="s">
        <v>3276</v>
      </c>
      <c r="B2036" t="s">
        <v>1902</v>
      </c>
      <c r="C2036">
        <v>165516</v>
      </c>
      <c r="D2036">
        <v>165516</v>
      </c>
      <c r="E2036">
        <v>10</v>
      </c>
      <c r="F2036">
        <v>40</v>
      </c>
      <c r="G2036">
        <v>30</v>
      </c>
      <c r="O2036">
        <v>80</v>
      </c>
      <c r="S2036">
        <f t="shared" si="467"/>
        <v>5</v>
      </c>
      <c r="T2036">
        <f t="shared" si="468"/>
        <v>0</v>
      </c>
      <c r="U2036">
        <f t="shared" si="466"/>
        <v>1</v>
      </c>
      <c r="V2036">
        <f t="shared" si="469"/>
        <v>1</v>
      </c>
      <c r="W2036">
        <f t="shared" si="470"/>
        <v>0</v>
      </c>
      <c r="X2036">
        <f t="shared" si="479"/>
        <v>0</v>
      </c>
      <c r="Y2036">
        <f t="shared" si="480"/>
        <v>0</v>
      </c>
      <c r="Z2036">
        <f t="shared" si="471"/>
        <v>2</v>
      </c>
      <c r="AA2036">
        <f t="shared" si="472"/>
        <v>10</v>
      </c>
      <c r="AB2036">
        <f t="shared" si="473"/>
        <v>4.2857142857142856</v>
      </c>
      <c r="AC2036">
        <f t="shared" si="474"/>
        <v>0</v>
      </c>
      <c r="AD2036" s="1">
        <f t="shared" si="475"/>
        <v>0</v>
      </c>
      <c r="AE2036">
        <f t="shared" si="476"/>
        <v>0</v>
      </c>
      <c r="AF2036">
        <f t="shared" si="477"/>
        <v>0</v>
      </c>
      <c r="AG2036">
        <f t="shared" si="478"/>
        <v>0</v>
      </c>
    </row>
    <row r="2037" spans="1:33" x14ac:dyDescent="0.25">
      <c r="A2037" t="s">
        <v>3277</v>
      </c>
      <c r="B2037" t="s">
        <v>3278</v>
      </c>
      <c r="C2037">
        <v>166778</v>
      </c>
      <c r="D2037">
        <v>166778</v>
      </c>
      <c r="H2037">
        <v>10</v>
      </c>
      <c r="I2037">
        <v>10</v>
      </c>
      <c r="J2037">
        <v>10</v>
      </c>
      <c r="K2037">
        <v>10</v>
      </c>
      <c r="L2037">
        <v>0</v>
      </c>
      <c r="M2037">
        <v>40</v>
      </c>
      <c r="S2037">
        <f t="shared" si="467"/>
        <v>0</v>
      </c>
      <c r="T2037">
        <f t="shared" si="468"/>
        <v>3.3333333333333335</v>
      </c>
      <c r="U2037">
        <f t="shared" si="466"/>
        <v>1</v>
      </c>
      <c r="V2037">
        <f t="shared" si="469"/>
        <v>0</v>
      </c>
      <c r="W2037">
        <f t="shared" si="470"/>
        <v>1</v>
      </c>
      <c r="X2037">
        <f t="shared" si="479"/>
        <v>0</v>
      </c>
      <c r="Y2037">
        <f t="shared" si="480"/>
        <v>0</v>
      </c>
      <c r="Z2037">
        <f t="shared" si="471"/>
        <v>0</v>
      </c>
      <c r="AA2037">
        <f t="shared" si="472"/>
        <v>0</v>
      </c>
      <c r="AB2037">
        <f t="shared" si="473"/>
        <v>0</v>
      </c>
      <c r="AC2037">
        <f t="shared" si="474"/>
        <v>5</v>
      </c>
      <c r="AD2037" s="1">
        <f t="shared" si="475"/>
        <v>1.6666666666666667</v>
      </c>
      <c r="AE2037">
        <f t="shared" si="476"/>
        <v>5</v>
      </c>
      <c r="AF2037">
        <f t="shared" si="477"/>
        <v>10</v>
      </c>
      <c r="AG2037">
        <f t="shared" si="478"/>
        <v>0</v>
      </c>
    </row>
    <row r="2038" spans="1:33" x14ac:dyDescent="0.25">
      <c r="A2038" t="s">
        <v>3279</v>
      </c>
      <c r="B2038" t="s">
        <v>3280</v>
      </c>
      <c r="C2038">
        <v>168165</v>
      </c>
      <c r="D2038">
        <v>168165</v>
      </c>
      <c r="H2038">
        <v>0</v>
      </c>
      <c r="I2038">
        <v>40</v>
      </c>
      <c r="J2038">
        <v>20</v>
      </c>
      <c r="K2038">
        <v>0</v>
      </c>
      <c r="L2038">
        <v>10</v>
      </c>
      <c r="M2038">
        <v>70</v>
      </c>
      <c r="S2038">
        <f t="shared" si="467"/>
        <v>0</v>
      </c>
      <c r="T2038">
        <f t="shared" si="468"/>
        <v>5.833333333333333</v>
      </c>
      <c r="U2038">
        <f t="shared" si="466"/>
        <v>1</v>
      </c>
      <c r="V2038">
        <f t="shared" si="469"/>
        <v>0</v>
      </c>
      <c r="W2038">
        <f t="shared" si="470"/>
        <v>1</v>
      </c>
      <c r="X2038">
        <f t="shared" si="479"/>
        <v>0</v>
      </c>
      <c r="Y2038">
        <f t="shared" si="480"/>
        <v>0</v>
      </c>
      <c r="Z2038">
        <f t="shared" si="471"/>
        <v>0</v>
      </c>
      <c r="AA2038">
        <f t="shared" si="472"/>
        <v>0</v>
      </c>
      <c r="AB2038">
        <f t="shared" si="473"/>
        <v>0</v>
      </c>
      <c r="AC2038">
        <f t="shared" si="474"/>
        <v>0</v>
      </c>
      <c r="AD2038" s="1">
        <f t="shared" si="475"/>
        <v>6.666666666666667</v>
      </c>
      <c r="AE2038">
        <f t="shared" si="476"/>
        <v>10</v>
      </c>
      <c r="AF2038">
        <f t="shared" si="477"/>
        <v>0</v>
      </c>
      <c r="AG2038">
        <f t="shared" si="478"/>
        <v>10</v>
      </c>
    </row>
    <row r="2039" spans="1:33" x14ac:dyDescent="0.25">
      <c r="A2039" t="s">
        <v>3281</v>
      </c>
      <c r="B2039" t="s">
        <v>3282</v>
      </c>
      <c r="C2039">
        <v>167171</v>
      </c>
      <c r="D2039">
        <v>167171</v>
      </c>
      <c r="E2039">
        <v>10</v>
      </c>
      <c r="F2039">
        <v>0</v>
      </c>
      <c r="G2039">
        <v>20</v>
      </c>
      <c r="O2039">
        <v>30</v>
      </c>
      <c r="S2039">
        <f t="shared" si="467"/>
        <v>1.875</v>
      </c>
      <c r="T2039">
        <f t="shared" si="468"/>
        <v>0</v>
      </c>
      <c r="U2039">
        <f t="shared" si="466"/>
        <v>1</v>
      </c>
      <c r="V2039">
        <f t="shared" si="469"/>
        <v>1</v>
      </c>
      <c r="W2039">
        <f t="shared" si="470"/>
        <v>0</v>
      </c>
      <c r="X2039">
        <f t="shared" si="479"/>
        <v>0</v>
      </c>
      <c r="Y2039">
        <f t="shared" si="480"/>
        <v>0</v>
      </c>
      <c r="Z2039">
        <f t="shared" si="471"/>
        <v>2</v>
      </c>
      <c r="AA2039">
        <f t="shared" si="472"/>
        <v>0</v>
      </c>
      <c r="AB2039">
        <f t="shared" si="473"/>
        <v>2.8571428571428572</v>
      </c>
      <c r="AC2039">
        <f t="shared" si="474"/>
        <v>0</v>
      </c>
      <c r="AD2039" s="1">
        <f t="shared" si="475"/>
        <v>0</v>
      </c>
      <c r="AE2039">
        <f t="shared" si="476"/>
        <v>0</v>
      </c>
      <c r="AF2039">
        <f t="shared" si="477"/>
        <v>0</v>
      </c>
      <c r="AG2039">
        <f t="shared" si="478"/>
        <v>0</v>
      </c>
    </row>
    <row r="2040" spans="1:33" x14ac:dyDescent="0.25">
      <c r="A2040" t="s">
        <v>3283</v>
      </c>
      <c r="B2040" t="s">
        <v>3284</v>
      </c>
      <c r="C2040">
        <v>168509</v>
      </c>
      <c r="D2040">
        <v>168509</v>
      </c>
      <c r="H2040">
        <v>20</v>
      </c>
      <c r="I2040">
        <v>40</v>
      </c>
      <c r="J2040">
        <v>10</v>
      </c>
      <c r="K2040">
        <v>10</v>
      </c>
      <c r="L2040">
        <v>10</v>
      </c>
      <c r="M2040">
        <v>90</v>
      </c>
      <c r="S2040">
        <f t="shared" si="467"/>
        <v>0</v>
      </c>
      <c r="T2040">
        <f t="shared" si="468"/>
        <v>7.5</v>
      </c>
      <c r="U2040">
        <f t="shared" si="466"/>
        <v>1</v>
      </c>
      <c r="V2040">
        <f t="shared" si="469"/>
        <v>0</v>
      </c>
      <c r="W2040">
        <f t="shared" si="470"/>
        <v>1</v>
      </c>
      <c r="X2040">
        <f t="shared" si="479"/>
        <v>0</v>
      </c>
      <c r="Y2040">
        <f t="shared" si="480"/>
        <v>1</v>
      </c>
      <c r="Z2040">
        <f t="shared" si="471"/>
        <v>0</v>
      </c>
      <c r="AA2040">
        <f t="shared" si="472"/>
        <v>0</v>
      </c>
      <c r="AB2040">
        <f t="shared" si="473"/>
        <v>0</v>
      </c>
      <c r="AC2040">
        <f t="shared" si="474"/>
        <v>10</v>
      </c>
      <c r="AD2040" s="1">
        <f t="shared" si="475"/>
        <v>6.666666666666667</v>
      </c>
      <c r="AE2040">
        <f t="shared" si="476"/>
        <v>5</v>
      </c>
      <c r="AF2040">
        <f t="shared" si="477"/>
        <v>10</v>
      </c>
      <c r="AG2040">
        <f t="shared" si="478"/>
        <v>10</v>
      </c>
    </row>
    <row r="2041" spans="1:33" x14ac:dyDescent="0.25">
      <c r="A2041" t="s">
        <v>3285</v>
      </c>
      <c r="B2041" t="s">
        <v>3286</v>
      </c>
      <c r="C2041">
        <v>165784</v>
      </c>
      <c r="D2041">
        <v>165784</v>
      </c>
      <c r="H2041">
        <v>10</v>
      </c>
      <c r="I2041">
        <v>50</v>
      </c>
      <c r="J2041">
        <v>20</v>
      </c>
      <c r="K2041">
        <v>10</v>
      </c>
      <c r="L2041">
        <v>10</v>
      </c>
      <c r="M2041">
        <v>100</v>
      </c>
      <c r="S2041">
        <f t="shared" si="467"/>
        <v>0</v>
      </c>
      <c r="T2041">
        <f t="shared" si="468"/>
        <v>8.3333333333333339</v>
      </c>
      <c r="U2041">
        <f t="shared" si="466"/>
        <v>1</v>
      </c>
      <c r="V2041">
        <f t="shared" si="469"/>
        <v>0</v>
      </c>
      <c r="W2041">
        <f t="shared" si="470"/>
        <v>1</v>
      </c>
      <c r="X2041">
        <f t="shared" si="479"/>
        <v>0</v>
      </c>
      <c r="Y2041">
        <f t="shared" si="480"/>
        <v>1</v>
      </c>
      <c r="Z2041">
        <f t="shared" si="471"/>
        <v>0</v>
      </c>
      <c r="AA2041">
        <f t="shared" si="472"/>
        <v>0</v>
      </c>
      <c r="AB2041">
        <f t="shared" si="473"/>
        <v>0</v>
      </c>
      <c r="AC2041">
        <f t="shared" si="474"/>
        <v>5</v>
      </c>
      <c r="AD2041" s="1">
        <f t="shared" si="475"/>
        <v>8.3333333333333339</v>
      </c>
      <c r="AE2041">
        <f t="shared" si="476"/>
        <v>10</v>
      </c>
      <c r="AF2041">
        <f t="shared" si="477"/>
        <v>10</v>
      </c>
      <c r="AG2041">
        <f t="shared" si="478"/>
        <v>10</v>
      </c>
    </row>
    <row r="2042" spans="1:33" x14ac:dyDescent="0.25">
      <c r="A2042" t="s">
        <v>3287</v>
      </c>
      <c r="B2042" t="s">
        <v>3288</v>
      </c>
      <c r="C2042">
        <v>166951</v>
      </c>
      <c r="D2042">
        <v>166951</v>
      </c>
      <c r="H2042">
        <v>10</v>
      </c>
      <c r="I2042">
        <v>40</v>
      </c>
      <c r="J2042">
        <v>10</v>
      </c>
      <c r="K2042">
        <v>10</v>
      </c>
      <c r="L2042">
        <v>0</v>
      </c>
      <c r="M2042">
        <v>70</v>
      </c>
      <c r="S2042">
        <f t="shared" si="467"/>
        <v>0</v>
      </c>
      <c r="T2042">
        <f t="shared" si="468"/>
        <v>5.833333333333333</v>
      </c>
      <c r="U2042">
        <f t="shared" si="466"/>
        <v>1</v>
      </c>
      <c r="V2042">
        <f t="shared" si="469"/>
        <v>0</v>
      </c>
      <c r="W2042">
        <f t="shared" si="470"/>
        <v>1</v>
      </c>
      <c r="X2042">
        <f t="shared" si="479"/>
        <v>0</v>
      </c>
      <c r="Y2042">
        <f t="shared" si="480"/>
        <v>0</v>
      </c>
      <c r="Z2042">
        <f t="shared" si="471"/>
        <v>0</v>
      </c>
      <c r="AA2042">
        <f t="shared" si="472"/>
        <v>0</v>
      </c>
      <c r="AB2042">
        <f t="shared" si="473"/>
        <v>0</v>
      </c>
      <c r="AC2042">
        <f t="shared" si="474"/>
        <v>5</v>
      </c>
      <c r="AD2042" s="1">
        <f t="shared" si="475"/>
        <v>6.666666666666667</v>
      </c>
      <c r="AE2042">
        <f t="shared" si="476"/>
        <v>5</v>
      </c>
      <c r="AF2042">
        <f t="shared" si="477"/>
        <v>10</v>
      </c>
      <c r="AG2042">
        <f t="shared" si="478"/>
        <v>0</v>
      </c>
    </row>
    <row r="2043" spans="1:33" x14ac:dyDescent="0.25">
      <c r="A2043" t="s">
        <v>3289</v>
      </c>
      <c r="B2043" t="s">
        <v>3290</v>
      </c>
      <c r="C2043">
        <v>168352</v>
      </c>
      <c r="D2043">
        <v>168352</v>
      </c>
      <c r="E2043">
        <v>20</v>
      </c>
      <c r="F2043">
        <v>30</v>
      </c>
      <c r="G2043">
        <v>0</v>
      </c>
      <c r="O2043">
        <v>50</v>
      </c>
      <c r="S2043">
        <f t="shared" si="467"/>
        <v>3.125</v>
      </c>
      <c r="T2043">
        <f t="shared" si="468"/>
        <v>0</v>
      </c>
      <c r="U2043">
        <f t="shared" si="466"/>
        <v>1</v>
      </c>
      <c r="V2043">
        <f t="shared" si="469"/>
        <v>1</v>
      </c>
      <c r="W2043">
        <f t="shared" si="470"/>
        <v>0</v>
      </c>
      <c r="X2043">
        <f t="shared" si="479"/>
        <v>0</v>
      </c>
      <c r="Y2043">
        <f t="shared" si="480"/>
        <v>0</v>
      </c>
      <c r="Z2043">
        <f t="shared" si="471"/>
        <v>4</v>
      </c>
      <c r="AA2043">
        <f t="shared" si="472"/>
        <v>7.5</v>
      </c>
      <c r="AB2043">
        <f t="shared" si="473"/>
        <v>0</v>
      </c>
      <c r="AC2043">
        <f t="shared" si="474"/>
        <v>0</v>
      </c>
      <c r="AD2043" s="1">
        <f t="shared" si="475"/>
        <v>0</v>
      </c>
      <c r="AE2043">
        <f t="shared" si="476"/>
        <v>0</v>
      </c>
      <c r="AF2043">
        <f t="shared" si="477"/>
        <v>0</v>
      </c>
      <c r="AG2043">
        <f t="shared" si="478"/>
        <v>0</v>
      </c>
    </row>
    <row r="2044" spans="1:33" x14ac:dyDescent="0.25">
      <c r="A2044" t="s">
        <v>3291</v>
      </c>
      <c r="B2044" t="s">
        <v>393</v>
      </c>
      <c r="C2044">
        <v>168359</v>
      </c>
      <c r="D2044">
        <v>168359</v>
      </c>
      <c r="H2044">
        <v>10</v>
      </c>
      <c r="I2044">
        <v>30</v>
      </c>
      <c r="J2044">
        <v>20</v>
      </c>
      <c r="K2044">
        <v>0</v>
      </c>
      <c r="L2044">
        <v>0</v>
      </c>
      <c r="M2044">
        <v>60</v>
      </c>
      <c r="S2044">
        <f t="shared" si="467"/>
        <v>0</v>
      </c>
      <c r="T2044">
        <f t="shared" si="468"/>
        <v>5</v>
      </c>
      <c r="U2044">
        <f t="shared" si="466"/>
        <v>1</v>
      </c>
      <c r="V2044">
        <f t="shared" si="469"/>
        <v>0</v>
      </c>
      <c r="W2044">
        <f t="shared" si="470"/>
        <v>1</v>
      </c>
      <c r="X2044">
        <f t="shared" si="479"/>
        <v>0</v>
      </c>
      <c r="Y2044">
        <f t="shared" si="480"/>
        <v>0</v>
      </c>
      <c r="Z2044">
        <f t="shared" si="471"/>
        <v>0</v>
      </c>
      <c r="AA2044">
        <f t="shared" si="472"/>
        <v>0</v>
      </c>
      <c r="AB2044">
        <f t="shared" si="473"/>
        <v>0</v>
      </c>
      <c r="AC2044">
        <f t="shared" si="474"/>
        <v>5</v>
      </c>
      <c r="AD2044" s="1">
        <f t="shared" si="475"/>
        <v>5</v>
      </c>
      <c r="AE2044">
        <f t="shared" si="476"/>
        <v>10</v>
      </c>
      <c r="AF2044">
        <f t="shared" si="477"/>
        <v>0</v>
      </c>
      <c r="AG2044">
        <f t="shared" si="478"/>
        <v>0</v>
      </c>
    </row>
    <row r="2045" spans="1:33" x14ac:dyDescent="0.25">
      <c r="A2045" t="s">
        <v>3292</v>
      </c>
      <c r="B2045" t="s">
        <v>3293</v>
      </c>
      <c r="C2045">
        <v>163896</v>
      </c>
      <c r="D2045">
        <v>163896</v>
      </c>
      <c r="E2045">
        <v>20</v>
      </c>
      <c r="F2045">
        <v>10</v>
      </c>
      <c r="G2045">
        <v>10</v>
      </c>
      <c r="O2045">
        <v>40</v>
      </c>
      <c r="S2045">
        <f t="shared" si="467"/>
        <v>2.5</v>
      </c>
      <c r="T2045">
        <f t="shared" si="468"/>
        <v>0</v>
      </c>
      <c r="U2045">
        <f t="shared" si="466"/>
        <v>1</v>
      </c>
      <c r="V2045">
        <f t="shared" si="469"/>
        <v>1</v>
      </c>
      <c r="W2045">
        <f t="shared" si="470"/>
        <v>0</v>
      </c>
      <c r="X2045">
        <f t="shared" si="479"/>
        <v>0</v>
      </c>
      <c r="Y2045">
        <f t="shared" si="480"/>
        <v>0</v>
      </c>
      <c r="Z2045">
        <f t="shared" si="471"/>
        <v>4</v>
      </c>
      <c r="AA2045">
        <f t="shared" si="472"/>
        <v>2.5</v>
      </c>
      <c r="AB2045">
        <f t="shared" si="473"/>
        <v>1.4285714285714286</v>
      </c>
      <c r="AC2045">
        <f t="shared" si="474"/>
        <v>0</v>
      </c>
      <c r="AD2045" s="1">
        <f t="shared" si="475"/>
        <v>0</v>
      </c>
      <c r="AE2045">
        <f t="shared" si="476"/>
        <v>0</v>
      </c>
      <c r="AF2045">
        <f t="shared" si="477"/>
        <v>0</v>
      </c>
      <c r="AG2045">
        <f t="shared" si="478"/>
        <v>0</v>
      </c>
    </row>
    <row r="2046" spans="1:33" x14ac:dyDescent="0.25">
      <c r="A2046" t="s">
        <v>3294</v>
      </c>
      <c r="B2046" t="s">
        <v>3295</v>
      </c>
      <c r="C2046">
        <v>166870</v>
      </c>
      <c r="D2046">
        <v>166870</v>
      </c>
      <c r="H2046">
        <v>10</v>
      </c>
      <c r="I2046">
        <v>20</v>
      </c>
      <c r="J2046">
        <v>10</v>
      </c>
      <c r="K2046">
        <v>10</v>
      </c>
      <c r="L2046">
        <v>10</v>
      </c>
      <c r="M2046">
        <v>60</v>
      </c>
      <c r="S2046">
        <f t="shared" si="467"/>
        <v>0</v>
      </c>
      <c r="T2046">
        <f t="shared" si="468"/>
        <v>5</v>
      </c>
      <c r="U2046">
        <f t="shared" si="466"/>
        <v>1</v>
      </c>
      <c r="V2046">
        <f t="shared" si="469"/>
        <v>0</v>
      </c>
      <c r="W2046">
        <f t="shared" si="470"/>
        <v>1</v>
      </c>
      <c r="X2046">
        <f t="shared" si="479"/>
        <v>0</v>
      </c>
      <c r="Y2046">
        <f t="shared" si="480"/>
        <v>0</v>
      </c>
      <c r="Z2046">
        <f t="shared" si="471"/>
        <v>0</v>
      </c>
      <c r="AA2046">
        <f t="shared" si="472"/>
        <v>0</v>
      </c>
      <c r="AB2046">
        <f t="shared" si="473"/>
        <v>0</v>
      </c>
      <c r="AC2046">
        <f t="shared" si="474"/>
        <v>5</v>
      </c>
      <c r="AD2046" s="1">
        <f t="shared" si="475"/>
        <v>3.3333333333333335</v>
      </c>
      <c r="AE2046">
        <f t="shared" si="476"/>
        <v>5</v>
      </c>
      <c r="AF2046">
        <f t="shared" si="477"/>
        <v>10</v>
      </c>
      <c r="AG2046">
        <f t="shared" si="478"/>
        <v>10</v>
      </c>
    </row>
    <row r="2047" spans="1:33" x14ac:dyDescent="0.25">
      <c r="A2047" t="s">
        <v>3294</v>
      </c>
      <c r="B2047" t="s">
        <v>3296</v>
      </c>
      <c r="C2047">
        <v>166978</v>
      </c>
      <c r="D2047">
        <v>166978</v>
      </c>
      <c r="S2047">
        <f t="shared" si="467"/>
        <v>0</v>
      </c>
      <c r="T2047">
        <f t="shared" si="468"/>
        <v>0</v>
      </c>
      <c r="U2047">
        <f t="shared" si="466"/>
        <v>0</v>
      </c>
      <c r="V2047">
        <f t="shared" si="469"/>
        <v>0</v>
      </c>
      <c r="W2047">
        <f t="shared" si="470"/>
        <v>0</v>
      </c>
      <c r="X2047">
        <f t="shared" si="479"/>
        <v>0</v>
      </c>
      <c r="Y2047">
        <f t="shared" si="480"/>
        <v>0</v>
      </c>
      <c r="Z2047">
        <f t="shared" si="471"/>
        <v>0</v>
      </c>
      <c r="AA2047">
        <f t="shared" si="472"/>
        <v>0</v>
      </c>
      <c r="AB2047">
        <f t="shared" si="473"/>
        <v>0</v>
      </c>
      <c r="AC2047">
        <f t="shared" si="474"/>
        <v>0</v>
      </c>
      <c r="AD2047" s="1">
        <f t="shared" si="475"/>
        <v>0</v>
      </c>
      <c r="AE2047">
        <f t="shared" si="476"/>
        <v>0</v>
      </c>
      <c r="AF2047">
        <f t="shared" si="477"/>
        <v>0</v>
      </c>
      <c r="AG2047">
        <f t="shared" si="478"/>
        <v>0</v>
      </c>
    </row>
    <row r="2048" spans="1:33" x14ac:dyDescent="0.25">
      <c r="A2048" t="s">
        <v>3297</v>
      </c>
      <c r="B2048" t="s">
        <v>3298</v>
      </c>
      <c r="C2048">
        <v>168021</v>
      </c>
      <c r="D2048">
        <v>168021</v>
      </c>
      <c r="H2048">
        <v>0</v>
      </c>
      <c r="I2048">
        <v>40</v>
      </c>
      <c r="J2048">
        <v>20</v>
      </c>
      <c r="K2048">
        <v>0</v>
      </c>
      <c r="L2048">
        <v>0</v>
      </c>
      <c r="M2048">
        <v>60</v>
      </c>
      <c r="S2048">
        <f t="shared" si="467"/>
        <v>0</v>
      </c>
      <c r="T2048">
        <f t="shared" si="468"/>
        <v>5</v>
      </c>
      <c r="U2048">
        <f t="shared" si="466"/>
        <v>1</v>
      </c>
      <c r="V2048">
        <f t="shared" si="469"/>
        <v>0</v>
      </c>
      <c r="W2048">
        <f t="shared" si="470"/>
        <v>1</v>
      </c>
      <c r="X2048">
        <f t="shared" si="479"/>
        <v>0</v>
      </c>
      <c r="Y2048">
        <f t="shared" si="480"/>
        <v>0</v>
      </c>
      <c r="Z2048">
        <f t="shared" si="471"/>
        <v>0</v>
      </c>
      <c r="AA2048">
        <f t="shared" si="472"/>
        <v>0</v>
      </c>
      <c r="AB2048">
        <f t="shared" si="473"/>
        <v>0</v>
      </c>
      <c r="AC2048">
        <f t="shared" si="474"/>
        <v>0</v>
      </c>
      <c r="AD2048" s="1">
        <f t="shared" si="475"/>
        <v>6.666666666666667</v>
      </c>
      <c r="AE2048">
        <f t="shared" si="476"/>
        <v>10</v>
      </c>
      <c r="AF2048">
        <f t="shared" si="477"/>
        <v>0</v>
      </c>
      <c r="AG2048">
        <f t="shared" si="478"/>
        <v>0</v>
      </c>
    </row>
    <row r="2049" spans="1:33" x14ac:dyDescent="0.25">
      <c r="A2049" t="s">
        <v>3299</v>
      </c>
      <c r="B2049" t="s">
        <v>1631</v>
      </c>
      <c r="C2049">
        <v>166441</v>
      </c>
      <c r="D2049">
        <v>166441</v>
      </c>
      <c r="E2049">
        <v>20</v>
      </c>
      <c r="F2049">
        <v>20</v>
      </c>
      <c r="G2049">
        <v>10</v>
      </c>
      <c r="O2049">
        <v>50</v>
      </c>
      <c r="S2049">
        <f t="shared" si="467"/>
        <v>3.125</v>
      </c>
      <c r="T2049">
        <f t="shared" si="468"/>
        <v>0</v>
      </c>
      <c r="U2049">
        <f t="shared" si="466"/>
        <v>1</v>
      </c>
      <c r="V2049">
        <f t="shared" si="469"/>
        <v>1</v>
      </c>
      <c r="W2049">
        <f t="shared" si="470"/>
        <v>0</v>
      </c>
      <c r="X2049">
        <f t="shared" si="479"/>
        <v>0</v>
      </c>
      <c r="Y2049">
        <f t="shared" si="480"/>
        <v>0</v>
      </c>
      <c r="Z2049">
        <f t="shared" si="471"/>
        <v>4</v>
      </c>
      <c r="AA2049">
        <f t="shared" si="472"/>
        <v>5</v>
      </c>
      <c r="AB2049">
        <f t="shared" si="473"/>
        <v>1.4285714285714286</v>
      </c>
      <c r="AC2049">
        <f t="shared" si="474"/>
        <v>0</v>
      </c>
      <c r="AD2049" s="1">
        <f t="shared" si="475"/>
        <v>0</v>
      </c>
      <c r="AE2049">
        <f t="shared" si="476"/>
        <v>0</v>
      </c>
      <c r="AF2049">
        <f t="shared" si="477"/>
        <v>0</v>
      </c>
      <c r="AG2049">
        <f t="shared" si="478"/>
        <v>0</v>
      </c>
    </row>
    <row r="2050" spans="1:33" x14ac:dyDescent="0.25">
      <c r="A2050" t="s">
        <v>3300</v>
      </c>
      <c r="B2050" t="s">
        <v>1978</v>
      </c>
      <c r="C2050">
        <v>166979</v>
      </c>
      <c r="D2050">
        <v>166979</v>
      </c>
      <c r="E2050">
        <v>30</v>
      </c>
      <c r="F2050">
        <v>20</v>
      </c>
      <c r="G2050">
        <v>50</v>
      </c>
      <c r="O2050">
        <v>100</v>
      </c>
      <c r="S2050">
        <f t="shared" si="467"/>
        <v>6.25</v>
      </c>
      <c r="T2050">
        <f t="shared" si="468"/>
        <v>0</v>
      </c>
      <c r="U2050">
        <f t="shared" ref="U2050:U2107" si="481">IF(AND(E2050="",F2050="",G2050="",H2050="",I2050="",J2050="",K2050="",L2050="",M2050=""),0,1)</f>
        <v>1</v>
      </c>
      <c r="V2050">
        <f t="shared" si="469"/>
        <v>1</v>
      </c>
      <c r="W2050">
        <f t="shared" si="470"/>
        <v>0</v>
      </c>
      <c r="X2050">
        <f t="shared" si="479"/>
        <v>1</v>
      </c>
      <c r="Y2050">
        <f t="shared" si="480"/>
        <v>0</v>
      </c>
      <c r="Z2050">
        <f t="shared" si="471"/>
        <v>6</v>
      </c>
      <c r="AA2050">
        <f t="shared" si="472"/>
        <v>5</v>
      </c>
      <c r="AB2050">
        <f t="shared" si="473"/>
        <v>7.1428571428571432</v>
      </c>
      <c r="AC2050">
        <f t="shared" si="474"/>
        <v>0</v>
      </c>
      <c r="AD2050" s="1">
        <f t="shared" si="475"/>
        <v>0</v>
      </c>
      <c r="AE2050">
        <f t="shared" si="476"/>
        <v>0</v>
      </c>
      <c r="AF2050">
        <f t="shared" si="477"/>
        <v>0</v>
      </c>
      <c r="AG2050">
        <f t="shared" si="478"/>
        <v>0</v>
      </c>
    </row>
    <row r="2051" spans="1:33" x14ac:dyDescent="0.25">
      <c r="A2051" t="s">
        <v>3301</v>
      </c>
      <c r="B2051" t="s">
        <v>45</v>
      </c>
      <c r="C2051">
        <v>166835</v>
      </c>
      <c r="D2051">
        <v>166835</v>
      </c>
      <c r="S2051">
        <f t="shared" ref="S2051:S2107" si="482">O2051/16</f>
        <v>0</v>
      </c>
      <c r="T2051">
        <f t="shared" ref="T2051:T2107" si="483">M2051/12</f>
        <v>0</v>
      </c>
      <c r="U2051">
        <f t="shared" si="481"/>
        <v>0</v>
      </c>
      <c r="V2051">
        <f t="shared" ref="V2051:V2107" si="484">IF(O2051="",0,1)</f>
        <v>0</v>
      </c>
      <c r="W2051">
        <f t="shared" ref="W2051:W2107" si="485">IF(M2051="",0,1)</f>
        <v>0</v>
      </c>
      <c r="X2051">
        <f t="shared" si="479"/>
        <v>0</v>
      </c>
      <c r="Y2051">
        <f t="shared" si="480"/>
        <v>0</v>
      </c>
      <c r="Z2051">
        <f t="shared" ref="Z2051:Z2107" si="486">E2051/5</f>
        <v>0</v>
      </c>
      <c r="AA2051">
        <f t="shared" ref="AA2051:AA2107" si="487">F2051/4</f>
        <v>0</v>
      </c>
      <c r="AB2051">
        <f t="shared" ref="AB2051:AB2107" si="488">G2051/7</f>
        <v>0</v>
      </c>
      <c r="AC2051">
        <f t="shared" ref="AC2051:AC2107" si="489">H2051/2</f>
        <v>0</v>
      </c>
      <c r="AD2051" s="1">
        <f t="shared" ref="AD2051:AD2107" si="490">I2051/6</f>
        <v>0</v>
      </c>
      <c r="AE2051">
        <f t="shared" ref="AE2051:AE2107" si="491">J2051/2</f>
        <v>0</v>
      </c>
      <c r="AF2051">
        <f t="shared" ref="AF2051:AF2107" si="492">K2051</f>
        <v>0</v>
      </c>
      <c r="AG2051">
        <f t="shared" ref="AG2051:AG2107" si="493">L2051</f>
        <v>0</v>
      </c>
    </row>
    <row r="2052" spans="1:33" x14ac:dyDescent="0.25">
      <c r="A2052" t="s">
        <v>3302</v>
      </c>
      <c r="B2052" t="s">
        <v>3303</v>
      </c>
      <c r="C2052">
        <v>167575</v>
      </c>
      <c r="D2052">
        <v>167575</v>
      </c>
      <c r="H2052">
        <v>0</v>
      </c>
      <c r="I2052">
        <v>50</v>
      </c>
      <c r="J2052">
        <v>20</v>
      </c>
      <c r="K2052">
        <v>10</v>
      </c>
      <c r="L2052">
        <v>10</v>
      </c>
      <c r="M2052">
        <v>90</v>
      </c>
      <c r="S2052">
        <f t="shared" si="482"/>
        <v>0</v>
      </c>
      <c r="T2052">
        <f t="shared" si="483"/>
        <v>7.5</v>
      </c>
      <c r="U2052">
        <f t="shared" si="481"/>
        <v>1</v>
      </c>
      <c r="V2052">
        <f t="shared" si="484"/>
        <v>0</v>
      </c>
      <c r="W2052">
        <f t="shared" si="485"/>
        <v>1</v>
      </c>
      <c r="X2052">
        <f t="shared" si="479"/>
        <v>0</v>
      </c>
      <c r="Y2052">
        <f t="shared" si="480"/>
        <v>1</v>
      </c>
      <c r="Z2052">
        <f t="shared" si="486"/>
        <v>0</v>
      </c>
      <c r="AA2052">
        <f t="shared" si="487"/>
        <v>0</v>
      </c>
      <c r="AB2052">
        <f t="shared" si="488"/>
        <v>0</v>
      </c>
      <c r="AC2052">
        <f t="shared" si="489"/>
        <v>0</v>
      </c>
      <c r="AD2052" s="1">
        <f t="shared" si="490"/>
        <v>8.3333333333333339</v>
      </c>
      <c r="AE2052">
        <f t="shared" si="491"/>
        <v>10</v>
      </c>
      <c r="AF2052">
        <f t="shared" si="492"/>
        <v>10</v>
      </c>
      <c r="AG2052">
        <f t="shared" si="493"/>
        <v>10</v>
      </c>
    </row>
    <row r="2053" spans="1:33" x14ac:dyDescent="0.25">
      <c r="A2053" t="s">
        <v>3304</v>
      </c>
      <c r="B2053" t="s">
        <v>1078</v>
      </c>
      <c r="C2053">
        <v>167458</v>
      </c>
      <c r="D2053">
        <v>167458</v>
      </c>
      <c r="E2053">
        <v>10</v>
      </c>
      <c r="F2053">
        <v>0</v>
      </c>
      <c r="G2053">
        <v>20</v>
      </c>
      <c r="O2053">
        <v>30</v>
      </c>
      <c r="S2053">
        <f t="shared" si="482"/>
        <v>1.875</v>
      </c>
      <c r="T2053">
        <f t="shared" si="483"/>
        <v>0</v>
      </c>
      <c r="U2053">
        <f t="shared" si="481"/>
        <v>1</v>
      </c>
      <c r="V2053">
        <f t="shared" si="484"/>
        <v>1</v>
      </c>
      <c r="W2053">
        <f t="shared" si="485"/>
        <v>0</v>
      </c>
      <c r="X2053">
        <f t="shared" ref="X2053:X2107" si="494">IF(AND(V2053=1,S2053&gt;6),1,0)</f>
        <v>0</v>
      </c>
      <c r="Y2053">
        <f t="shared" ref="Y2053:Y2107" si="495">IF(AND(W2053=1,T2053&gt;6),1,0)</f>
        <v>0</v>
      </c>
      <c r="Z2053">
        <f t="shared" si="486"/>
        <v>2</v>
      </c>
      <c r="AA2053">
        <f t="shared" si="487"/>
        <v>0</v>
      </c>
      <c r="AB2053">
        <f t="shared" si="488"/>
        <v>2.8571428571428572</v>
      </c>
      <c r="AC2053">
        <f t="shared" si="489"/>
        <v>0</v>
      </c>
      <c r="AD2053" s="1">
        <f t="shared" si="490"/>
        <v>0</v>
      </c>
      <c r="AE2053">
        <f t="shared" si="491"/>
        <v>0</v>
      </c>
      <c r="AF2053">
        <f t="shared" si="492"/>
        <v>0</v>
      </c>
      <c r="AG2053">
        <f t="shared" si="493"/>
        <v>0</v>
      </c>
    </row>
    <row r="2054" spans="1:33" x14ac:dyDescent="0.25">
      <c r="A2054" t="s">
        <v>3305</v>
      </c>
      <c r="B2054" t="s">
        <v>3306</v>
      </c>
      <c r="C2054">
        <v>165819</v>
      </c>
      <c r="D2054">
        <v>165819</v>
      </c>
      <c r="E2054">
        <v>20</v>
      </c>
      <c r="F2054">
        <v>20</v>
      </c>
      <c r="G2054">
        <v>30</v>
      </c>
      <c r="O2054">
        <v>70</v>
      </c>
      <c r="S2054">
        <f t="shared" si="482"/>
        <v>4.375</v>
      </c>
      <c r="T2054">
        <f t="shared" si="483"/>
        <v>0</v>
      </c>
      <c r="U2054">
        <f t="shared" si="481"/>
        <v>1</v>
      </c>
      <c r="V2054">
        <f t="shared" si="484"/>
        <v>1</v>
      </c>
      <c r="W2054">
        <f t="shared" si="485"/>
        <v>0</v>
      </c>
      <c r="X2054">
        <f t="shared" si="494"/>
        <v>0</v>
      </c>
      <c r="Y2054">
        <f t="shared" si="495"/>
        <v>0</v>
      </c>
      <c r="Z2054">
        <f t="shared" si="486"/>
        <v>4</v>
      </c>
      <c r="AA2054">
        <f t="shared" si="487"/>
        <v>5</v>
      </c>
      <c r="AB2054">
        <f t="shared" si="488"/>
        <v>4.2857142857142856</v>
      </c>
      <c r="AC2054">
        <f t="shared" si="489"/>
        <v>0</v>
      </c>
      <c r="AD2054" s="1">
        <f t="shared" si="490"/>
        <v>0</v>
      </c>
      <c r="AE2054">
        <f t="shared" si="491"/>
        <v>0</v>
      </c>
      <c r="AF2054">
        <f t="shared" si="492"/>
        <v>0</v>
      </c>
      <c r="AG2054">
        <f t="shared" si="493"/>
        <v>0</v>
      </c>
    </row>
    <row r="2055" spans="1:33" x14ac:dyDescent="0.25">
      <c r="A2055" t="s">
        <v>3307</v>
      </c>
      <c r="B2055" t="s">
        <v>3308</v>
      </c>
      <c r="C2055">
        <v>163714</v>
      </c>
      <c r="D2055">
        <v>163714</v>
      </c>
      <c r="S2055">
        <f t="shared" si="482"/>
        <v>0</v>
      </c>
      <c r="T2055">
        <f t="shared" si="483"/>
        <v>0</v>
      </c>
      <c r="U2055">
        <f t="shared" si="481"/>
        <v>0</v>
      </c>
      <c r="V2055">
        <f t="shared" si="484"/>
        <v>0</v>
      </c>
      <c r="W2055">
        <f t="shared" si="485"/>
        <v>0</v>
      </c>
      <c r="X2055">
        <f t="shared" si="494"/>
        <v>0</v>
      </c>
      <c r="Y2055">
        <f t="shared" si="495"/>
        <v>0</v>
      </c>
      <c r="Z2055">
        <f t="shared" si="486"/>
        <v>0</v>
      </c>
      <c r="AA2055">
        <f t="shared" si="487"/>
        <v>0</v>
      </c>
      <c r="AB2055">
        <f t="shared" si="488"/>
        <v>0</v>
      </c>
      <c r="AC2055">
        <f t="shared" si="489"/>
        <v>0</v>
      </c>
      <c r="AD2055" s="1">
        <f t="shared" si="490"/>
        <v>0</v>
      </c>
      <c r="AE2055">
        <f t="shared" si="491"/>
        <v>0</v>
      </c>
      <c r="AF2055">
        <f t="shared" si="492"/>
        <v>0</v>
      </c>
      <c r="AG2055">
        <f t="shared" si="493"/>
        <v>0</v>
      </c>
    </row>
    <row r="2056" spans="1:33" x14ac:dyDescent="0.25">
      <c r="A2056" t="s">
        <v>3309</v>
      </c>
      <c r="B2056" t="s">
        <v>3310</v>
      </c>
      <c r="C2056">
        <v>168723</v>
      </c>
      <c r="D2056">
        <v>168723</v>
      </c>
      <c r="S2056">
        <f t="shared" si="482"/>
        <v>0</v>
      </c>
      <c r="T2056">
        <f t="shared" si="483"/>
        <v>0</v>
      </c>
      <c r="U2056">
        <f t="shared" si="481"/>
        <v>0</v>
      </c>
      <c r="V2056">
        <f t="shared" si="484"/>
        <v>0</v>
      </c>
      <c r="W2056">
        <f t="shared" si="485"/>
        <v>0</v>
      </c>
      <c r="X2056">
        <f t="shared" si="494"/>
        <v>0</v>
      </c>
      <c r="Y2056">
        <f t="shared" si="495"/>
        <v>0</v>
      </c>
      <c r="Z2056">
        <f t="shared" si="486"/>
        <v>0</v>
      </c>
      <c r="AA2056">
        <f t="shared" si="487"/>
        <v>0</v>
      </c>
      <c r="AB2056">
        <f t="shared" si="488"/>
        <v>0</v>
      </c>
      <c r="AC2056">
        <f t="shared" si="489"/>
        <v>0</v>
      </c>
      <c r="AD2056" s="1">
        <f t="shared" si="490"/>
        <v>0</v>
      </c>
      <c r="AE2056">
        <f t="shared" si="491"/>
        <v>0</v>
      </c>
      <c r="AF2056">
        <f t="shared" si="492"/>
        <v>0</v>
      </c>
      <c r="AG2056">
        <f t="shared" si="493"/>
        <v>0</v>
      </c>
    </row>
    <row r="2057" spans="1:33" x14ac:dyDescent="0.25">
      <c r="A2057" t="s">
        <v>3311</v>
      </c>
      <c r="B2057" t="s">
        <v>3312</v>
      </c>
      <c r="C2057">
        <v>166041</v>
      </c>
      <c r="D2057">
        <v>166041</v>
      </c>
      <c r="E2057">
        <v>20</v>
      </c>
      <c r="F2057">
        <v>40</v>
      </c>
      <c r="G2057">
        <v>30</v>
      </c>
      <c r="O2057">
        <v>90</v>
      </c>
      <c r="S2057">
        <f t="shared" si="482"/>
        <v>5.625</v>
      </c>
      <c r="T2057">
        <f t="shared" si="483"/>
        <v>0</v>
      </c>
      <c r="U2057">
        <f t="shared" si="481"/>
        <v>1</v>
      </c>
      <c r="V2057">
        <f t="shared" si="484"/>
        <v>1</v>
      </c>
      <c r="W2057">
        <f t="shared" si="485"/>
        <v>0</v>
      </c>
      <c r="X2057">
        <f t="shared" si="494"/>
        <v>0</v>
      </c>
      <c r="Y2057">
        <f t="shared" si="495"/>
        <v>0</v>
      </c>
      <c r="Z2057">
        <f t="shared" si="486"/>
        <v>4</v>
      </c>
      <c r="AA2057">
        <f t="shared" si="487"/>
        <v>10</v>
      </c>
      <c r="AB2057">
        <f t="shared" si="488"/>
        <v>4.2857142857142856</v>
      </c>
      <c r="AC2057">
        <f t="shared" si="489"/>
        <v>0</v>
      </c>
      <c r="AD2057" s="1">
        <f t="shared" si="490"/>
        <v>0</v>
      </c>
      <c r="AE2057">
        <f t="shared" si="491"/>
        <v>0</v>
      </c>
      <c r="AF2057">
        <f t="shared" si="492"/>
        <v>0</v>
      </c>
      <c r="AG2057">
        <f t="shared" si="493"/>
        <v>0</v>
      </c>
    </row>
    <row r="2058" spans="1:33" x14ac:dyDescent="0.25">
      <c r="A2058" t="s">
        <v>3313</v>
      </c>
      <c r="B2058" t="s">
        <v>3314</v>
      </c>
      <c r="C2058">
        <v>166732</v>
      </c>
      <c r="D2058">
        <v>166732</v>
      </c>
      <c r="E2058">
        <v>10</v>
      </c>
      <c r="F2058">
        <v>10</v>
      </c>
      <c r="G2058">
        <v>30</v>
      </c>
      <c r="O2058">
        <v>50</v>
      </c>
      <c r="S2058">
        <f t="shared" si="482"/>
        <v>3.125</v>
      </c>
      <c r="T2058">
        <f t="shared" si="483"/>
        <v>0</v>
      </c>
      <c r="U2058">
        <f t="shared" si="481"/>
        <v>1</v>
      </c>
      <c r="V2058">
        <f t="shared" si="484"/>
        <v>1</v>
      </c>
      <c r="W2058">
        <f t="shared" si="485"/>
        <v>0</v>
      </c>
      <c r="X2058">
        <f t="shared" si="494"/>
        <v>0</v>
      </c>
      <c r="Y2058">
        <f t="shared" si="495"/>
        <v>0</v>
      </c>
      <c r="Z2058">
        <f t="shared" si="486"/>
        <v>2</v>
      </c>
      <c r="AA2058">
        <f t="shared" si="487"/>
        <v>2.5</v>
      </c>
      <c r="AB2058">
        <f t="shared" si="488"/>
        <v>4.2857142857142856</v>
      </c>
      <c r="AC2058">
        <f t="shared" si="489"/>
        <v>0</v>
      </c>
      <c r="AD2058" s="1">
        <f t="shared" si="490"/>
        <v>0</v>
      </c>
      <c r="AE2058">
        <f t="shared" si="491"/>
        <v>0</v>
      </c>
      <c r="AF2058">
        <f t="shared" si="492"/>
        <v>0</v>
      </c>
      <c r="AG2058">
        <f t="shared" si="493"/>
        <v>0</v>
      </c>
    </row>
    <row r="2059" spans="1:33" x14ac:dyDescent="0.25">
      <c r="A2059" t="s">
        <v>3315</v>
      </c>
      <c r="B2059" t="s">
        <v>768</v>
      </c>
      <c r="C2059">
        <v>165858</v>
      </c>
      <c r="D2059">
        <v>165858</v>
      </c>
      <c r="H2059">
        <v>10</v>
      </c>
      <c r="I2059">
        <v>50</v>
      </c>
      <c r="J2059">
        <v>20</v>
      </c>
      <c r="K2059">
        <v>10</v>
      </c>
      <c r="L2059">
        <v>0</v>
      </c>
      <c r="M2059">
        <v>90</v>
      </c>
      <c r="S2059">
        <f t="shared" si="482"/>
        <v>0</v>
      </c>
      <c r="T2059">
        <f t="shared" si="483"/>
        <v>7.5</v>
      </c>
      <c r="U2059">
        <f t="shared" si="481"/>
        <v>1</v>
      </c>
      <c r="V2059">
        <f t="shared" si="484"/>
        <v>0</v>
      </c>
      <c r="W2059">
        <f t="shared" si="485"/>
        <v>1</v>
      </c>
      <c r="X2059">
        <f t="shared" si="494"/>
        <v>0</v>
      </c>
      <c r="Y2059">
        <f t="shared" si="495"/>
        <v>1</v>
      </c>
      <c r="Z2059">
        <f t="shared" si="486"/>
        <v>0</v>
      </c>
      <c r="AA2059">
        <f t="shared" si="487"/>
        <v>0</v>
      </c>
      <c r="AB2059">
        <f t="shared" si="488"/>
        <v>0</v>
      </c>
      <c r="AC2059">
        <f t="shared" si="489"/>
        <v>5</v>
      </c>
      <c r="AD2059" s="1">
        <f t="shared" si="490"/>
        <v>8.3333333333333339</v>
      </c>
      <c r="AE2059">
        <f t="shared" si="491"/>
        <v>10</v>
      </c>
      <c r="AF2059">
        <f t="shared" si="492"/>
        <v>10</v>
      </c>
      <c r="AG2059">
        <f t="shared" si="493"/>
        <v>0</v>
      </c>
    </row>
    <row r="2060" spans="1:33" x14ac:dyDescent="0.25">
      <c r="A2060" t="s">
        <v>3316</v>
      </c>
      <c r="B2060" t="s">
        <v>3317</v>
      </c>
      <c r="C2060">
        <v>166156</v>
      </c>
      <c r="D2060">
        <v>166156</v>
      </c>
      <c r="E2060">
        <v>20</v>
      </c>
      <c r="F2060">
        <v>20</v>
      </c>
      <c r="G2060">
        <v>20</v>
      </c>
      <c r="O2060">
        <v>60</v>
      </c>
      <c r="S2060">
        <f t="shared" si="482"/>
        <v>3.75</v>
      </c>
      <c r="T2060">
        <f t="shared" si="483"/>
        <v>0</v>
      </c>
      <c r="U2060">
        <f t="shared" si="481"/>
        <v>1</v>
      </c>
      <c r="V2060">
        <f t="shared" si="484"/>
        <v>1</v>
      </c>
      <c r="W2060">
        <f t="shared" si="485"/>
        <v>0</v>
      </c>
      <c r="X2060">
        <f t="shared" si="494"/>
        <v>0</v>
      </c>
      <c r="Y2060">
        <f t="shared" si="495"/>
        <v>0</v>
      </c>
      <c r="Z2060">
        <f t="shared" si="486"/>
        <v>4</v>
      </c>
      <c r="AA2060">
        <f t="shared" si="487"/>
        <v>5</v>
      </c>
      <c r="AB2060">
        <f t="shared" si="488"/>
        <v>2.8571428571428572</v>
      </c>
      <c r="AC2060">
        <f t="shared" si="489"/>
        <v>0</v>
      </c>
      <c r="AD2060" s="1">
        <f t="shared" si="490"/>
        <v>0</v>
      </c>
      <c r="AE2060">
        <f t="shared" si="491"/>
        <v>0</v>
      </c>
      <c r="AF2060">
        <f t="shared" si="492"/>
        <v>0</v>
      </c>
      <c r="AG2060">
        <f t="shared" si="493"/>
        <v>0</v>
      </c>
    </row>
    <row r="2061" spans="1:33" x14ac:dyDescent="0.25">
      <c r="A2061" t="s">
        <v>3318</v>
      </c>
      <c r="B2061" t="s">
        <v>577</v>
      </c>
      <c r="C2061">
        <v>168533</v>
      </c>
      <c r="D2061">
        <v>168533</v>
      </c>
      <c r="E2061">
        <v>10</v>
      </c>
      <c r="F2061">
        <v>10</v>
      </c>
      <c r="G2061">
        <v>40</v>
      </c>
      <c r="O2061">
        <v>60</v>
      </c>
      <c r="S2061">
        <f t="shared" si="482"/>
        <v>3.75</v>
      </c>
      <c r="T2061">
        <f t="shared" si="483"/>
        <v>0</v>
      </c>
      <c r="U2061">
        <f t="shared" si="481"/>
        <v>1</v>
      </c>
      <c r="V2061">
        <f t="shared" si="484"/>
        <v>1</v>
      </c>
      <c r="W2061">
        <f t="shared" si="485"/>
        <v>0</v>
      </c>
      <c r="X2061">
        <f t="shared" si="494"/>
        <v>0</v>
      </c>
      <c r="Y2061">
        <f t="shared" si="495"/>
        <v>0</v>
      </c>
      <c r="Z2061">
        <f t="shared" si="486"/>
        <v>2</v>
      </c>
      <c r="AA2061">
        <f t="shared" si="487"/>
        <v>2.5</v>
      </c>
      <c r="AB2061">
        <f t="shared" si="488"/>
        <v>5.7142857142857144</v>
      </c>
      <c r="AC2061">
        <f t="shared" si="489"/>
        <v>0</v>
      </c>
      <c r="AD2061" s="1">
        <f t="shared" si="490"/>
        <v>0</v>
      </c>
      <c r="AE2061">
        <f t="shared" si="491"/>
        <v>0</v>
      </c>
      <c r="AF2061">
        <f t="shared" si="492"/>
        <v>0</v>
      </c>
      <c r="AG2061">
        <f t="shared" si="493"/>
        <v>0</v>
      </c>
    </row>
    <row r="2062" spans="1:33" x14ac:dyDescent="0.25">
      <c r="A2062" t="s">
        <v>3319</v>
      </c>
      <c r="B2062" t="s">
        <v>3320</v>
      </c>
      <c r="C2062">
        <v>167415</v>
      </c>
      <c r="D2062">
        <v>167415</v>
      </c>
      <c r="E2062">
        <v>10</v>
      </c>
      <c r="F2062">
        <v>20</v>
      </c>
      <c r="G2062">
        <v>20</v>
      </c>
      <c r="O2062">
        <v>50</v>
      </c>
      <c r="S2062">
        <f t="shared" si="482"/>
        <v>3.125</v>
      </c>
      <c r="T2062">
        <f t="shared" si="483"/>
        <v>0</v>
      </c>
      <c r="U2062">
        <f t="shared" si="481"/>
        <v>1</v>
      </c>
      <c r="V2062">
        <f t="shared" si="484"/>
        <v>1</v>
      </c>
      <c r="W2062">
        <f t="shared" si="485"/>
        <v>0</v>
      </c>
      <c r="X2062">
        <f t="shared" si="494"/>
        <v>0</v>
      </c>
      <c r="Y2062">
        <f t="shared" si="495"/>
        <v>0</v>
      </c>
      <c r="Z2062">
        <f t="shared" si="486"/>
        <v>2</v>
      </c>
      <c r="AA2062">
        <f t="shared" si="487"/>
        <v>5</v>
      </c>
      <c r="AB2062">
        <f t="shared" si="488"/>
        <v>2.8571428571428572</v>
      </c>
      <c r="AC2062">
        <f t="shared" si="489"/>
        <v>0</v>
      </c>
      <c r="AD2062" s="1">
        <f t="shared" si="490"/>
        <v>0</v>
      </c>
      <c r="AE2062">
        <f t="shared" si="491"/>
        <v>0</v>
      </c>
      <c r="AF2062">
        <f t="shared" si="492"/>
        <v>0</v>
      </c>
      <c r="AG2062">
        <f t="shared" si="493"/>
        <v>0</v>
      </c>
    </row>
    <row r="2063" spans="1:33" x14ac:dyDescent="0.25">
      <c r="A2063" t="s">
        <v>3321</v>
      </c>
      <c r="B2063" t="s">
        <v>3322</v>
      </c>
      <c r="C2063">
        <v>167092</v>
      </c>
      <c r="D2063">
        <v>167092</v>
      </c>
      <c r="E2063">
        <v>20</v>
      </c>
      <c r="F2063">
        <v>30</v>
      </c>
      <c r="G2063">
        <v>30</v>
      </c>
      <c r="O2063">
        <v>80</v>
      </c>
      <c r="S2063">
        <f t="shared" si="482"/>
        <v>5</v>
      </c>
      <c r="T2063">
        <f t="shared" si="483"/>
        <v>0</v>
      </c>
      <c r="U2063">
        <f t="shared" si="481"/>
        <v>1</v>
      </c>
      <c r="V2063">
        <f t="shared" si="484"/>
        <v>1</v>
      </c>
      <c r="W2063">
        <f t="shared" si="485"/>
        <v>0</v>
      </c>
      <c r="X2063">
        <f t="shared" si="494"/>
        <v>0</v>
      </c>
      <c r="Y2063">
        <f t="shared" si="495"/>
        <v>0</v>
      </c>
      <c r="Z2063">
        <f t="shared" si="486"/>
        <v>4</v>
      </c>
      <c r="AA2063">
        <f t="shared" si="487"/>
        <v>7.5</v>
      </c>
      <c r="AB2063">
        <f t="shared" si="488"/>
        <v>4.2857142857142856</v>
      </c>
      <c r="AC2063">
        <f t="shared" si="489"/>
        <v>0</v>
      </c>
      <c r="AD2063" s="1">
        <f t="shared" si="490"/>
        <v>0</v>
      </c>
      <c r="AE2063">
        <f t="shared" si="491"/>
        <v>0</v>
      </c>
      <c r="AF2063">
        <f t="shared" si="492"/>
        <v>0</v>
      </c>
      <c r="AG2063">
        <f t="shared" si="493"/>
        <v>0</v>
      </c>
    </row>
    <row r="2064" spans="1:33" x14ac:dyDescent="0.25">
      <c r="A2064" t="s">
        <v>3323</v>
      </c>
      <c r="B2064" t="s">
        <v>3324</v>
      </c>
      <c r="C2064">
        <v>167778</v>
      </c>
      <c r="D2064">
        <v>167778</v>
      </c>
      <c r="H2064">
        <v>10</v>
      </c>
      <c r="I2064">
        <v>40</v>
      </c>
      <c r="J2064">
        <v>10</v>
      </c>
      <c r="K2064">
        <v>10</v>
      </c>
      <c r="L2064">
        <v>0</v>
      </c>
      <c r="M2064">
        <v>70</v>
      </c>
      <c r="S2064">
        <f t="shared" si="482"/>
        <v>0</v>
      </c>
      <c r="T2064">
        <f t="shared" si="483"/>
        <v>5.833333333333333</v>
      </c>
      <c r="U2064">
        <f t="shared" si="481"/>
        <v>1</v>
      </c>
      <c r="V2064">
        <f t="shared" si="484"/>
        <v>0</v>
      </c>
      <c r="W2064">
        <f t="shared" si="485"/>
        <v>1</v>
      </c>
      <c r="X2064">
        <f t="shared" si="494"/>
        <v>0</v>
      </c>
      <c r="Y2064">
        <f t="shared" si="495"/>
        <v>0</v>
      </c>
      <c r="Z2064">
        <f t="shared" si="486"/>
        <v>0</v>
      </c>
      <c r="AA2064">
        <f t="shared" si="487"/>
        <v>0</v>
      </c>
      <c r="AB2064">
        <f t="shared" si="488"/>
        <v>0</v>
      </c>
      <c r="AC2064">
        <f t="shared" si="489"/>
        <v>5</v>
      </c>
      <c r="AD2064" s="1">
        <f t="shared" si="490"/>
        <v>6.666666666666667</v>
      </c>
      <c r="AE2064">
        <f t="shared" si="491"/>
        <v>5</v>
      </c>
      <c r="AF2064">
        <f t="shared" si="492"/>
        <v>10</v>
      </c>
      <c r="AG2064">
        <f t="shared" si="493"/>
        <v>0</v>
      </c>
    </row>
    <row r="2065" spans="1:33" x14ac:dyDescent="0.25">
      <c r="A2065" t="s">
        <v>3325</v>
      </c>
      <c r="B2065" t="s">
        <v>3326</v>
      </c>
      <c r="C2065">
        <v>167145</v>
      </c>
      <c r="D2065">
        <v>167145</v>
      </c>
      <c r="E2065">
        <v>20</v>
      </c>
      <c r="F2065">
        <v>10</v>
      </c>
      <c r="G2065">
        <v>30</v>
      </c>
      <c r="O2065">
        <v>60</v>
      </c>
      <c r="S2065">
        <f t="shared" si="482"/>
        <v>3.75</v>
      </c>
      <c r="T2065">
        <f t="shared" si="483"/>
        <v>0</v>
      </c>
      <c r="U2065">
        <f t="shared" si="481"/>
        <v>1</v>
      </c>
      <c r="V2065">
        <f t="shared" si="484"/>
        <v>1</v>
      </c>
      <c r="W2065">
        <f t="shared" si="485"/>
        <v>0</v>
      </c>
      <c r="X2065">
        <f t="shared" si="494"/>
        <v>0</v>
      </c>
      <c r="Y2065">
        <f t="shared" si="495"/>
        <v>0</v>
      </c>
      <c r="Z2065">
        <f t="shared" si="486"/>
        <v>4</v>
      </c>
      <c r="AA2065">
        <f t="shared" si="487"/>
        <v>2.5</v>
      </c>
      <c r="AB2065">
        <f t="shared" si="488"/>
        <v>4.2857142857142856</v>
      </c>
      <c r="AC2065">
        <f t="shared" si="489"/>
        <v>0</v>
      </c>
      <c r="AD2065" s="1">
        <f t="shared" si="490"/>
        <v>0</v>
      </c>
      <c r="AE2065">
        <f t="shared" si="491"/>
        <v>0</v>
      </c>
      <c r="AF2065">
        <f t="shared" si="492"/>
        <v>0</v>
      </c>
      <c r="AG2065">
        <f t="shared" si="493"/>
        <v>0</v>
      </c>
    </row>
    <row r="2066" spans="1:33" x14ac:dyDescent="0.25">
      <c r="A2066" t="s">
        <v>3325</v>
      </c>
      <c r="B2066" t="s">
        <v>1208</v>
      </c>
      <c r="C2066">
        <v>167167</v>
      </c>
      <c r="D2066">
        <v>167167</v>
      </c>
      <c r="H2066">
        <v>0</v>
      </c>
      <c r="I2066">
        <v>40</v>
      </c>
      <c r="J2066">
        <v>10</v>
      </c>
      <c r="K2066">
        <v>0</v>
      </c>
      <c r="L2066">
        <v>0</v>
      </c>
      <c r="M2066">
        <v>50</v>
      </c>
      <c r="S2066">
        <f t="shared" si="482"/>
        <v>0</v>
      </c>
      <c r="T2066">
        <f t="shared" si="483"/>
        <v>4.166666666666667</v>
      </c>
      <c r="U2066">
        <f t="shared" si="481"/>
        <v>1</v>
      </c>
      <c r="V2066">
        <f t="shared" si="484"/>
        <v>0</v>
      </c>
      <c r="W2066">
        <f t="shared" si="485"/>
        <v>1</v>
      </c>
      <c r="X2066">
        <f t="shared" si="494"/>
        <v>0</v>
      </c>
      <c r="Y2066">
        <f t="shared" si="495"/>
        <v>0</v>
      </c>
      <c r="Z2066">
        <f t="shared" si="486"/>
        <v>0</v>
      </c>
      <c r="AA2066">
        <f t="shared" si="487"/>
        <v>0</v>
      </c>
      <c r="AB2066">
        <f t="shared" si="488"/>
        <v>0</v>
      </c>
      <c r="AC2066">
        <f t="shared" si="489"/>
        <v>0</v>
      </c>
      <c r="AD2066" s="1">
        <f t="shared" si="490"/>
        <v>6.666666666666667</v>
      </c>
      <c r="AE2066">
        <f t="shared" si="491"/>
        <v>5</v>
      </c>
      <c r="AF2066">
        <f t="shared" si="492"/>
        <v>0</v>
      </c>
      <c r="AG2066">
        <f t="shared" si="493"/>
        <v>0</v>
      </c>
    </row>
    <row r="2067" spans="1:33" x14ac:dyDescent="0.25">
      <c r="A2067" t="s">
        <v>3327</v>
      </c>
      <c r="B2067" t="s">
        <v>1701</v>
      </c>
      <c r="C2067">
        <v>166360</v>
      </c>
      <c r="D2067">
        <v>166360</v>
      </c>
      <c r="H2067">
        <v>20</v>
      </c>
      <c r="I2067">
        <v>30</v>
      </c>
      <c r="J2067">
        <v>10</v>
      </c>
      <c r="K2067">
        <v>0</v>
      </c>
      <c r="L2067">
        <v>10</v>
      </c>
      <c r="M2067">
        <v>70</v>
      </c>
      <c r="S2067">
        <f t="shared" si="482"/>
        <v>0</v>
      </c>
      <c r="T2067">
        <f t="shared" si="483"/>
        <v>5.833333333333333</v>
      </c>
      <c r="U2067">
        <f t="shared" si="481"/>
        <v>1</v>
      </c>
      <c r="V2067">
        <f t="shared" si="484"/>
        <v>0</v>
      </c>
      <c r="W2067">
        <f t="shared" si="485"/>
        <v>1</v>
      </c>
      <c r="X2067">
        <f t="shared" si="494"/>
        <v>0</v>
      </c>
      <c r="Y2067">
        <f t="shared" si="495"/>
        <v>0</v>
      </c>
      <c r="Z2067">
        <f t="shared" si="486"/>
        <v>0</v>
      </c>
      <c r="AA2067">
        <f t="shared" si="487"/>
        <v>0</v>
      </c>
      <c r="AB2067">
        <f t="shared" si="488"/>
        <v>0</v>
      </c>
      <c r="AC2067">
        <f t="shared" si="489"/>
        <v>10</v>
      </c>
      <c r="AD2067" s="1">
        <f t="shared" si="490"/>
        <v>5</v>
      </c>
      <c r="AE2067">
        <f t="shared" si="491"/>
        <v>5</v>
      </c>
      <c r="AF2067">
        <f t="shared" si="492"/>
        <v>0</v>
      </c>
      <c r="AG2067">
        <f t="shared" si="493"/>
        <v>10</v>
      </c>
    </row>
    <row r="2068" spans="1:33" x14ac:dyDescent="0.25">
      <c r="A2068" t="s">
        <v>3328</v>
      </c>
      <c r="B2068" t="s">
        <v>797</v>
      </c>
      <c r="C2068">
        <v>164541</v>
      </c>
      <c r="D2068">
        <v>164541</v>
      </c>
      <c r="S2068">
        <f t="shared" si="482"/>
        <v>0</v>
      </c>
      <c r="T2068">
        <f t="shared" si="483"/>
        <v>0</v>
      </c>
      <c r="U2068">
        <f t="shared" si="481"/>
        <v>0</v>
      </c>
      <c r="V2068">
        <f t="shared" si="484"/>
        <v>0</v>
      </c>
      <c r="W2068">
        <f t="shared" si="485"/>
        <v>0</v>
      </c>
      <c r="X2068">
        <f t="shared" si="494"/>
        <v>0</v>
      </c>
      <c r="Y2068">
        <f t="shared" si="495"/>
        <v>0</v>
      </c>
      <c r="Z2068">
        <f t="shared" si="486"/>
        <v>0</v>
      </c>
      <c r="AA2068">
        <f t="shared" si="487"/>
        <v>0</v>
      </c>
      <c r="AB2068">
        <f t="shared" si="488"/>
        <v>0</v>
      </c>
      <c r="AC2068">
        <f t="shared" si="489"/>
        <v>0</v>
      </c>
      <c r="AD2068" s="1">
        <f t="shared" si="490"/>
        <v>0</v>
      </c>
      <c r="AE2068">
        <f t="shared" si="491"/>
        <v>0</v>
      </c>
      <c r="AF2068">
        <f t="shared" si="492"/>
        <v>0</v>
      </c>
      <c r="AG2068">
        <f t="shared" si="493"/>
        <v>0</v>
      </c>
    </row>
    <row r="2069" spans="1:33" x14ac:dyDescent="0.25">
      <c r="A2069" t="s">
        <v>3329</v>
      </c>
      <c r="B2069" t="s">
        <v>3330</v>
      </c>
      <c r="C2069">
        <v>168137</v>
      </c>
      <c r="D2069">
        <v>168137</v>
      </c>
      <c r="H2069">
        <v>20</v>
      </c>
      <c r="I2069">
        <v>40</v>
      </c>
      <c r="J2069">
        <v>20</v>
      </c>
      <c r="K2069">
        <v>0</v>
      </c>
      <c r="L2069">
        <v>10</v>
      </c>
      <c r="M2069">
        <v>90</v>
      </c>
      <c r="S2069">
        <f t="shared" si="482"/>
        <v>0</v>
      </c>
      <c r="T2069">
        <f t="shared" si="483"/>
        <v>7.5</v>
      </c>
      <c r="U2069">
        <f t="shared" si="481"/>
        <v>1</v>
      </c>
      <c r="V2069">
        <f t="shared" si="484"/>
        <v>0</v>
      </c>
      <c r="W2069">
        <f t="shared" si="485"/>
        <v>1</v>
      </c>
      <c r="X2069">
        <f t="shared" si="494"/>
        <v>0</v>
      </c>
      <c r="Y2069">
        <f t="shared" si="495"/>
        <v>1</v>
      </c>
      <c r="Z2069">
        <f t="shared" si="486"/>
        <v>0</v>
      </c>
      <c r="AA2069">
        <f t="shared" si="487"/>
        <v>0</v>
      </c>
      <c r="AB2069">
        <f t="shared" si="488"/>
        <v>0</v>
      </c>
      <c r="AC2069">
        <f t="shared" si="489"/>
        <v>10</v>
      </c>
      <c r="AD2069" s="1">
        <f t="shared" si="490"/>
        <v>6.666666666666667</v>
      </c>
      <c r="AE2069">
        <f t="shared" si="491"/>
        <v>10</v>
      </c>
      <c r="AF2069">
        <f t="shared" si="492"/>
        <v>0</v>
      </c>
      <c r="AG2069">
        <f t="shared" si="493"/>
        <v>10</v>
      </c>
    </row>
    <row r="2070" spans="1:33" x14ac:dyDescent="0.25">
      <c r="A2070" t="s">
        <v>3331</v>
      </c>
      <c r="B2070" t="s">
        <v>3332</v>
      </c>
      <c r="C2070">
        <v>166332</v>
      </c>
      <c r="D2070">
        <v>166332</v>
      </c>
      <c r="H2070">
        <v>20</v>
      </c>
      <c r="I2070">
        <v>60</v>
      </c>
      <c r="J2070">
        <v>10</v>
      </c>
      <c r="K2070">
        <v>10</v>
      </c>
      <c r="L2070">
        <v>10</v>
      </c>
      <c r="M2070">
        <v>110</v>
      </c>
      <c r="S2070">
        <f t="shared" si="482"/>
        <v>0</v>
      </c>
      <c r="T2070">
        <f t="shared" si="483"/>
        <v>9.1666666666666661</v>
      </c>
      <c r="U2070">
        <f t="shared" si="481"/>
        <v>1</v>
      </c>
      <c r="V2070">
        <f t="shared" si="484"/>
        <v>0</v>
      </c>
      <c r="W2070">
        <f t="shared" si="485"/>
        <v>1</v>
      </c>
      <c r="X2070">
        <f t="shared" si="494"/>
        <v>0</v>
      </c>
      <c r="Y2070">
        <f t="shared" si="495"/>
        <v>1</v>
      </c>
      <c r="Z2070">
        <f t="shared" si="486"/>
        <v>0</v>
      </c>
      <c r="AA2070">
        <f t="shared" si="487"/>
        <v>0</v>
      </c>
      <c r="AB2070">
        <f t="shared" si="488"/>
        <v>0</v>
      </c>
      <c r="AC2070">
        <f t="shared" si="489"/>
        <v>10</v>
      </c>
      <c r="AD2070" s="1">
        <f t="shared" si="490"/>
        <v>10</v>
      </c>
      <c r="AE2070">
        <f t="shared" si="491"/>
        <v>5</v>
      </c>
      <c r="AF2070">
        <f t="shared" si="492"/>
        <v>10</v>
      </c>
      <c r="AG2070">
        <f t="shared" si="493"/>
        <v>10</v>
      </c>
    </row>
    <row r="2071" spans="1:33" x14ac:dyDescent="0.25">
      <c r="A2071" t="s">
        <v>3333</v>
      </c>
      <c r="B2071" t="s">
        <v>3334</v>
      </c>
      <c r="C2071">
        <v>168764</v>
      </c>
      <c r="D2071">
        <v>168764</v>
      </c>
      <c r="H2071">
        <v>20</v>
      </c>
      <c r="I2071">
        <v>50</v>
      </c>
      <c r="J2071">
        <v>20</v>
      </c>
      <c r="K2071">
        <v>10</v>
      </c>
      <c r="L2071">
        <v>10</v>
      </c>
      <c r="M2071">
        <v>110</v>
      </c>
      <c r="S2071">
        <f t="shared" si="482"/>
        <v>0</v>
      </c>
      <c r="T2071">
        <f t="shared" si="483"/>
        <v>9.1666666666666661</v>
      </c>
      <c r="U2071">
        <f t="shared" si="481"/>
        <v>1</v>
      </c>
      <c r="V2071">
        <f t="shared" si="484"/>
        <v>0</v>
      </c>
      <c r="W2071">
        <f t="shared" si="485"/>
        <v>1</v>
      </c>
      <c r="X2071">
        <f t="shared" si="494"/>
        <v>0</v>
      </c>
      <c r="Y2071">
        <f t="shared" si="495"/>
        <v>1</v>
      </c>
      <c r="Z2071">
        <f t="shared" si="486"/>
        <v>0</v>
      </c>
      <c r="AA2071">
        <f t="shared" si="487"/>
        <v>0</v>
      </c>
      <c r="AB2071">
        <f t="shared" si="488"/>
        <v>0</v>
      </c>
      <c r="AC2071">
        <f t="shared" si="489"/>
        <v>10</v>
      </c>
      <c r="AD2071" s="1">
        <f t="shared" si="490"/>
        <v>8.3333333333333339</v>
      </c>
      <c r="AE2071">
        <f t="shared" si="491"/>
        <v>10</v>
      </c>
      <c r="AF2071">
        <f t="shared" si="492"/>
        <v>10</v>
      </c>
      <c r="AG2071">
        <f t="shared" si="493"/>
        <v>10</v>
      </c>
    </row>
    <row r="2072" spans="1:33" x14ac:dyDescent="0.25">
      <c r="A2072" t="s">
        <v>3335</v>
      </c>
      <c r="B2072" t="s">
        <v>3336</v>
      </c>
      <c r="C2072">
        <v>168712</v>
      </c>
      <c r="D2072">
        <v>168712</v>
      </c>
      <c r="H2072">
        <v>0</v>
      </c>
      <c r="I2072">
        <v>20</v>
      </c>
      <c r="J2072">
        <v>0</v>
      </c>
      <c r="K2072">
        <v>10</v>
      </c>
      <c r="L2072">
        <v>0</v>
      </c>
      <c r="M2072">
        <v>30</v>
      </c>
      <c r="S2072">
        <f t="shared" si="482"/>
        <v>0</v>
      </c>
      <c r="T2072">
        <f t="shared" si="483"/>
        <v>2.5</v>
      </c>
      <c r="U2072">
        <f t="shared" si="481"/>
        <v>1</v>
      </c>
      <c r="V2072">
        <f t="shared" si="484"/>
        <v>0</v>
      </c>
      <c r="W2072">
        <f t="shared" si="485"/>
        <v>1</v>
      </c>
      <c r="X2072">
        <f t="shared" si="494"/>
        <v>0</v>
      </c>
      <c r="Y2072">
        <f t="shared" si="495"/>
        <v>0</v>
      </c>
      <c r="Z2072">
        <f t="shared" si="486"/>
        <v>0</v>
      </c>
      <c r="AA2072">
        <f t="shared" si="487"/>
        <v>0</v>
      </c>
      <c r="AB2072">
        <f t="shared" si="488"/>
        <v>0</v>
      </c>
      <c r="AC2072">
        <f t="shared" si="489"/>
        <v>0</v>
      </c>
      <c r="AD2072" s="1">
        <f t="shared" si="490"/>
        <v>3.3333333333333335</v>
      </c>
      <c r="AE2072">
        <f t="shared" si="491"/>
        <v>0</v>
      </c>
      <c r="AF2072">
        <f t="shared" si="492"/>
        <v>10</v>
      </c>
      <c r="AG2072">
        <f t="shared" si="493"/>
        <v>0</v>
      </c>
    </row>
    <row r="2073" spans="1:33" x14ac:dyDescent="0.25">
      <c r="A2073" t="s">
        <v>3337</v>
      </c>
      <c r="B2073" t="s">
        <v>1063</v>
      </c>
      <c r="C2073">
        <v>168211</v>
      </c>
      <c r="D2073">
        <v>168211</v>
      </c>
      <c r="H2073">
        <v>0</v>
      </c>
      <c r="I2073">
        <v>20</v>
      </c>
      <c r="J2073">
        <v>0</v>
      </c>
      <c r="K2073">
        <v>0</v>
      </c>
      <c r="L2073">
        <v>10</v>
      </c>
      <c r="M2073">
        <v>30</v>
      </c>
      <c r="S2073">
        <f t="shared" si="482"/>
        <v>0</v>
      </c>
      <c r="T2073">
        <f t="shared" si="483"/>
        <v>2.5</v>
      </c>
      <c r="U2073">
        <f t="shared" si="481"/>
        <v>1</v>
      </c>
      <c r="V2073">
        <f t="shared" si="484"/>
        <v>0</v>
      </c>
      <c r="W2073">
        <f t="shared" si="485"/>
        <v>1</v>
      </c>
      <c r="X2073">
        <f t="shared" si="494"/>
        <v>0</v>
      </c>
      <c r="Y2073">
        <f t="shared" si="495"/>
        <v>0</v>
      </c>
      <c r="Z2073">
        <f t="shared" si="486"/>
        <v>0</v>
      </c>
      <c r="AA2073">
        <f t="shared" si="487"/>
        <v>0</v>
      </c>
      <c r="AB2073">
        <f t="shared" si="488"/>
        <v>0</v>
      </c>
      <c r="AC2073">
        <f t="shared" si="489"/>
        <v>0</v>
      </c>
      <c r="AD2073" s="1">
        <f t="shared" si="490"/>
        <v>3.3333333333333335</v>
      </c>
      <c r="AE2073">
        <f t="shared" si="491"/>
        <v>0</v>
      </c>
      <c r="AF2073">
        <f t="shared" si="492"/>
        <v>0</v>
      </c>
      <c r="AG2073">
        <f t="shared" si="493"/>
        <v>10</v>
      </c>
    </row>
    <row r="2074" spans="1:33" x14ac:dyDescent="0.25">
      <c r="A2074" t="s">
        <v>3338</v>
      </c>
      <c r="B2074" t="s">
        <v>3339</v>
      </c>
      <c r="C2074">
        <v>168529</v>
      </c>
      <c r="D2074">
        <v>168529</v>
      </c>
      <c r="E2074">
        <v>20</v>
      </c>
      <c r="F2074">
        <v>20</v>
      </c>
      <c r="G2074">
        <v>40</v>
      </c>
      <c r="O2074">
        <v>80</v>
      </c>
      <c r="S2074">
        <f t="shared" si="482"/>
        <v>5</v>
      </c>
      <c r="T2074">
        <f t="shared" si="483"/>
        <v>0</v>
      </c>
      <c r="U2074">
        <f t="shared" si="481"/>
        <v>1</v>
      </c>
      <c r="V2074">
        <f t="shared" si="484"/>
        <v>1</v>
      </c>
      <c r="W2074">
        <f t="shared" si="485"/>
        <v>0</v>
      </c>
      <c r="X2074">
        <f t="shared" si="494"/>
        <v>0</v>
      </c>
      <c r="Y2074">
        <f t="shared" si="495"/>
        <v>0</v>
      </c>
      <c r="Z2074">
        <f t="shared" si="486"/>
        <v>4</v>
      </c>
      <c r="AA2074">
        <f t="shared" si="487"/>
        <v>5</v>
      </c>
      <c r="AB2074">
        <f t="shared" si="488"/>
        <v>5.7142857142857144</v>
      </c>
      <c r="AC2074">
        <f t="shared" si="489"/>
        <v>0</v>
      </c>
      <c r="AD2074" s="1">
        <f t="shared" si="490"/>
        <v>0</v>
      </c>
      <c r="AE2074">
        <f t="shared" si="491"/>
        <v>0</v>
      </c>
      <c r="AF2074">
        <f t="shared" si="492"/>
        <v>0</v>
      </c>
      <c r="AG2074">
        <f t="shared" si="493"/>
        <v>0</v>
      </c>
    </row>
    <row r="2075" spans="1:33" x14ac:dyDescent="0.25">
      <c r="A2075" t="s">
        <v>3340</v>
      </c>
      <c r="B2075" t="s">
        <v>1743</v>
      </c>
      <c r="C2075">
        <v>168182</v>
      </c>
      <c r="D2075">
        <v>168182</v>
      </c>
      <c r="E2075">
        <v>40</v>
      </c>
      <c r="F2075">
        <v>20</v>
      </c>
      <c r="G2075">
        <v>20</v>
      </c>
      <c r="O2075">
        <v>80</v>
      </c>
      <c r="S2075">
        <f t="shared" si="482"/>
        <v>5</v>
      </c>
      <c r="T2075">
        <f t="shared" si="483"/>
        <v>0</v>
      </c>
      <c r="U2075">
        <f t="shared" si="481"/>
        <v>1</v>
      </c>
      <c r="V2075">
        <f t="shared" si="484"/>
        <v>1</v>
      </c>
      <c r="W2075">
        <f t="shared" si="485"/>
        <v>0</v>
      </c>
      <c r="X2075">
        <f t="shared" si="494"/>
        <v>0</v>
      </c>
      <c r="Y2075">
        <f t="shared" si="495"/>
        <v>0</v>
      </c>
      <c r="Z2075">
        <f t="shared" si="486"/>
        <v>8</v>
      </c>
      <c r="AA2075">
        <f t="shared" si="487"/>
        <v>5</v>
      </c>
      <c r="AB2075">
        <f t="shared" si="488"/>
        <v>2.8571428571428572</v>
      </c>
      <c r="AC2075">
        <f t="shared" si="489"/>
        <v>0</v>
      </c>
      <c r="AD2075" s="1">
        <f t="shared" si="490"/>
        <v>0</v>
      </c>
      <c r="AE2075">
        <f t="shared" si="491"/>
        <v>0</v>
      </c>
      <c r="AF2075">
        <f t="shared" si="492"/>
        <v>0</v>
      </c>
      <c r="AG2075">
        <f t="shared" si="493"/>
        <v>0</v>
      </c>
    </row>
    <row r="2076" spans="1:33" x14ac:dyDescent="0.25">
      <c r="A2076" t="s">
        <v>3341</v>
      </c>
      <c r="B2076" t="s">
        <v>218</v>
      </c>
      <c r="C2076">
        <v>165967</v>
      </c>
      <c r="D2076">
        <v>165967</v>
      </c>
      <c r="H2076">
        <v>10</v>
      </c>
      <c r="I2076">
        <v>30</v>
      </c>
      <c r="J2076">
        <v>10</v>
      </c>
      <c r="K2076">
        <v>10</v>
      </c>
      <c r="L2076">
        <v>10</v>
      </c>
      <c r="M2076">
        <v>70</v>
      </c>
      <c r="S2076">
        <f t="shared" si="482"/>
        <v>0</v>
      </c>
      <c r="T2076">
        <f t="shared" si="483"/>
        <v>5.833333333333333</v>
      </c>
      <c r="U2076">
        <f t="shared" si="481"/>
        <v>1</v>
      </c>
      <c r="V2076">
        <f t="shared" si="484"/>
        <v>0</v>
      </c>
      <c r="W2076">
        <f t="shared" si="485"/>
        <v>1</v>
      </c>
      <c r="X2076">
        <f t="shared" si="494"/>
        <v>0</v>
      </c>
      <c r="Y2076">
        <f t="shared" si="495"/>
        <v>0</v>
      </c>
      <c r="Z2076">
        <f t="shared" si="486"/>
        <v>0</v>
      </c>
      <c r="AA2076">
        <f t="shared" si="487"/>
        <v>0</v>
      </c>
      <c r="AB2076">
        <f t="shared" si="488"/>
        <v>0</v>
      </c>
      <c r="AC2076">
        <f t="shared" si="489"/>
        <v>5</v>
      </c>
      <c r="AD2076" s="1">
        <f t="shared" si="490"/>
        <v>5</v>
      </c>
      <c r="AE2076">
        <f t="shared" si="491"/>
        <v>5</v>
      </c>
      <c r="AF2076">
        <f t="shared" si="492"/>
        <v>10</v>
      </c>
      <c r="AG2076">
        <f t="shared" si="493"/>
        <v>10</v>
      </c>
    </row>
    <row r="2077" spans="1:33" x14ac:dyDescent="0.25">
      <c r="A2077" t="s">
        <v>3342</v>
      </c>
      <c r="B2077" t="s">
        <v>286</v>
      </c>
      <c r="C2077">
        <v>167816</v>
      </c>
      <c r="D2077">
        <v>167816</v>
      </c>
      <c r="H2077">
        <v>10</v>
      </c>
      <c r="I2077">
        <v>30</v>
      </c>
      <c r="J2077">
        <v>10</v>
      </c>
      <c r="K2077">
        <v>0</v>
      </c>
      <c r="L2077">
        <v>10</v>
      </c>
      <c r="M2077">
        <v>60</v>
      </c>
      <c r="S2077">
        <f t="shared" si="482"/>
        <v>0</v>
      </c>
      <c r="T2077">
        <f t="shared" si="483"/>
        <v>5</v>
      </c>
      <c r="U2077">
        <f t="shared" si="481"/>
        <v>1</v>
      </c>
      <c r="V2077">
        <f t="shared" si="484"/>
        <v>0</v>
      </c>
      <c r="W2077">
        <f t="shared" si="485"/>
        <v>1</v>
      </c>
      <c r="X2077">
        <f t="shared" si="494"/>
        <v>0</v>
      </c>
      <c r="Y2077">
        <f t="shared" si="495"/>
        <v>0</v>
      </c>
      <c r="Z2077">
        <f t="shared" si="486"/>
        <v>0</v>
      </c>
      <c r="AA2077">
        <f t="shared" si="487"/>
        <v>0</v>
      </c>
      <c r="AB2077">
        <f t="shared" si="488"/>
        <v>0</v>
      </c>
      <c r="AC2077">
        <f t="shared" si="489"/>
        <v>5</v>
      </c>
      <c r="AD2077" s="1">
        <f t="shared" si="490"/>
        <v>5</v>
      </c>
      <c r="AE2077">
        <f t="shared" si="491"/>
        <v>5</v>
      </c>
      <c r="AF2077">
        <f t="shared" si="492"/>
        <v>0</v>
      </c>
      <c r="AG2077">
        <f t="shared" si="493"/>
        <v>10</v>
      </c>
    </row>
    <row r="2078" spans="1:33" x14ac:dyDescent="0.25">
      <c r="A2078" t="s">
        <v>3343</v>
      </c>
      <c r="B2078" t="s">
        <v>138</v>
      </c>
      <c r="C2078">
        <v>167731</v>
      </c>
      <c r="D2078">
        <v>167731</v>
      </c>
      <c r="H2078">
        <v>10</v>
      </c>
      <c r="I2078">
        <v>40</v>
      </c>
      <c r="J2078">
        <v>20</v>
      </c>
      <c r="K2078">
        <v>10</v>
      </c>
      <c r="L2078">
        <v>10</v>
      </c>
      <c r="M2078">
        <v>90</v>
      </c>
      <c r="S2078">
        <f t="shared" si="482"/>
        <v>0</v>
      </c>
      <c r="T2078">
        <f t="shared" si="483"/>
        <v>7.5</v>
      </c>
      <c r="U2078">
        <f t="shared" si="481"/>
        <v>1</v>
      </c>
      <c r="V2078">
        <f t="shared" si="484"/>
        <v>0</v>
      </c>
      <c r="W2078">
        <f t="shared" si="485"/>
        <v>1</v>
      </c>
      <c r="X2078">
        <f t="shared" si="494"/>
        <v>0</v>
      </c>
      <c r="Y2078">
        <f t="shared" si="495"/>
        <v>1</v>
      </c>
      <c r="Z2078">
        <f t="shared" si="486"/>
        <v>0</v>
      </c>
      <c r="AA2078">
        <f t="shared" si="487"/>
        <v>0</v>
      </c>
      <c r="AB2078">
        <f t="shared" si="488"/>
        <v>0</v>
      </c>
      <c r="AC2078">
        <f t="shared" si="489"/>
        <v>5</v>
      </c>
      <c r="AD2078" s="1">
        <f t="shared" si="490"/>
        <v>6.666666666666667</v>
      </c>
      <c r="AE2078">
        <f t="shared" si="491"/>
        <v>10</v>
      </c>
      <c r="AF2078">
        <f t="shared" si="492"/>
        <v>10</v>
      </c>
      <c r="AG2078">
        <f t="shared" si="493"/>
        <v>10</v>
      </c>
    </row>
    <row r="2079" spans="1:33" x14ac:dyDescent="0.25">
      <c r="A2079" t="s">
        <v>3344</v>
      </c>
      <c r="B2079" t="s">
        <v>486</v>
      </c>
      <c r="C2079">
        <v>166908</v>
      </c>
      <c r="D2079">
        <v>166908</v>
      </c>
      <c r="H2079">
        <v>10</v>
      </c>
      <c r="I2079">
        <v>20</v>
      </c>
      <c r="J2079">
        <v>0</v>
      </c>
      <c r="K2079">
        <v>0</v>
      </c>
      <c r="L2079">
        <v>0</v>
      </c>
      <c r="M2079">
        <v>30</v>
      </c>
      <c r="S2079">
        <f t="shared" si="482"/>
        <v>0</v>
      </c>
      <c r="T2079">
        <f t="shared" si="483"/>
        <v>2.5</v>
      </c>
      <c r="U2079">
        <f t="shared" si="481"/>
        <v>1</v>
      </c>
      <c r="V2079">
        <f t="shared" si="484"/>
        <v>0</v>
      </c>
      <c r="W2079">
        <f t="shared" si="485"/>
        <v>1</v>
      </c>
      <c r="X2079">
        <f t="shared" si="494"/>
        <v>0</v>
      </c>
      <c r="Y2079">
        <f t="shared" si="495"/>
        <v>0</v>
      </c>
      <c r="Z2079">
        <f t="shared" si="486"/>
        <v>0</v>
      </c>
      <c r="AA2079">
        <f t="shared" si="487"/>
        <v>0</v>
      </c>
      <c r="AB2079">
        <f t="shared" si="488"/>
        <v>0</v>
      </c>
      <c r="AC2079">
        <f t="shared" si="489"/>
        <v>5</v>
      </c>
      <c r="AD2079" s="1">
        <f t="shared" si="490"/>
        <v>3.3333333333333335</v>
      </c>
      <c r="AE2079">
        <f t="shared" si="491"/>
        <v>0</v>
      </c>
      <c r="AF2079">
        <f t="shared" si="492"/>
        <v>0</v>
      </c>
      <c r="AG2079">
        <f t="shared" si="493"/>
        <v>0</v>
      </c>
    </row>
    <row r="2080" spans="1:33" x14ac:dyDescent="0.25">
      <c r="A2080" t="s">
        <v>3345</v>
      </c>
      <c r="B2080" t="s">
        <v>24</v>
      </c>
      <c r="C2080">
        <v>166707</v>
      </c>
      <c r="D2080">
        <v>166707</v>
      </c>
      <c r="S2080">
        <f t="shared" si="482"/>
        <v>0</v>
      </c>
      <c r="T2080">
        <f t="shared" si="483"/>
        <v>0</v>
      </c>
      <c r="U2080">
        <f t="shared" si="481"/>
        <v>0</v>
      </c>
      <c r="V2080">
        <f t="shared" si="484"/>
        <v>0</v>
      </c>
      <c r="W2080">
        <f t="shared" si="485"/>
        <v>0</v>
      </c>
      <c r="X2080">
        <f t="shared" si="494"/>
        <v>0</v>
      </c>
      <c r="Y2080">
        <f t="shared" si="495"/>
        <v>0</v>
      </c>
      <c r="Z2080">
        <f t="shared" si="486"/>
        <v>0</v>
      </c>
      <c r="AA2080">
        <f t="shared" si="487"/>
        <v>0</v>
      </c>
      <c r="AB2080">
        <f t="shared" si="488"/>
        <v>0</v>
      </c>
      <c r="AC2080">
        <f t="shared" si="489"/>
        <v>0</v>
      </c>
      <c r="AD2080" s="1">
        <f t="shared" si="490"/>
        <v>0</v>
      </c>
      <c r="AE2080">
        <f t="shared" si="491"/>
        <v>0</v>
      </c>
      <c r="AF2080">
        <f t="shared" si="492"/>
        <v>0</v>
      </c>
      <c r="AG2080">
        <f t="shared" si="493"/>
        <v>0</v>
      </c>
    </row>
    <row r="2081" spans="1:33" x14ac:dyDescent="0.25">
      <c r="A2081" t="s">
        <v>3346</v>
      </c>
      <c r="B2081" t="s">
        <v>3347</v>
      </c>
      <c r="C2081">
        <v>165340</v>
      </c>
      <c r="D2081">
        <v>165340</v>
      </c>
      <c r="H2081">
        <v>10</v>
      </c>
      <c r="I2081">
        <v>30</v>
      </c>
      <c r="J2081">
        <v>10</v>
      </c>
      <c r="K2081">
        <v>10</v>
      </c>
      <c r="L2081">
        <v>10</v>
      </c>
      <c r="M2081">
        <v>70</v>
      </c>
      <c r="S2081">
        <f t="shared" si="482"/>
        <v>0</v>
      </c>
      <c r="T2081">
        <f t="shared" si="483"/>
        <v>5.833333333333333</v>
      </c>
      <c r="U2081">
        <f t="shared" si="481"/>
        <v>1</v>
      </c>
      <c r="V2081">
        <f t="shared" si="484"/>
        <v>0</v>
      </c>
      <c r="W2081">
        <f t="shared" si="485"/>
        <v>1</v>
      </c>
      <c r="X2081">
        <f t="shared" si="494"/>
        <v>0</v>
      </c>
      <c r="Y2081">
        <f t="shared" si="495"/>
        <v>0</v>
      </c>
      <c r="Z2081">
        <f t="shared" si="486"/>
        <v>0</v>
      </c>
      <c r="AA2081">
        <f t="shared" si="487"/>
        <v>0</v>
      </c>
      <c r="AB2081">
        <f t="shared" si="488"/>
        <v>0</v>
      </c>
      <c r="AC2081">
        <f t="shared" si="489"/>
        <v>5</v>
      </c>
      <c r="AD2081" s="1">
        <f t="shared" si="490"/>
        <v>5</v>
      </c>
      <c r="AE2081">
        <f t="shared" si="491"/>
        <v>5</v>
      </c>
      <c r="AF2081">
        <f t="shared" si="492"/>
        <v>10</v>
      </c>
      <c r="AG2081">
        <f t="shared" si="493"/>
        <v>10</v>
      </c>
    </row>
    <row r="2082" spans="1:33" x14ac:dyDescent="0.25">
      <c r="A2082" t="s">
        <v>3348</v>
      </c>
      <c r="B2082" t="s">
        <v>354</v>
      </c>
      <c r="C2082">
        <v>165759</v>
      </c>
      <c r="D2082">
        <v>165759</v>
      </c>
      <c r="E2082">
        <v>40</v>
      </c>
      <c r="F2082">
        <v>30</v>
      </c>
      <c r="G2082">
        <v>40</v>
      </c>
      <c r="O2082">
        <v>110</v>
      </c>
      <c r="S2082">
        <f t="shared" si="482"/>
        <v>6.875</v>
      </c>
      <c r="T2082">
        <f t="shared" si="483"/>
        <v>0</v>
      </c>
      <c r="U2082">
        <f t="shared" si="481"/>
        <v>1</v>
      </c>
      <c r="V2082">
        <f t="shared" si="484"/>
        <v>1</v>
      </c>
      <c r="W2082">
        <f t="shared" si="485"/>
        <v>0</v>
      </c>
      <c r="X2082">
        <f t="shared" si="494"/>
        <v>1</v>
      </c>
      <c r="Y2082">
        <f t="shared" si="495"/>
        <v>0</v>
      </c>
      <c r="Z2082">
        <f t="shared" si="486"/>
        <v>8</v>
      </c>
      <c r="AA2082">
        <f t="shared" si="487"/>
        <v>7.5</v>
      </c>
      <c r="AB2082">
        <f t="shared" si="488"/>
        <v>5.7142857142857144</v>
      </c>
      <c r="AC2082">
        <f t="shared" si="489"/>
        <v>0</v>
      </c>
      <c r="AD2082" s="1">
        <f t="shared" si="490"/>
        <v>0</v>
      </c>
      <c r="AE2082">
        <f t="shared" si="491"/>
        <v>0</v>
      </c>
      <c r="AF2082">
        <f t="shared" si="492"/>
        <v>0</v>
      </c>
      <c r="AG2082">
        <f t="shared" si="493"/>
        <v>0</v>
      </c>
    </row>
    <row r="2083" spans="1:33" x14ac:dyDescent="0.25">
      <c r="A2083" t="s">
        <v>3349</v>
      </c>
      <c r="B2083" t="s">
        <v>3350</v>
      </c>
      <c r="C2083">
        <v>167764</v>
      </c>
      <c r="D2083">
        <v>167764</v>
      </c>
      <c r="E2083">
        <v>10</v>
      </c>
      <c r="F2083">
        <v>0</v>
      </c>
      <c r="G2083">
        <v>20</v>
      </c>
      <c r="O2083">
        <v>30</v>
      </c>
      <c r="S2083">
        <f t="shared" si="482"/>
        <v>1.875</v>
      </c>
      <c r="T2083">
        <f t="shared" si="483"/>
        <v>0</v>
      </c>
      <c r="U2083">
        <f t="shared" si="481"/>
        <v>1</v>
      </c>
      <c r="V2083">
        <f t="shared" si="484"/>
        <v>1</v>
      </c>
      <c r="W2083">
        <f t="shared" si="485"/>
        <v>0</v>
      </c>
      <c r="X2083">
        <f t="shared" si="494"/>
        <v>0</v>
      </c>
      <c r="Y2083">
        <f t="shared" si="495"/>
        <v>0</v>
      </c>
      <c r="Z2083">
        <f t="shared" si="486"/>
        <v>2</v>
      </c>
      <c r="AA2083">
        <f t="shared" si="487"/>
        <v>0</v>
      </c>
      <c r="AB2083">
        <f t="shared" si="488"/>
        <v>2.8571428571428572</v>
      </c>
      <c r="AC2083">
        <f t="shared" si="489"/>
        <v>0</v>
      </c>
      <c r="AD2083" s="1">
        <f t="shared" si="490"/>
        <v>0</v>
      </c>
      <c r="AE2083">
        <f t="shared" si="491"/>
        <v>0</v>
      </c>
      <c r="AF2083">
        <f t="shared" si="492"/>
        <v>0</v>
      </c>
      <c r="AG2083">
        <f t="shared" si="493"/>
        <v>0</v>
      </c>
    </row>
    <row r="2084" spans="1:33" x14ac:dyDescent="0.25">
      <c r="A2084" t="s">
        <v>3351</v>
      </c>
      <c r="B2084" t="s">
        <v>166</v>
      </c>
      <c r="C2084">
        <v>167547</v>
      </c>
      <c r="D2084">
        <v>167547</v>
      </c>
      <c r="E2084">
        <v>50</v>
      </c>
      <c r="F2084">
        <v>0</v>
      </c>
      <c r="G2084">
        <v>10</v>
      </c>
      <c r="N2084" t="s">
        <v>20</v>
      </c>
      <c r="O2084">
        <v>60</v>
      </c>
      <c r="S2084">
        <f t="shared" si="482"/>
        <v>3.75</v>
      </c>
      <c r="T2084">
        <f t="shared" si="483"/>
        <v>0</v>
      </c>
      <c r="U2084">
        <f t="shared" si="481"/>
        <v>1</v>
      </c>
      <c r="V2084">
        <f t="shared" si="484"/>
        <v>1</v>
      </c>
      <c r="W2084">
        <f t="shared" si="485"/>
        <v>0</v>
      </c>
      <c r="X2084">
        <f t="shared" si="494"/>
        <v>0</v>
      </c>
      <c r="Y2084">
        <f t="shared" si="495"/>
        <v>0</v>
      </c>
      <c r="Z2084">
        <f t="shared" si="486"/>
        <v>10</v>
      </c>
      <c r="AA2084">
        <f t="shared" si="487"/>
        <v>0</v>
      </c>
      <c r="AB2084">
        <f t="shared" si="488"/>
        <v>1.4285714285714286</v>
      </c>
      <c r="AC2084">
        <f t="shared" si="489"/>
        <v>0</v>
      </c>
      <c r="AD2084" s="1">
        <f t="shared" si="490"/>
        <v>0</v>
      </c>
      <c r="AE2084">
        <f t="shared" si="491"/>
        <v>0</v>
      </c>
      <c r="AF2084">
        <f t="shared" si="492"/>
        <v>0</v>
      </c>
      <c r="AG2084">
        <f t="shared" si="493"/>
        <v>0</v>
      </c>
    </row>
    <row r="2085" spans="1:33" x14ac:dyDescent="0.25">
      <c r="A2085" t="s">
        <v>3352</v>
      </c>
      <c r="B2085" t="s">
        <v>138</v>
      </c>
      <c r="C2085">
        <v>165517</v>
      </c>
      <c r="D2085">
        <v>165517</v>
      </c>
      <c r="H2085">
        <v>10</v>
      </c>
      <c r="I2085">
        <v>40</v>
      </c>
      <c r="J2085">
        <v>0</v>
      </c>
      <c r="K2085">
        <v>10</v>
      </c>
      <c r="L2085">
        <v>0</v>
      </c>
      <c r="M2085">
        <v>60</v>
      </c>
      <c r="S2085">
        <f t="shared" si="482"/>
        <v>0</v>
      </c>
      <c r="T2085">
        <f t="shared" si="483"/>
        <v>5</v>
      </c>
      <c r="U2085">
        <f t="shared" si="481"/>
        <v>1</v>
      </c>
      <c r="V2085">
        <f t="shared" si="484"/>
        <v>0</v>
      </c>
      <c r="W2085">
        <f t="shared" si="485"/>
        <v>1</v>
      </c>
      <c r="X2085">
        <f t="shared" si="494"/>
        <v>0</v>
      </c>
      <c r="Y2085">
        <f t="shared" si="495"/>
        <v>0</v>
      </c>
      <c r="Z2085">
        <f t="shared" si="486"/>
        <v>0</v>
      </c>
      <c r="AA2085">
        <f t="shared" si="487"/>
        <v>0</v>
      </c>
      <c r="AB2085">
        <f t="shared" si="488"/>
        <v>0</v>
      </c>
      <c r="AC2085">
        <f t="shared" si="489"/>
        <v>5</v>
      </c>
      <c r="AD2085" s="1">
        <f t="shared" si="490"/>
        <v>6.666666666666667</v>
      </c>
      <c r="AE2085">
        <f t="shared" si="491"/>
        <v>0</v>
      </c>
      <c r="AF2085">
        <f t="shared" si="492"/>
        <v>10</v>
      </c>
      <c r="AG2085">
        <f t="shared" si="493"/>
        <v>0</v>
      </c>
    </row>
    <row r="2086" spans="1:33" x14ac:dyDescent="0.25">
      <c r="A2086" t="s">
        <v>3353</v>
      </c>
      <c r="B2086" t="s">
        <v>3354</v>
      </c>
      <c r="C2086">
        <v>166896</v>
      </c>
      <c r="D2086">
        <v>166896</v>
      </c>
      <c r="H2086">
        <v>10</v>
      </c>
      <c r="I2086">
        <v>40</v>
      </c>
      <c r="J2086">
        <v>10</v>
      </c>
      <c r="K2086">
        <v>10</v>
      </c>
      <c r="L2086">
        <v>0</v>
      </c>
      <c r="M2086">
        <v>70</v>
      </c>
      <c r="S2086">
        <f t="shared" si="482"/>
        <v>0</v>
      </c>
      <c r="T2086">
        <f t="shared" si="483"/>
        <v>5.833333333333333</v>
      </c>
      <c r="U2086">
        <f t="shared" si="481"/>
        <v>1</v>
      </c>
      <c r="V2086">
        <f t="shared" si="484"/>
        <v>0</v>
      </c>
      <c r="W2086">
        <f t="shared" si="485"/>
        <v>1</v>
      </c>
      <c r="X2086">
        <f t="shared" si="494"/>
        <v>0</v>
      </c>
      <c r="Y2086">
        <f t="shared" si="495"/>
        <v>0</v>
      </c>
      <c r="Z2086">
        <f t="shared" si="486"/>
        <v>0</v>
      </c>
      <c r="AA2086">
        <f t="shared" si="487"/>
        <v>0</v>
      </c>
      <c r="AB2086">
        <f t="shared" si="488"/>
        <v>0</v>
      </c>
      <c r="AC2086">
        <f t="shared" si="489"/>
        <v>5</v>
      </c>
      <c r="AD2086" s="1">
        <f t="shared" si="490"/>
        <v>6.666666666666667</v>
      </c>
      <c r="AE2086">
        <f t="shared" si="491"/>
        <v>5</v>
      </c>
      <c r="AF2086">
        <f t="shared" si="492"/>
        <v>10</v>
      </c>
      <c r="AG2086">
        <f t="shared" si="493"/>
        <v>0</v>
      </c>
    </row>
    <row r="2087" spans="1:33" x14ac:dyDescent="0.25">
      <c r="A2087" t="s">
        <v>3355</v>
      </c>
      <c r="B2087" t="s">
        <v>3356</v>
      </c>
      <c r="C2087">
        <v>166976</v>
      </c>
      <c r="D2087">
        <v>166976</v>
      </c>
      <c r="E2087">
        <v>40</v>
      </c>
      <c r="F2087">
        <v>20</v>
      </c>
      <c r="G2087">
        <v>30</v>
      </c>
      <c r="O2087">
        <v>90</v>
      </c>
      <c r="S2087">
        <f t="shared" si="482"/>
        <v>5.625</v>
      </c>
      <c r="T2087">
        <f t="shared" si="483"/>
        <v>0</v>
      </c>
      <c r="U2087">
        <f t="shared" si="481"/>
        <v>1</v>
      </c>
      <c r="V2087">
        <f t="shared" si="484"/>
        <v>1</v>
      </c>
      <c r="W2087">
        <f t="shared" si="485"/>
        <v>0</v>
      </c>
      <c r="X2087">
        <f t="shared" si="494"/>
        <v>0</v>
      </c>
      <c r="Y2087">
        <f t="shared" si="495"/>
        <v>0</v>
      </c>
      <c r="Z2087">
        <f t="shared" si="486"/>
        <v>8</v>
      </c>
      <c r="AA2087">
        <f t="shared" si="487"/>
        <v>5</v>
      </c>
      <c r="AB2087">
        <f t="shared" si="488"/>
        <v>4.2857142857142856</v>
      </c>
      <c r="AC2087">
        <f t="shared" si="489"/>
        <v>0</v>
      </c>
      <c r="AD2087" s="1">
        <f t="shared" si="490"/>
        <v>0</v>
      </c>
      <c r="AE2087">
        <f t="shared" si="491"/>
        <v>0</v>
      </c>
      <c r="AF2087">
        <f t="shared" si="492"/>
        <v>0</v>
      </c>
      <c r="AG2087">
        <f t="shared" si="493"/>
        <v>0</v>
      </c>
    </row>
    <row r="2088" spans="1:33" x14ac:dyDescent="0.25">
      <c r="A2088" t="s">
        <v>3357</v>
      </c>
      <c r="B2088" t="s">
        <v>3358</v>
      </c>
      <c r="C2088">
        <v>165421</v>
      </c>
      <c r="D2088">
        <v>165421</v>
      </c>
      <c r="E2088">
        <v>40</v>
      </c>
      <c r="F2088">
        <v>30</v>
      </c>
      <c r="G2088">
        <v>30</v>
      </c>
      <c r="O2088">
        <v>100</v>
      </c>
      <c r="S2088">
        <f t="shared" si="482"/>
        <v>6.25</v>
      </c>
      <c r="T2088">
        <f t="shared" si="483"/>
        <v>0</v>
      </c>
      <c r="U2088">
        <f t="shared" si="481"/>
        <v>1</v>
      </c>
      <c r="V2088">
        <f t="shared" si="484"/>
        <v>1</v>
      </c>
      <c r="W2088">
        <f t="shared" si="485"/>
        <v>0</v>
      </c>
      <c r="X2088">
        <f t="shared" si="494"/>
        <v>1</v>
      </c>
      <c r="Y2088">
        <f t="shared" si="495"/>
        <v>0</v>
      </c>
      <c r="Z2088">
        <f t="shared" si="486"/>
        <v>8</v>
      </c>
      <c r="AA2088">
        <f t="shared" si="487"/>
        <v>7.5</v>
      </c>
      <c r="AB2088">
        <f t="shared" si="488"/>
        <v>4.2857142857142856</v>
      </c>
      <c r="AC2088">
        <f t="shared" si="489"/>
        <v>0</v>
      </c>
      <c r="AD2088" s="1">
        <f t="shared" si="490"/>
        <v>0</v>
      </c>
      <c r="AE2088">
        <f t="shared" si="491"/>
        <v>0</v>
      </c>
      <c r="AF2088">
        <f t="shared" si="492"/>
        <v>0</v>
      </c>
      <c r="AG2088">
        <f t="shared" si="493"/>
        <v>0</v>
      </c>
    </row>
    <row r="2089" spans="1:33" x14ac:dyDescent="0.25">
      <c r="A2089" t="s">
        <v>3359</v>
      </c>
      <c r="B2089" t="s">
        <v>3019</v>
      </c>
      <c r="C2089">
        <v>166324</v>
      </c>
      <c r="D2089">
        <v>166324</v>
      </c>
      <c r="S2089">
        <f t="shared" si="482"/>
        <v>0</v>
      </c>
      <c r="T2089">
        <f t="shared" si="483"/>
        <v>0</v>
      </c>
      <c r="U2089">
        <f t="shared" si="481"/>
        <v>0</v>
      </c>
      <c r="V2089">
        <f t="shared" si="484"/>
        <v>0</v>
      </c>
      <c r="W2089">
        <f t="shared" si="485"/>
        <v>0</v>
      </c>
      <c r="X2089">
        <f t="shared" si="494"/>
        <v>0</v>
      </c>
      <c r="Y2089">
        <f t="shared" si="495"/>
        <v>0</v>
      </c>
      <c r="Z2089">
        <f t="shared" si="486"/>
        <v>0</v>
      </c>
      <c r="AA2089">
        <f t="shared" si="487"/>
        <v>0</v>
      </c>
      <c r="AB2089">
        <f t="shared" si="488"/>
        <v>0</v>
      </c>
      <c r="AC2089">
        <f t="shared" si="489"/>
        <v>0</v>
      </c>
      <c r="AD2089" s="1">
        <f t="shared" si="490"/>
        <v>0</v>
      </c>
      <c r="AE2089">
        <f t="shared" si="491"/>
        <v>0</v>
      </c>
      <c r="AF2089">
        <f t="shared" si="492"/>
        <v>0</v>
      </c>
      <c r="AG2089">
        <f t="shared" si="493"/>
        <v>0</v>
      </c>
    </row>
    <row r="2090" spans="1:33" x14ac:dyDescent="0.25">
      <c r="A2090" t="s">
        <v>3360</v>
      </c>
      <c r="B2090" t="s">
        <v>3361</v>
      </c>
      <c r="C2090">
        <v>165396</v>
      </c>
      <c r="D2090">
        <v>165396</v>
      </c>
      <c r="H2090">
        <v>20</v>
      </c>
      <c r="I2090">
        <v>40</v>
      </c>
      <c r="J2090">
        <v>10</v>
      </c>
      <c r="K2090">
        <v>0</v>
      </c>
      <c r="L2090">
        <v>10</v>
      </c>
      <c r="M2090">
        <v>80</v>
      </c>
      <c r="S2090">
        <f t="shared" si="482"/>
        <v>0</v>
      </c>
      <c r="T2090">
        <f t="shared" si="483"/>
        <v>6.666666666666667</v>
      </c>
      <c r="U2090">
        <f t="shared" si="481"/>
        <v>1</v>
      </c>
      <c r="V2090">
        <f t="shared" si="484"/>
        <v>0</v>
      </c>
      <c r="W2090">
        <f t="shared" si="485"/>
        <v>1</v>
      </c>
      <c r="X2090">
        <f t="shared" si="494"/>
        <v>0</v>
      </c>
      <c r="Y2090">
        <f t="shared" si="495"/>
        <v>1</v>
      </c>
      <c r="Z2090">
        <f t="shared" si="486"/>
        <v>0</v>
      </c>
      <c r="AA2090">
        <f t="shared" si="487"/>
        <v>0</v>
      </c>
      <c r="AB2090">
        <f t="shared" si="488"/>
        <v>0</v>
      </c>
      <c r="AC2090">
        <f t="shared" si="489"/>
        <v>10</v>
      </c>
      <c r="AD2090" s="1">
        <f t="shared" si="490"/>
        <v>6.666666666666667</v>
      </c>
      <c r="AE2090">
        <f t="shared" si="491"/>
        <v>5</v>
      </c>
      <c r="AF2090">
        <f t="shared" si="492"/>
        <v>0</v>
      </c>
      <c r="AG2090">
        <f t="shared" si="493"/>
        <v>10</v>
      </c>
    </row>
    <row r="2091" spans="1:33" x14ac:dyDescent="0.25">
      <c r="A2091" t="s">
        <v>3362</v>
      </c>
      <c r="B2091" t="s">
        <v>577</v>
      </c>
      <c r="C2091">
        <v>166132</v>
      </c>
      <c r="D2091">
        <v>166132</v>
      </c>
      <c r="H2091">
        <v>10</v>
      </c>
      <c r="I2091">
        <v>50</v>
      </c>
      <c r="J2091">
        <v>10</v>
      </c>
      <c r="K2091">
        <v>10</v>
      </c>
      <c r="L2091">
        <v>10</v>
      </c>
      <c r="M2091">
        <v>90</v>
      </c>
      <c r="S2091">
        <f t="shared" si="482"/>
        <v>0</v>
      </c>
      <c r="T2091">
        <f t="shared" si="483"/>
        <v>7.5</v>
      </c>
      <c r="U2091">
        <f t="shared" si="481"/>
        <v>1</v>
      </c>
      <c r="V2091">
        <f t="shared" si="484"/>
        <v>0</v>
      </c>
      <c r="W2091">
        <f t="shared" si="485"/>
        <v>1</v>
      </c>
      <c r="X2091">
        <f t="shared" si="494"/>
        <v>0</v>
      </c>
      <c r="Y2091">
        <f t="shared" si="495"/>
        <v>1</v>
      </c>
      <c r="Z2091">
        <f t="shared" si="486"/>
        <v>0</v>
      </c>
      <c r="AA2091">
        <f t="shared" si="487"/>
        <v>0</v>
      </c>
      <c r="AB2091">
        <f t="shared" si="488"/>
        <v>0</v>
      </c>
      <c r="AC2091">
        <f t="shared" si="489"/>
        <v>5</v>
      </c>
      <c r="AD2091" s="1">
        <f t="shared" si="490"/>
        <v>8.3333333333333339</v>
      </c>
      <c r="AE2091">
        <f t="shared" si="491"/>
        <v>5</v>
      </c>
      <c r="AF2091">
        <f t="shared" si="492"/>
        <v>10</v>
      </c>
      <c r="AG2091">
        <f t="shared" si="493"/>
        <v>10</v>
      </c>
    </row>
    <row r="2092" spans="1:33" x14ac:dyDescent="0.25">
      <c r="A2092" t="s">
        <v>3363</v>
      </c>
      <c r="B2092" t="s">
        <v>25</v>
      </c>
      <c r="C2092">
        <v>166889</v>
      </c>
      <c r="D2092">
        <v>166889</v>
      </c>
      <c r="E2092">
        <v>30</v>
      </c>
      <c r="F2092">
        <v>20</v>
      </c>
      <c r="G2092">
        <v>60</v>
      </c>
      <c r="O2092">
        <v>110</v>
      </c>
      <c r="S2092">
        <f t="shared" si="482"/>
        <v>6.875</v>
      </c>
      <c r="T2092">
        <f t="shared" si="483"/>
        <v>0</v>
      </c>
      <c r="U2092">
        <f t="shared" si="481"/>
        <v>1</v>
      </c>
      <c r="V2092">
        <f t="shared" si="484"/>
        <v>1</v>
      </c>
      <c r="W2092">
        <f t="shared" si="485"/>
        <v>0</v>
      </c>
      <c r="X2092">
        <f t="shared" si="494"/>
        <v>1</v>
      </c>
      <c r="Y2092">
        <f t="shared" si="495"/>
        <v>0</v>
      </c>
      <c r="Z2092">
        <f t="shared" si="486"/>
        <v>6</v>
      </c>
      <c r="AA2092">
        <f t="shared" si="487"/>
        <v>5</v>
      </c>
      <c r="AB2092">
        <f t="shared" si="488"/>
        <v>8.5714285714285712</v>
      </c>
      <c r="AC2092">
        <f t="shared" si="489"/>
        <v>0</v>
      </c>
      <c r="AD2092" s="1">
        <f t="shared" si="490"/>
        <v>0</v>
      </c>
      <c r="AE2092">
        <f t="shared" si="491"/>
        <v>0</v>
      </c>
      <c r="AF2092">
        <f t="shared" si="492"/>
        <v>0</v>
      </c>
      <c r="AG2092">
        <f t="shared" si="493"/>
        <v>0</v>
      </c>
    </row>
    <row r="2093" spans="1:33" x14ac:dyDescent="0.25">
      <c r="A2093" t="s">
        <v>3364</v>
      </c>
      <c r="B2093" t="s">
        <v>3365</v>
      </c>
      <c r="C2093">
        <v>166354</v>
      </c>
      <c r="D2093">
        <v>166354</v>
      </c>
      <c r="E2093">
        <v>10</v>
      </c>
      <c r="F2093">
        <v>0</v>
      </c>
      <c r="G2093">
        <v>10</v>
      </c>
      <c r="O2093">
        <v>20</v>
      </c>
      <c r="S2093">
        <f t="shared" si="482"/>
        <v>1.25</v>
      </c>
      <c r="T2093">
        <f t="shared" si="483"/>
        <v>0</v>
      </c>
      <c r="U2093">
        <f t="shared" si="481"/>
        <v>1</v>
      </c>
      <c r="V2093">
        <f t="shared" si="484"/>
        <v>1</v>
      </c>
      <c r="W2093">
        <f t="shared" si="485"/>
        <v>0</v>
      </c>
      <c r="X2093">
        <f t="shared" si="494"/>
        <v>0</v>
      </c>
      <c r="Y2093">
        <f t="shared" si="495"/>
        <v>0</v>
      </c>
      <c r="Z2093">
        <f t="shared" si="486"/>
        <v>2</v>
      </c>
      <c r="AA2093">
        <f t="shared" si="487"/>
        <v>0</v>
      </c>
      <c r="AB2093">
        <f t="shared" si="488"/>
        <v>1.4285714285714286</v>
      </c>
      <c r="AC2093">
        <f t="shared" si="489"/>
        <v>0</v>
      </c>
      <c r="AD2093" s="1">
        <f t="shared" si="490"/>
        <v>0</v>
      </c>
      <c r="AE2093">
        <f t="shared" si="491"/>
        <v>0</v>
      </c>
      <c r="AF2093">
        <f t="shared" si="492"/>
        <v>0</v>
      </c>
      <c r="AG2093">
        <f t="shared" si="493"/>
        <v>0</v>
      </c>
    </row>
    <row r="2094" spans="1:33" x14ac:dyDescent="0.25">
      <c r="A2094" t="s">
        <v>3364</v>
      </c>
      <c r="B2094" t="s">
        <v>3366</v>
      </c>
      <c r="C2094">
        <v>166353</v>
      </c>
      <c r="D2094">
        <v>166353</v>
      </c>
      <c r="H2094">
        <v>0</v>
      </c>
      <c r="I2094">
        <v>30</v>
      </c>
      <c r="J2094">
        <v>20</v>
      </c>
      <c r="K2094">
        <v>0</v>
      </c>
      <c r="M2094">
        <v>50</v>
      </c>
      <c r="S2094">
        <f t="shared" si="482"/>
        <v>0</v>
      </c>
      <c r="T2094">
        <f t="shared" si="483"/>
        <v>4.166666666666667</v>
      </c>
      <c r="U2094">
        <f t="shared" si="481"/>
        <v>1</v>
      </c>
      <c r="V2094">
        <f t="shared" si="484"/>
        <v>0</v>
      </c>
      <c r="W2094">
        <f t="shared" si="485"/>
        <v>1</v>
      </c>
      <c r="X2094">
        <f t="shared" si="494"/>
        <v>0</v>
      </c>
      <c r="Y2094">
        <f t="shared" si="495"/>
        <v>0</v>
      </c>
      <c r="Z2094">
        <f t="shared" si="486"/>
        <v>0</v>
      </c>
      <c r="AA2094">
        <f t="shared" si="487"/>
        <v>0</v>
      </c>
      <c r="AB2094">
        <f t="shared" si="488"/>
        <v>0</v>
      </c>
      <c r="AC2094">
        <f t="shared" si="489"/>
        <v>0</v>
      </c>
      <c r="AD2094" s="1">
        <f t="shared" si="490"/>
        <v>5</v>
      </c>
      <c r="AE2094">
        <f t="shared" si="491"/>
        <v>10</v>
      </c>
      <c r="AF2094">
        <f t="shared" si="492"/>
        <v>0</v>
      </c>
      <c r="AG2094">
        <f t="shared" si="493"/>
        <v>0</v>
      </c>
    </row>
    <row r="2095" spans="1:33" x14ac:dyDescent="0.25">
      <c r="A2095" t="s">
        <v>3367</v>
      </c>
      <c r="B2095" t="s">
        <v>3368</v>
      </c>
      <c r="C2095">
        <v>167737</v>
      </c>
      <c r="D2095">
        <v>167737</v>
      </c>
      <c r="E2095">
        <v>0</v>
      </c>
      <c r="F2095">
        <v>30</v>
      </c>
      <c r="G2095">
        <v>20</v>
      </c>
      <c r="O2095">
        <v>50</v>
      </c>
      <c r="S2095">
        <f t="shared" si="482"/>
        <v>3.125</v>
      </c>
      <c r="T2095">
        <f t="shared" si="483"/>
        <v>0</v>
      </c>
      <c r="U2095">
        <f t="shared" si="481"/>
        <v>1</v>
      </c>
      <c r="V2095">
        <f t="shared" si="484"/>
        <v>1</v>
      </c>
      <c r="W2095">
        <f t="shared" si="485"/>
        <v>0</v>
      </c>
      <c r="X2095">
        <f t="shared" si="494"/>
        <v>0</v>
      </c>
      <c r="Y2095">
        <f t="shared" si="495"/>
        <v>0</v>
      </c>
      <c r="Z2095">
        <f t="shared" si="486"/>
        <v>0</v>
      </c>
      <c r="AA2095">
        <f t="shared" si="487"/>
        <v>7.5</v>
      </c>
      <c r="AB2095">
        <f t="shared" si="488"/>
        <v>2.8571428571428572</v>
      </c>
      <c r="AC2095">
        <f t="shared" si="489"/>
        <v>0</v>
      </c>
      <c r="AD2095" s="1">
        <f t="shared" si="490"/>
        <v>0</v>
      </c>
      <c r="AE2095">
        <f t="shared" si="491"/>
        <v>0</v>
      </c>
      <c r="AF2095">
        <f t="shared" si="492"/>
        <v>0</v>
      </c>
      <c r="AG2095">
        <f t="shared" si="493"/>
        <v>0</v>
      </c>
    </row>
    <row r="2096" spans="1:33" x14ac:dyDescent="0.25">
      <c r="A2096" t="s">
        <v>3369</v>
      </c>
      <c r="B2096" t="s">
        <v>3370</v>
      </c>
      <c r="C2096">
        <v>168510</v>
      </c>
      <c r="D2096">
        <v>168510</v>
      </c>
      <c r="E2096">
        <v>50</v>
      </c>
      <c r="F2096">
        <v>20</v>
      </c>
      <c r="G2096">
        <v>60</v>
      </c>
      <c r="O2096">
        <v>130</v>
      </c>
      <c r="S2096">
        <f t="shared" si="482"/>
        <v>8.125</v>
      </c>
      <c r="T2096">
        <f t="shared" si="483"/>
        <v>0</v>
      </c>
      <c r="U2096">
        <f t="shared" si="481"/>
        <v>1</v>
      </c>
      <c r="V2096">
        <f t="shared" si="484"/>
        <v>1</v>
      </c>
      <c r="W2096">
        <f t="shared" si="485"/>
        <v>0</v>
      </c>
      <c r="X2096">
        <f t="shared" si="494"/>
        <v>1</v>
      </c>
      <c r="Y2096">
        <f t="shared" si="495"/>
        <v>0</v>
      </c>
      <c r="Z2096">
        <f t="shared" si="486"/>
        <v>10</v>
      </c>
      <c r="AA2096">
        <f t="shared" si="487"/>
        <v>5</v>
      </c>
      <c r="AB2096">
        <f t="shared" si="488"/>
        <v>8.5714285714285712</v>
      </c>
      <c r="AC2096">
        <f t="shared" si="489"/>
        <v>0</v>
      </c>
      <c r="AD2096" s="1">
        <f t="shared" si="490"/>
        <v>0</v>
      </c>
      <c r="AE2096">
        <f t="shared" si="491"/>
        <v>0</v>
      </c>
      <c r="AF2096">
        <f t="shared" si="492"/>
        <v>0</v>
      </c>
      <c r="AG2096">
        <f t="shared" si="493"/>
        <v>0</v>
      </c>
    </row>
    <row r="2097" spans="1:33" x14ac:dyDescent="0.25">
      <c r="A2097" t="s">
        <v>3371</v>
      </c>
      <c r="B2097" t="s">
        <v>3372</v>
      </c>
      <c r="C2097">
        <v>164269</v>
      </c>
      <c r="D2097">
        <v>164269</v>
      </c>
      <c r="S2097">
        <f t="shared" si="482"/>
        <v>0</v>
      </c>
      <c r="T2097">
        <f t="shared" si="483"/>
        <v>0</v>
      </c>
      <c r="U2097">
        <f t="shared" si="481"/>
        <v>0</v>
      </c>
      <c r="V2097">
        <f t="shared" si="484"/>
        <v>0</v>
      </c>
      <c r="W2097">
        <f t="shared" si="485"/>
        <v>0</v>
      </c>
      <c r="X2097">
        <f t="shared" si="494"/>
        <v>0</v>
      </c>
      <c r="Y2097">
        <f t="shared" si="495"/>
        <v>0</v>
      </c>
      <c r="Z2097">
        <f t="shared" si="486"/>
        <v>0</v>
      </c>
      <c r="AA2097">
        <f t="shared" si="487"/>
        <v>0</v>
      </c>
      <c r="AB2097">
        <f t="shared" si="488"/>
        <v>0</v>
      </c>
      <c r="AC2097">
        <f t="shared" si="489"/>
        <v>0</v>
      </c>
      <c r="AD2097" s="1">
        <f t="shared" si="490"/>
        <v>0</v>
      </c>
      <c r="AE2097">
        <f t="shared" si="491"/>
        <v>0</v>
      </c>
      <c r="AF2097">
        <f t="shared" si="492"/>
        <v>0</v>
      </c>
      <c r="AG2097">
        <f t="shared" si="493"/>
        <v>0</v>
      </c>
    </row>
    <row r="2098" spans="1:33" x14ac:dyDescent="0.25">
      <c r="A2098" t="s">
        <v>3373</v>
      </c>
      <c r="B2098" t="s">
        <v>963</v>
      </c>
      <c r="C2098">
        <v>167882</v>
      </c>
      <c r="D2098">
        <v>167882</v>
      </c>
      <c r="E2098">
        <v>30</v>
      </c>
      <c r="F2098">
        <v>30</v>
      </c>
      <c r="G2098">
        <v>20</v>
      </c>
      <c r="O2098">
        <v>80</v>
      </c>
      <c r="S2098">
        <f t="shared" si="482"/>
        <v>5</v>
      </c>
      <c r="T2098">
        <f t="shared" si="483"/>
        <v>0</v>
      </c>
      <c r="U2098">
        <f t="shared" si="481"/>
        <v>1</v>
      </c>
      <c r="V2098">
        <f t="shared" si="484"/>
        <v>1</v>
      </c>
      <c r="W2098">
        <f t="shared" si="485"/>
        <v>0</v>
      </c>
      <c r="X2098">
        <f t="shared" si="494"/>
        <v>0</v>
      </c>
      <c r="Y2098">
        <f t="shared" si="495"/>
        <v>0</v>
      </c>
      <c r="Z2098">
        <f t="shared" si="486"/>
        <v>6</v>
      </c>
      <c r="AA2098">
        <f t="shared" si="487"/>
        <v>7.5</v>
      </c>
      <c r="AB2098">
        <f t="shared" si="488"/>
        <v>2.8571428571428572</v>
      </c>
      <c r="AC2098">
        <f t="shared" si="489"/>
        <v>0</v>
      </c>
      <c r="AD2098" s="1">
        <f t="shared" si="490"/>
        <v>0</v>
      </c>
      <c r="AE2098">
        <f t="shared" si="491"/>
        <v>0</v>
      </c>
      <c r="AF2098">
        <f t="shared" si="492"/>
        <v>0</v>
      </c>
      <c r="AG2098">
        <f t="shared" si="493"/>
        <v>0</v>
      </c>
    </row>
    <row r="2099" spans="1:33" x14ac:dyDescent="0.25">
      <c r="A2099" t="s">
        <v>3374</v>
      </c>
      <c r="B2099" t="s">
        <v>59</v>
      </c>
      <c r="C2099">
        <v>166469</v>
      </c>
      <c r="D2099">
        <v>166469</v>
      </c>
      <c r="H2099">
        <v>10</v>
      </c>
      <c r="I2099">
        <v>30</v>
      </c>
      <c r="J2099">
        <v>10</v>
      </c>
      <c r="K2099">
        <v>10</v>
      </c>
      <c r="L2099">
        <v>0</v>
      </c>
      <c r="M2099">
        <v>60</v>
      </c>
      <c r="S2099">
        <f t="shared" si="482"/>
        <v>0</v>
      </c>
      <c r="T2099">
        <f t="shared" si="483"/>
        <v>5</v>
      </c>
      <c r="U2099">
        <f t="shared" si="481"/>
        <v>1</v>
      </c>
      <c r="V2099">
        <f t="shared" si="484"/>
        <v>0</v>
      </c>
      <c r="W2099">
        <f t="shared" si="485"/>
        <v>1</v>
      </c>
      <c r="X2099">
        <f t="shared" si="494"/>
        <v>0</v>
      </c>
      <c r="Y2099">
        <f t="shared" si="495"/>
        <v>0</v>
      </c>
      <c r="Z2099">
        <f t="shared" si="486"/>
        <v>0</v>
      </c>
      <c r="AA2099">
        <f t="shared" si="487"/>
        <v>0</v>
      </c>
      <c r="AB2099">
        <f t="shared" si="488"/>
        <v>0</v>
      </c>
      <c r="AC2099">
        <f t="shared" si="489"/>
        <v>5</v>
      </c>
      <c r="AD2099" s="1">
        <f t="shared" si="490"/>
        <v>5</v>
      </c>
      <c r="AE2099">
        <f t="shared" si="491"/>
        <v>5</v>
      </c>
      <c r="AF2099">
        <f t="shared" si="492"/>
        <v>10</v>
      </c>
      <c r="AG2099">
        <f t="shared" si="493"/>
        <v>0</v>
      </c>
    </row>
    <row r="2100" spans="1:33" x14ac:dyDescent="0.25">
      <c r="A2100" t="s">
        <v>3375</v>
      </c>
      <c r="B2100" t="s">
        <v>3376</v>
      </c>
      <c r="C2100">
        <v>168625</v>
      </c>
      <c r="D2100">
        <v>168625</v>
      </c>
      <c r="H2100">
        <v>10</v>
      </c>
      <c r="I2100">
        <v>30</v>
      </c>
      <c r="J2100">
        <v>20</v>
      </c>
      <c r="K2100">
        <v>10</v>
      </c>
      <c r="L2100">
        <v>0</v>
      </c>
      <c r="M2100">
        <v>70</v>
      </c>
      <c r="S2100">
        <f t="shared" si="482"/>
        <v>0</v>
      </c>
      <c r="T2100">
        <f t="shared" si="483"/>
        <v>5.833333333333333</v>
      </c>
      <c r="U2100">
        <f t="shared" si="481"/>
        <v>1</v>
      </c>
      <c r="V2100">
        <f t="shared" si="484"/>
        <v>0</v>
      </c>
      <c r="W2100">
        <f t="shared" si="485"/>
        <v>1</v>
      </c>
      <c r="X2100">
        <f t="shared" si="494"/>
        <v>0</v>
      </c>
      <c r="Y2100">
        <f t="shared" si="495"/>
        <v>0</v>
      </c>
      <c r="Z2100">
        <f t="shared" si="486"/>
        <v>0</v>
      </c>
      <c r="AA2100">
        <f t="shared" si="487"/>
        <v>0</v>
      </c>
      <c r="AB2100">
        <f t="shared" si="488"/>
        <v>0</v>
      </c>
      <c r="AC2100">
        <f t="shared" si="489"/>
        <v>5</v>
      </c>
      <c r="AD2100" s="1">
        <f t="shared" si="490"/>
        <v>5</v>
      </c>
      <c r="AE2100">
        <f t="shared" si="491"/>
        <v>10</v>
      </c>
      <c r="AF2100">
        <f t="shared" si="492"/>
        <v>10</v>
      </c>
      <c r="AG2100">
        <f t="shared" si="493"/>
        <v>0</v>
      </c>
    </row>
    <row r="2101" spans="1:33" x14ac:dyDescent="0.25">
      <c r="A2101" t="s">
        <v>3377</v>
      </c>
      <c r="B2101" t="s">
        <v>340</v>
      </c>
      <c r="C2101">
        <v>168847</v>
      </c>
      <c r="D2101">
        <v>168847</v>
      </c>
      <c r="S2101">
        <f t="shared" si="482"/>
        <v>0</v>
      </c>
      <c r="T2101">
        <f t="shared" si="483"/>
        <v>0</v>
      </c>
      <c r="U2101">
        <f t="shared" si="481"/>
        <v>0</v>
      </c>
      <c r="V2101">
        <f t="shared" si="484"/>
        <v>0</v>
      </c>
      <c r="W2101">
        <f t="shared" si="485"/>
        <v>0</v>
      </c>
      <c r="X2101">
        <f t="shared" si="494"/>
        <v>0</v>
      </c>
      <c r="Y2101">
        <f t="shared" si="495"/>
        <v>0</v>
      </c>
      <c r="Z2101">
        <f t="shared" si="486"/>
        <v>0</v>
      </c>
      <c r="AA2101">
        <f t="shared" si="487"/>
        <v>0</v>
      </c>
      <c r="AB2101">
        <f t="shared" si="488"/>
        <v>0</v>
      </c>
      <c r="AC2101">
        <f t="shared" si="489"/>
        <v>0</v>
      </c>
      <c r="AD2101" s="1">
        <f t="shared" si="490"/>
        <v>0</v>
      </c>
      <c r="AE2101">
        <f t="shared" si="491"/>
        <v>0</v>
      </c>
      <c r="AF2101">
        <f t="shared" si="492"/>
        <v>0</v>
      </c>
      <c r="AG2101">
        <f t="shared" si="493"/>
        <v>0</v>
      </c>
    </row>
    <row r="2102" spans="1:33" x14ac:dyDescent="0.25">
      <c r="A2102" t="s">
        <v>3377</v>
      </c>
      <c r="B2102" t="s">
        <v>1521</v>
      </c>
      <c r="C2102">
        <v>168755</v>
      </c>
      <c r="D2102">
        <v>168755</v>
      </c>
      <c r="H2102">
        <v>0</v>
      </c>
      <c r="I2102">
        <v>20</v>
      </c>
      <c r="J2102">
        <v>10</v>
      </c>
      <c r="K2102">
        <v>0</v>
      </c>
      <c r="L2102">
        <v>10</v>
      </c>
      <c r="M2102">
        <v>40</v>
      </c>
      <c r="S2102">
        <f t="shared" si="482"/>
        <v>0</v>
      </c>
      <c r="T2102">
        <f t="shared" si="483"/>
        <v>3.3333333333333335</v>
      </c>
      <c r="U2102">
        <f t="shared" si="481"/>
        <v>1</v>
      </c>
      <c r="V2102">
        <f t="shared" si="484"/>
        <v>0</v>
      </c>
      <c r="W2102">
        <f t="shared" si="485"/>
        <v>1</v>
      </c>
      <c r="X2102">
        <f t="shared" si="494"/>
        <v>0</v>
      </c>
      <c r="Y2102">
        <f t="shared" si="495"/>
        <v>0</v>
      </c>
      <c r="Z2102">
        <f t="shared" si="486"/>
        <v>0</v>
      </c>
      <c r="AA2102">
        <f t="shared" si="487"/>
        <v>0</v>
      </c>
      <c r="AB2102">
        <f t="shared" si="488"/>
        <v>0</v>
      </c>
      <c r="AC2102">
        <f t="shared" si="489"/>
        <v>0</v>
      </c>
      <c r="AD2102" s="1">
        <f t="shared" si="490"/>
        <v>3.3333333333333335</v>
      </c>
      <c r="AE2102">
        <f t="shared" si="491"/>
        <v>5</v>
      </c>
      <c r="AF2102">
        <f t="shared" si="492"/>
        <v>0</v>
      </c>
      <c r="AG2102">
        <f t="shared" si="493"/>
        <v>10</v>
      </c>
    </row>
    <row r="2103" spans="1:33" x14ac:dyDescent="0.25">
      <c r="A2103" t="s">
        <v>3377</v>
      </c>
      <c r="B2103" t="s">
        <v>1392</v>
      </c>
      <c r="C2103">
        <v>165743</v>
      </c>
      <c r="D2103">
        <v>165743</v>
      </c>
      <c r="H2103">
        <v>0</v>
      </c>
      <c r="I2103">
        <v>20</v>
      </c>
      <c r="J2103">
        <v>20</v>
      </c>
      <c r="K2103">
        <v>10</v>
      </c>
      <c r="L2103">
        <v>0</v>
      </c>
      <c r="M2103">
        <v>50</v>
      </c>
      <c r="S2103">
        <f t="shared" si="482"/>
        <v>0</v>
      </c>
      <c r="T2103">
        <f t="shared" si="483"/>
        <v>4.166666666666667</v>
      </c>
      <c r="U2103">
        <f t="shared" si="481"/>
        <v>1</v>
      </c>
      <c r="V2103">
        <f t="shared" si="484"/>
        <v>0</v>
      </c>
      <c r="W2103">
        <f t="shared" si="485"/>
        <v>1</v>
      </c>
      <c r="X2103">
        <f t="shared" si="494"/>
        <v>0</v>
      </c>
      <c r="Y2103">
        <f t="shared" si="495"/>
        <v>0</v>
      </c>
      <c r="Z2103">
        <f t="shared" si="486"/>
        <v>0</v>
      </c>
      <c r="AA2103">
        <f t="shared" si="487"/>
        <v>0</v>
      </c>
      <c r="AB2103">
        <f t="shared" si="488"/>
        <v>0</v>
      </c>
      <c r="AC2103">
        <f t="shared" si="489"/>
        <v>0</v>
      </c>
      <c r="AD2103" s="1">
        <f t="shared" si="490"/>
        <v>3.3333333333333335</v>
      </c>
      <c r="AE2103">
        <f t="shared" si="491"/>
        <v>10</v>
      </c>
      <c r="AF2103">
        <f t="shared" si="492"/>
        <v>10</v>
      </c>
      <c r="AG2103">
        <f t="shared" si="493"/>
        <v>0</v>
      </c>
    </row>
    <row r="2104" spans="1:33" x14ac:dyDescent="0.25">
      <c r="A2104" t="s">
        <v>3378</v>
      </c>
      <c r="B2104" t="s">
        <v>3379</v>
      </c>
      <c r="C2104">
        <v>168655</v>
      </c>
      <c r="D2104">
        <v>168655</v>
      </c>
      <c r="H2104">
        <v>10</v>
      </c>
      <c r="I2104">
        <v>50</v>
      </c>
      <c r="J2104">
        <v>20</v>
      </c>
      <c r="K2104">
        <v>10</v>
      </c>
      <c r="L2104">
        <v>10</v>
      </c>
      <c r="M2104">
        <v>100</v>
      </c>
      <c r="S2104">
        <f t="shared" si="482"/>
        <v>0</v>
      </c>
      <c r="T2104">
        <f t="shared" si="483"/>
        <v>8.3333333333333339</v>
      </c>
      <c r="U2104">
        <f t="shared" si="481"/>
        <v>1</v>
      </c>
      <c r="V2104">
        <f t="shared" si="484"/>
        <v>0</v>
      </c>
      <c r="W2104">
        <f t="shared" si="485"/>
        <v>1</v>
      </c>
      <c r="X2104">
        <f t="shared" si="494"/>
        <v>0</v>
      </c>
      <c r="Y2104">
        <f t="shared" si="495"/>
        <v>1</v>
      </c>
      <c r="Z2104">
        <f t="shared" si="486"/>
        <v>0</v>
      </c>
      <c r="AA2104">
        <f t="shared" si="487"/>
        <v>0</v>
      </c>
      <c r="AB2104">
        <f t="shared" si="488"/>
        <v>0</v>
      </c>
      <c r="AC2104">
        <f t="shared" si="489"/>
        <v>5</v>
      </c>
      <c r="AD2104" s="1">
        <f t="shared" si="490"/>
        <v>8.3333333333333339</v>
      </c>
      <c r="AE2104">
        <f t="shared" si="491"/>
        <v>10</v>
      </c>
      <c r="AF2104">
        <f t="shared" si="492"/>
        <v>10</v>
      </c>
      <c r="AG2104">
        <f t="shared" si="493"/>
        <v>10</v>
      </c>
    </row>
    <row r="2105" spans="1:33" x14ac:dyDescent="0.25">
      <c r="A2105" t="s">
        <v>3380</v>
      </c>
      <c r="B2105" t="s">
        <v>150</v>
      </c>
      <c r="C2105">
        <v>167660</v>
      </c>
      <c r="D2105">
        <v>167660</v>
      </c>
      <c r="S2105">
        <f t="shared" si="482"/>
        <v>0</v>
      </c>
      <c r="T2105">
        <f t="shared" si="483"/>
        <v>0</v>
      </c>
      <c r="U2105">
        <f t="shared" si="481"/>
        <v>0</v>
      </c>
      <c r="V2105">
        <f t="shared" si="484"/>
        <v>0</v>
      </c>
      <c r="W2105">
        <f t="shared" si="485"/>
        <v>0</v>
      </c>
      <c r="X2105">
        <f t="shared" si="494"/>
        <v>0</v>
      </c>
      <c r="Y2105">
        <f t="shared" si="495"/>
        <v>0</v>
      </c>
      <c r="Z2105">
        <f t="shared" si="486"/>
        <v>0</v>
      </c>
      <c r="AA2105">
        <f t="shared" si="487"/>
        <v>0</v>
      </c>
      <c r="AB2105">
        <f t="shared" si="488"/>
        <v>0</v>
      </c>
      <c r="AC2105">
        <f t="shared" si="489"/>
        <v>0</v>
      </c>
      <c r="AD2105" s="1">
        <f t="shared" si="490"/>
        <v>0</v>
      </c>
      <c r="AE2105">
        <f t="shared" si="491"/>
        <v>0</v>
      </c>
      <c r="AF2105">
        <f t="shared" si="492"/>
        <v>0</v>
      </c>
      <c r="AG2105">
        <f t="shared" si="493"/>
        <v>0</v>
      </c>
    </row>
    <row r="2106" spans="1:33" x14ac:dyDescent="0.25">
      <c r="A2106" t="s">
        <v>3381</v>
      </c>
      <c r="B2106" t="s">
        <v>3382</v>
      </c>
      <c r="C2106">
        <v>168607</v>
      </c>
      <c r="D2106">
        <v>168607</v>
      </c>
      <c r="S2106">
        <f t="shared" si="482"/>
        <v>0</v>
      </c>
      <c r="T2106">
        <f t="shared" si="483"/>
        <v>0</v>
      </c>
      <c r="U2106">
        <f t="shared" si="481"/>
        <v>0</v>
      </c>
      <c r="V2106">
        <f t="shared" si="484"/>
        <v>0</v>
      </c>
      <c r="W2106">
        <f t="shared" si="485"/>
        <v>0</v>
      </c>
      <c r="X2106">
        <f t="shared" si="494"/>
        <v>0</v>
      </c>
      <c r="Y2106">
        <f t="shared" si="495"/>
        <v>0</v>
      </c>
      <c r="Z2106">
        <f t="shared" si="486"/>
        <v>0</v>
      </c>
      <c r="AA2106">
        <f t="shared" si="487"/>
        <v>0</v>
      </c>
      <c r="AB2106">
        <f t="shared" si="488"/>
        <v>0</v>
      </c>
      <c r="AC2106">
        <f t="shared" si="489"/>
        <v>0</v>
      </c>
      <c r="AD2106" s="1">
        <f t="shared" si="490"/>
        <v>0</v>
      </c>
      <c r="AE2106">
        <f t="shared" si="491"/>
        <v>0</v>
      </c>
      <c r="AF2106">
        <f t="shared" si="492"/>
        <v>0</v>
      </c>
      <c r="AG2106">
        <f t="shared" si="493"/>
        <v>0</v>
      </c>
    </row>
    <row r="2107" spans="1:33" x14ac:dyDescent="0.25">
      <c r="A2107" t="s">
        <v>3383</v>
      </c>
      <c r="B2107" t="s">
        <v>3384</v>
      </c>
      <c r="C2107">
        <v>166905</v>
      </c>
      <c r="D2107">
        <v>166905</v>
      </c>
      <c r="E2107">
        <v>30</v>
      </c>
      <c r="F2107">
        <v>20</v>
      </c>
      <c r="G2107">
        <v>40</v>
      </c>
      <c r="O2107">
        <v>90</v>
      </c>
      <c r="S2107">
        <f t="shared" si="482"/>
        <v>5.625</v>
      </c>
      <c r="T2107">
        <f t="shared" si="483"/>
        <v>0</v>
      </c>
      <c r="U2107">
        <f t="shared" si="481"/>
        <v>1</v>
      </c>
      <c r="V2107">
        <f t="shared" si="484"/>
        <v>1</v>
      </c>
      <c r="W2107">
        <f t="shared" si="485"/>
        <v>0</v>
      </c>
      <c r="X2107">
        <f t="shared" si="494"/>
        <v>0</v>
      </c>
      <c r="Y2107">
        <f t="shared" si="495"/>
        <v>0</v>
      </c>
      <c r="Z2107">
        <f t="shared" si="486"/>
        <v>6</v>
      </c>
      <c r="AA2107">
        <f t="shared" si="487"/>
        <v>5</v>
      </c>
      <c r="AB2107">
        <f t="shared" si="488"/>
        <v>5.7142857142857144</v>
      </c>
      <c r="AC2107">
        <f t="shared" si="489"/>
        <v>0</v>
      </c>
      <c r="AD2107" s="1">
        <f t="shared" si="490"/>
        <v>0</v>
      </c>
      <c r="AE2107">
        <f t="shared" si="491"/>
        <v>0</v>
      </c>
      <c r="AF2107">
        <f t="shared" si="492"/>
        <v>0</v>
      </c>
      <c r="AG2107">
        <f t="shared" si="493"/>
        <v>0</v>
      </c>
    </row>
    <row r="2108" spans="1:33" x14ac:dyDescent="0.25">
      <c r="U2108" s="2">
        <f t="shared" ref="U2108:AG2108" si="496">SUM(U2:U2107)</f>
        <v>1719</v>
      </c>
      <c r="V2108" s="2">
        <f t="shared" si="496"/>
        <v>887</v>
      </c>
      <c r="W2108" s="2">
        <f t="shared" si="496"/>
        <v>832</v>
      </c>
      <c r="X2108" s="2">
        <f t="shared" si="496"/>
        <v>260</v>
      </c>
      <c r="Y2108" s="2">
        <f t="shared" si="496"/>
        <v>340</v>
      </c>
      <c r="Z2108" s="2">
        <f t="shared" si="496"/>
        <v>4596</v>
      </c>
      <c r="AA2108" s="2">
        <f t="shared" si="496"/>
        <v>4617.5</v>
      </c>
      <c r="AB2108" s="2">
        <f t="shared" si="496"/>
        <v>3792.8571428571377</v>
      </c>
      <c r="AC2108" s="2">
        <f t="shared" si="496"/>
        <v>4280</v>
      </c>
      <c r="AD2108" s="2">
        <f t="shared" si="496"/>
        <v>4746.6666666666624</v>
      </c>
      <c r="AE2108" s="2">
        <f t="shared" si="496"/>
        <v>5170</v>
      </c>
      <c r="AF2108" s="2">
        <f t="shared" si="496"/>
        <v>5400</v>
      </c>
      <c r="AG2108" s="2">
        <f t="shared" si="496"/>
        <v>3960</v>
      </c>
    </row>
    <row r="2109" spans="1:33" x14ac:dyDescent="0.25">
      <c r="U2109" s="2">
        <f>U2108/2106</f>
        <v>0.81623931623931623</v>
      </c>
      <c r="V2109" s="2">
        <f>V2108/U2108</f>
        <v>0.51599767306573585</v>
      </c>
      <c r="W2109" s="2">
        <f>W2108/U2108</f>
        <v>0.48400232693426409</v>
      </c>
      <c r="X2109" s="2">
        <f>X2108/V2108</f>
        <v>0.29312288613303267</v>
      </c>
      <c r="Y2109" s="2">
        <f>Y2108/W2108</f>
        <v>0.40865384615384615</v>
      </c>
      <c r="Z2109" s="2">
        <f>Z2108/V2108</f>
        <v>5.1815107102593014</v>
      </c>
      <c r="AA2109" s="2">
        <f>AA2108/V2108</f>
        <v>5.205749718151071</v>
      </c>
      <c r="AB2109" s="2">
        <f>AB2108/V2108</f>
        <v>4.27605089386374</v>
      </c>
      <c r="AC2109" s="2">
        <f>AC2108/W2108</f>
        <v>5.1442307692307692</v>
      </c>
      <c r="AD2109" s="2">
        <f>AD2108/W2108</f>
        <v>5.7051282051282</v>
      </c>
      <c r="AE2109" s="2">
        <f>AE2108/W2108</f>
        <v>6.2139423076923075</v>
      </c>
      <c r="AF2109" s="2">
        <f>AF2108/W2108</f>
        <v>6.490384615384615</v>
      </c>
      <c r="AG2109" s="2">
        <f>AG2108/W2108</f>
        <v>4.759615384615385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zoomScale="65" workbookViewId="0">
      <selection activeCell="E1" sqref="E1"/>
    </sheetView>
  </sheetViews>
  <sheetFormatPr baseColWidth="10" defaultColWidth="9.140625" defaultRowHeight="15" x14ac:dyDescent="0.25"/>
  <cols>
    <col min="1" max="1" width="12.28515625" customWidth="1"/>
    <col min="2" max="2" width="14" customWidth="1"/>
    <col min="3" max="3" width="11.7109375" customWidth="1"/>
    <col min="4" max="4" width="12.42578125" bestFit="1" customWidth="1"/>
    <col min="5" max="5" width="11.42578125" customWidth="1"/>
    <col min="6" max="6" width="11.5703125" customWidth="1"/>
    <col min="7" max="7" width="9.85546875" customWidth="1"/>
    <col min="8" max="8" width="11.5703125" customWidth="1"/>
    <col min="9" max="9" width="11.42578125" customWidth="1"/>
    <col min="10" max="10" width="10.140625" customWidth="1"/>
    <col min="11" max="11" width="10" customWidth="1"/>
    <col min="12" max="13" width="9.7109375" customWidth="1"/>
    <col min="14" max="14" width="10.28515625" customWidth="1"/>
  </cols>
  <sheetData>
    <row r="1" spans="1:14" ht="75.75" thickBot="1" x14ac:dyDescent="0.3">
      <c r="A1" s="9" t="s">
        <v>3413</v>
      </c>
      <c r="B1" s="9" t="s">
        <v>3400</v>
      </c>
      <c r="C1" s="10" t="s">
        <v>3401</v>
      </c>
      <c r="D1" s="10" t="s">
        <v>3402</v>
      </c>
      <c r="E1" s="10" t="s">
        <v>3403</v>
      </c>
      <c r="F1" s="10" t="s">
        <v>3404</v>
      </c>
      <c r="G1" s="10" t="s">
        <v>3405</v>
      </c>
      <c r="H1" s="10" t="s">
        <v>3406</v>
      </c>
      <c r="I1" s="10" t="s">
        <v>3407</v>
      </c>
      <c r="J1" s="10" t="s">
        <v>3408</v>
      </c>
      <c r="K1" s="10" t="s">
        <v>3409</v>
      </c>
      <c r="L1" s="10" t="s">
        <v>3410</v>
      </c>
      <c r="M1" s="10" t="s">
        <v>3411</v>
      </c>
      <c r="N1" s="11" t="s">
        <v>3412</v>
      </c>
    </row>
    <row r="2" spans="1:14" x14ac:dyDescent="0.25">
      <c r="A2" s="3">
        <f>2107-B2</f>
        <v>388</v>
      </c>
      <c r="B2" s="3">
        <f>'Examen diagnóstico (2)'!U2108</f>
        <v>1719</v>
      </c>
      <c r="C2" s="4">
        <f>'Examen diagnóstico (2)'!V2108</f>
        <v>887</v>
      </c>
      <c r="D2" s="4">
        <f>'Examen diagnóstico (2)'!W2108</f>
        <v>832</v>
      </c>
      <c r="E2" s="4">
        <f>'Examen diagnóstico (2)'!X2108</f>
        <v>260</v>
      </c>
      <c r="F2" s="4">
        <f>'Examen diagnóstico (2)'!Y2108</f>
        <v>340</v>
      </c>
      <c r="G2" s="4">
        <f>'Examen diagnóstico (2)'!Z2108</f>
        <v>4596</v>
      </c>
      <c r="H2" s="4">
        <f>'Examen diagnóstico (2)'!AA2108</f>
        <v>4617.5</v>
      </c>
      <c r="I2" s="4">
        <f>'Examen diagnóstico (2)'!AB2108</f>
        <v>3792.8571428571377</v>
      </c>
      <c r="J2" s="4">
        <f>'Examen diagnóstico (2)'!AC2108</f>
        <v>4280</v>
      </c>
      <c r="K2" s="4">
        <f>'Examen diagnóstico (2)'!AD2108</f>
        <v>4746.6666666666624</v>
      </c>
      <c r="L2" s="4">
        <f>'Examen diagnóstico (2)'!AE2108</f>
        <v>5170</v>
      </c>
      <c r="M2" s="4">
        <f>'Examen diagnóstico (2)'!AF2108</f>
        <v>5400</v>
      </c>
      <c r="N2" s="5">
        <f>'Examen diagnóstico (2)'!AG2108</f>
        <v>3960</v>
      </c>
    </row>
    <row r="3" spans="1:14" ht="15.75" thickBot="1" x14ac:dyDescent="0.3">
      <c r="A3" s="6">
        <f>388/2107</f>
        <v>0.18414807783578549</v>
      </c>
      <c r="B3" s="6">
        <f>'Examen diagnóstico (2)'!U2109</f>
        <v>0.81623931623931623</v>
      </c>
      <c r="C3" s="7">
        <f>'Examen diagnóstico (2)'!V2109</f>
        <v>0.51599767306573585</v>
      </c>
      <c r="D3" s="7">
        <f>'Examen diagnóstico (2)'!W2109</f>
        <v>0.48400232693426409</v>
      </c>
      <c r="E3" s="7">
        <f>'Examen diagnóstico (2)'!X2109</f>
        <v>0.29312288613303267</v>
      </c>
      <c r="F3" s="7">
        <f>'Examen diagnóstico (2)'!Y2109</f>
        <v>0.40865384615384615</v>
      </c>
      <c r="G3" s="7">
        <f>'Examen diagnóstico (2)'!Z2109</f>
        <v>5.1815107102593014</v>
      </c>
      <c r="H3" s="7">
        <f>'Examen diagnóstico (2)'!AA2109</f>
        <v>5.205749718151071</v>
      </c>
      <c r="I3" s="7">
        <f>'Examen diagnóstico (2)'!AB2109</f>
        <v>4.27605089386374</v>
      </c>
      <c r="J3" s="7">
        <f>'Examen diagnóstico (2)'!AC2109</f>
        <v>5.1442307692307692</v>
      </c>
      <c r="K3" s="7">
        <f>'Examen diagnóstico (2)'!AD2109</f>
        <v>5.7051282051282</v>
      </c>
      <c r="L3" s="7">
        <f>'Examen diagnóstico (2)'!AE2109</f>
        <v>6.2139423076923075</v>
      </c>
      <c r="M3" s="7">
        <f>'Examen diagnóstico (2)'!AF2109</f>
        <v>6.490384615384615</v>
      </c>
      <c r="N3" s="8">
        <f>'Examen diagnóstico (2)'!AG2109</f>
        <v>4.759615384615385</v>
      </c>
    </row>
    <row r="20" spans="1:8" ht="15.75" thickBot="1" x14ac:dyDescent="0.3"/>
    <row r="21" spans="1:8" ht="75" x14ac:dyDescent="0.25">
      <c r="A21" s="14" t="s">
        <v>3414</v>
      </c>
      <c r="B21" s="15" t="str">
        <f t="shared" ref="B21:B22" si="0">E1</f>
        <v>Estudiantes que aprobaron el examen 160</v>
      </c>
      <c r="G21" s="14" t="s">
        <v>3415</v>
      </c>
      <c r="H21" s="15" t="str">
        <f t="shared" ref="H21:H22" si="1">F1</f>
        <v>Estudiantes que aprobaron el examen 120</v>
      </c>
    </row>
    <row r="22" spans="1:8" ht="15.75" thickBot="1" x14ac:dyDescent="0.3">
      <c r="A22" s="6">
        <f>C2-B22</f>
        <v>627</v>
      </c>
      <c r="B22" s="8">
        <f t="shared" si="0"/>
        <v>260</v>
      </c>
      <c r="G22" s="16">
        <f>D2-H22</f>
        <v>492</v>
      </c>
      <c r="H22" s="17">
        <f t="shared" si="1"/>
        <v>340</v>
      </c>
    </row>
    <row r="38" spans="1:8" ht="15.75" thickBot="1" x14ac:dyDescent="0.3"/>
    <row r="39" spans="1:8" ht="45" x14ac:dyDescent="0.25">
      <c r="A39" s="12" t="s">
        <v>3405</v>
      </c>
      <c r="B39" s="18" t="s">
        <v>3406</v>
      </c>
      <c r="C39" s="18" t="s">
        <v>3407</v>
      </c>
      <c r="D39" s="18" t="s">
        <v>3408</v>
      </c>
      <c r="E39" s="18" t="s">
        <v>3409</v>
      </c>
      <c r="F39" s="18" t="s">
        <v>3410</v>
      </c>
      <c r="G39" s="18" t="s">
        <v>3411</v>
      </c>
      <c r="H39" s="13" t="s">
        <v>3412</v>
      </c>
    </row>
    <row r="40" spans="1:8" ht="15.75" thickBot="1" x14ac:dyDescent="0.3">
      <c r="A40" s="19">
        <v>5.1815107102593014</v>
      </c>
      <c r="B40" s="20">
        <v>5.205749718151071</v>
      </c>
      <c r="C40" s="20">
        <v>4.27605089386374</v>
      </c>
      <c r="D40" s="20">
        <v>5.1442307692307692</v>
      </c>
      <c r="E40" s="20">
        <v>5.7051282051282</v>
      </c>
      <c r="F40" s="20">
        <v>6.2139423076923075</v>
      </c>
      <c r="G40" s="20">
        <v>6.490384615384615</v>
      </c>
      <c r="H40" s="21">
        <v>4.759615384615385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07"/>
  <sheetViews>
    <sheetView topLeftCell="I1" workbookViewId="0">
      <selection activeCell="M1" sqref="M1:M1048576"/>
    </sheetView>
  </sheetViews>
  <sheetFormatPr baseColWidth="10" defaultColWidth="9.140625" defaultRowHeight="15" x14ac:dyDescent="0.25"/>
  <cols>
    <col min="5" max="5" width="7" customWidth="1"/>
    <col min="6" max="6" width="6.140625" customWidth="1"/>
    <col min="7" max="7" width="5.7109375" customWidth="1"/>
    <col min="8" max="8" width="5.85546875" customWidth="1"/>
    <col min="9" max="9" width="5.28515625" customWidth="1"/>
    <col min="10" max="10" width="5.140625" customWidth="1"/>
    <col min="11" max="12" width="5.5703125" customWidth="1"/>
    <col min="13" max="13" width="5.7109375" customWidth="1"/>
    <col min="14" max="14" width="5.140625" customWidth="1"/>
    <col min="15" max="16" width="5.42578125" customWidth="1"/>
    <col min="17" max="17" width="5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164732</v>
      </c>
      <c r="D2">
        <v>164732</v>
      </c>
      <c r="R2" t="s">
        <v>20</v>
      </c>
    </row>
    <row r="3" spans="1:18" x14ac:dyDescent="0.25">
      <c r="A3" t="s">
        <v>21</v>
      </c>
      <c r="B3" t="s">
        <v>22</v>
      </c>
      <c r="C3">
        <v>168181</v>
      </c>
      <c r="D3">
        <v>168181</v>
      </c>
      <c r="H3">
        <v>0</v>
      </c>
      <c r="I3">
        <v>40</v>
      </c>
      <c r="J3">
        <v>10</v>
      </c>
      <c r="K3">
        <v>10</v>
      </c>
      <c r="L3">
        <v>0</v>
      </c>
      <c r="M3">
        <v>60</v>
      </c>
    </row>
    <row r="4" spans="1:18" x14ac:dyDescent="0.25">
      <c r="A4" t="s">
        <v>23</v>
      </c>
      <c r="B4" t="s">
        <v>24</v>
      </c>
      <c r="C4">
        <v>166769</v>
      </c>
      <c r="D4">
        <v>166769</v>
      </c>
      <c r="H4">
        <v>20</v>
      </c>
      <c r="I4">
        <v>40</v>
      </c>
      <c r="J4">
        <v>0</v>
      </c>
      <c r="K4">
        <v>10</v>
      </c>
      <c r="L4">
        <v>0</v>
      </c>
      <c r="M4">
        <v>70</v>
      </c>
    </row>
    <row r="5" spans="1:18" x14ac:dyDescent="0.25">
      <c r="A5" t="s">
        <v>23</v>
      </c>
      <c r="B5" t="s">
        <v>25</v>
      </c>
      <c r="C5">
        <v>166768</v>
      </c>
      <c r="D5">
        <v>166768</v>
      </c>
      <c r="E5">
        <v>10</v>
      </c>
      <c r="F5">
        <v>10</v>
      </c>
      <c r="G5">
        <v>40</v>
      </c>
      <c r="O5">
        <v>60</v>
      </c>
    </row>
    <row r="6" spans="1:18" x14ac:dyDescent="0.25">
      <c r="A6" t="s">
        <v>26</v>
      </c>
      <c r="B6" t="s">
        <v>27</v>
      </c>
      <c r="C6">
        <v>167803</v>
      </c>
      <c r="D6">
        <v>167803</v>
      </c>
      <c r="E6">
        <v>30</v>
      </c>
      <c r="F6">
        <v>20</v>
      </c>
      <c r="G6">
        <v>30</v>
      </c>
      <c r="O6">
        <v>80</v>
      </c>
    </row>
    <row r="7" spans="1:18" x14ac:dyDescent="0.25">
      <c r="A7" t="s">
        <v>28</v>
      </c>
      <c r="B7" t="s">
        <v>24</v>
      </c>
      <c r="C7">
        <v>166428</v>
      </c>
      <c r="D7">
        <v>166428</v>
      </c>
      <c r="E7">
        <v>50</v>
      </c>
      <c r="O7">
        <v>50</v>
      </c>
    </row>
    <row r="8" spans="1:18" x14ac:dyDescent="0.25">
      <c r="A8" t="s">
        <v>29</v>
      </c>
      <c r="B8" t="s">
        <v>30</v>
      </c>
      <c r="C8">
        <v>165299</v>
      </c>
      <c r="D8">
        <v>165299</v>
      </c>
      <c r="E8">
        <v>30</v>
      </c>
      <c r="F8">
        <v>0</v>
      </c>
      <c r="G8">
        <v>10</v>
      </c>
      <c r="O8">
        <v>40</v>
      </c>
    </row>
    <row r="9" spans="1:18" x14ac:dyDescent="0.25">
      <c r="A9" t="s">
        <v>31</v>
      </c>
      <c r="B9" t="s">
        <v>32</v>
      </c>
      <c r="C9">
        <v>168488</v>
      </c>
      <c r="D9">
        <v>168488</v>
      </c>
      <c r="E9">
        <v>30</v>
      </c>
      <c r="F9">
        <v>10</v>
      </c>
      <c r="G9">
        <v>40</v>
      </c>
      <c r="O9">
        <v>80</v>
      </c>
    </row>
    <row r="10" spans="1:18" x14ac:dyDescent="0.25">
      <c r="A10" t="s">
        <v>33</v>
      </c>
      <c r="B10" t="s">
        <v>34</v>
      </c>
      <c r="C10">
        <v>161869</v>
      </c>
      <c r="D10">
        <v>161869</v>
      </c>
    </row>
    <row r="11" spans="1:18" x14ac:dyDescent="0.25">
      <c r="A11" t="s">
        <v>35</v>
      </c>
      <c r="B11" t="s">
        <v>36</v>
      </c>
      <c r="C11" t="s">
        <v>37</v>
      </c>
    </row>
    <row r="12" spans="1:18" x14ac:dyDescent="0.25">
      <c r="A12" t="s">
        <v>38</v>
      </c>
      <c r="B12" t="s">
        <v>39</v>
      </c>
      <c r="C12">
        <v>166580</v>
      </c>
      <c r="D12">
        <v>166580</v>
      </c>
      <c r="H12">
        <v>20</v>
      </c>
      <c r="I12">
        <v>20</v>
      </c>
      <c r="J12">
        <v>20</v>
      </c>
      <c r="K12">
        <v>10</v>
      </c>
      <c r="L12">
        <v>0</v>
      </c>
      <c r="M12">
        <v>70</v>
      </c>
    </row>
    <row r="13" spans="1:18" x14ac:dyDescent="0.25">
      <c r="A13" t="s">
        <v>40</v>
      </c>
      <c r="B13" t="s">
        <v>41</v>
      </c>
      <c r="C13">
        <v>168631</v>
      </c>
      <c r="D13">
        <v>168631</v>
      </c>
      <c r="E13">
        <v>10</v>
      </c>
      <c r="F13">
        <v>10</v>
      </c>
      <c r="G13">
        <v>40</v>
      </c>
      <c r="O13">
        <v>60</v>
      </c>
    </row>
    <row r="14" spans="1:18" x14ac:dyDescent="0.25">
      <c r="A14" t="s">
        <v>42</v>
      </c>
      <c r="B14" t="s">
        <v>43</v>
      </c>
      <c r="C14">
        <v>167152</v>
      </c>
      <c r="D14">
        <v>167152</v>
      </c>
      <c r="E14">
        <v>10</v>
      </c>
      <c r="F14">
        <v>20</v>
      </c>
      <c r="G14">
        <v>10</v>
      </c>
      <c r="O14">
        <v>40</v>
      </c>
    </row>
    <row r="15" spans="1:18" x14ac:dyDescent="0.25">
      <c r="A15" t="s">
        <v>44</v>
      </c>
      <c r="B15" t="s">
        <v>45</v>
      </c>
      <c r="C15">
        <v>167383</v>
      </c>
      <c r="D15">
        <v>167383</v>
      </c>
      <c r="E15">
        <v>10</v>
      </c>
      <c r="F15">
        <v>10</v>
      </c>
      <c r="G15">
        <v>50</v>
      </c>
      <c r="O15">
        <v>70</v>
      </c>
    </row>
    <row r="16" spans="1:18" x14ac:dyDescent="0.25">
      <c r="A16" t="s">
        <v>46</v>
      </c>
      <c r="B16" t="s">
        <v>47</v>
      </c>
      <c r="C16">
        <v>166092</v>
      </c>
      <c r="D16">
        <v>166092</v>
      </c>
      <c r="E16">
        <v>30</v>
      </c>
      <c r="F16">
        <v>20</v>
      </c>
      <c r="G16">
        <v>30</v>
      </c>
      <c r="O16">
        <v>80</v>
      </c>
    </row>
    <row r="17" spans="1:18" x14ac:dyDescent="0.25">
      <c r="A17" t="s">
        <v>48</v>
      </c>
      <c r="B17" t="s">
        <v>49</v>
      </c>
      <c r="C17">
        <v>166384</v>
      </c>
      <c r="D17">
        <v>166384</v>
      </c>
      <c r="E17">
        <v>40</v>
      </c>
      <c r="F17">
        <v>10</v>
      </c>
      <c r="G17">
        <v>40</v>
      </c>
      <c r="O17">
        <v>90</v>
      </c>
    </row>
    <row r="18" spans="1:18" x14ac:dyDescent="0.25">
      <c r="A18" t="s">
        <v>50</v>
      </c>
      <c r="B18" t="s">
        <v>51</v>
      </c>
      <c r="C18">
        <v>164706</v>
      </c>
      <c r="D18">
        <v>164706</v>
      </c>
      <c r="R18">
        <v>0</v>
      </c>
    </row>
    <row r="19" spans="1:18" x14ac:dyDescent="0.25">
      <c r="A19" t="s">
        <v>52</v>
      </c>
      <c r="B19" t="s">
        <v>53</v>
      </c>
      <c r="C19">
        <v>165973</v>
      </c>
      <c r="D19">
        <v>165973</v>
      </c>
      <c r="H19">
        <v>10</v>
      </c>
      <c r="I19">
        <v>10</v>
      </c>
      <c r="J19">
        <v>10</v>
      </c>
      <c r="K19">
        <v>10</v>
      </c>
      <c r="L19">
        <v>0</v>
      </c>
      <c r="M19">
        <v>40</v>
      </c>
    </row>
    <row r="20" spans="1:18" x14ac:dyDescent="0.25">
      <c r="A20" t="s">
        <v>54</v>
      </c>
      <c r="B20" t="s">
        <v>55</v>
      </c>
      <c r="C20">
        <v>167354</v>
      </c>
      <c r="D20">
        <v>167354</v>
      </c>
      <c r="H20">
        <v>10</v>
      </c>
      <c r="I20">
        <v>40</v>
      </c>
      <c r="J20">
        <v>10</v>
      </c>
      <c r="K20">
        <v>0</v>
      </c>
      <c r="L20">
        <v>0</v>
      </c>
      <c r="M20">
        <v>60</v>
      </c>
    </row>
    <row r="21" spans="1:18" x14ac:dyDescent="0.25">
      <c r="A21" t="s">
        <v>56</v>
      </c>
      <c r="B21" t="s">
        <v>57</v>
      </c>
      <c r="C21">
        <v>168609</v>
      </c>
      <c r="D21">
        <v>168609</v>
      </c>
      <c r="H21">
        <v>20</v>
      </c>
      <c r="I21">
        <v>30</v>
      </c>
      <c r="J21">
        <v>20</v>
      </c>
      <c r="K21">
        <v>0</v>
      </c>
      <c r="L21">
        <v>10</v>
      </c>
      <c r="M21">
        <v>80</v>
      </c>
    </row>
    <row r="22" spans="1:18" x14ac:dyDescent="0.25">
      <c r="A22" t="s">
        <v>58</v>
      </c>
      <c r="B22" t="s">
        <v>59</v>
      </c>
      <c r="C22">
        <v>166791</v>
      </c>
      <c r="D22">
        <v>166791</v>
      </c>
      <c r="E22">
        <v>10</v>
      </c>
      <c r="F22">
        <v>10</v>
      </c>
      <c r="G22">
        <v>30</v>
      </c>
      <c r="O22">
        <v>50</v>
      </c>
    </row>
    <row r="23" spans="1:18" x14ac:dyDescent="0.25">
      <c r="A23" t="s">
        <v>60</v>
      </c>
      <c r="B23" t="s">
        <v>61</v>
      </c>
      <c r="C23">
        <v>167553</v>
      </c>
      <c r="D23">
        <v>167553</v>
      </c>
      <c r="H23">
        <v>10</v>
      </c>
      <c r="I23">
        <v>30</v>
      </c>
      <c r="J23">
        <v>10</v>
      </c>
      <c r="K23">
        <v>10</v>
      </c>
      <c r="L23">
        <v>0</v>
      </c>
      <c r="M23">
        <v>60</v>
      </c>
    </row>
    <row r="24" spans="1:18" x14ac:dyDescent="0.25">
      <c r="A24" t="s">
        <v>62</v>
      </c>
      <c r="B24" t="s">
        <v>63</v>
      </c>
      <c r="C24">
        <v>168589</v>
      </c>
      <c r="D24">
        <v>168589</v>
      </c>
      <c r="H24">
        <v>20</v>
      </c>
      <c r="I24">
        <v>50</v>
      </c>
      <c r="J24">
        <v>10</v>
      </c>
      <c r="K24">
        <v>10</v>
      </c>
      <c r="L24">
        <v>10</v>
      </c>
      <c r="M24">
        <v>100</v>
      </c>
    </row>
    <row r="25" spans="1:18" x14ac:dyDescent="0.25">
      <c r="A25" t="s">
        <v>64</v>
      </c>
      <c r="B25" t="s">
        <v>65</v>
      </c>
      <c r="C25">
        <v>167379</v>
      </c>
      <c r="D25">
        <v>167379</v>
      </c>
    </row>
    <row r="26" spans="1:18" x14ac:dyDescent="0.25">
      <c r="A26" t="s">
        <v>66</v>
      </c>
      <c r="B26" t="s">
        <v>67</v>
      </c>
      <c r="C26">
        <v>167637</v>
      </c>
      <c r="D26">
        <v>167637</v>
      </c>
      <c r="E26">
        <v>10</v>
      </c>
      <c r="F26">
        <v>20</v>
      </c>
      <c r="G26">
        <v>20</v>
      </c>
      <c r="O26">
        <v>50</v>
      </c>
    </row>
    <row r="27" spans="1:18" x14ac:dyDescent="0.25">
      <c r="A27" t="s">
        <v>68</v>
      </c>
      <c r="B27" t="s">
        <v>69</v>
      </c>
      <c r="C27">
        <v>165710</v>
      </c>
      <c r="D27">
        <v>165710</v>
      </c>
      <c r="H27">
        <v>10</v>
      </c>
      <c r="I27">
        <v>40</v>
      </c>
      <c r="J27">
        <v>20</v>
      </c>
      <c r="K27">
        <v>0</v>
      </c>
      <c r="L27">
        <v>10</v>
      </c>
      <c r="M27">
        <v>80</v>
      </c>
    </row>
    <row r="28" spans="1:18" x14ac:dyDescent="0.25">
      <c r="A28" t="s">
        <v>70</v>
      </c>
      <c r="B28" t="s">
        <v>71</v>
      </c>
      <c r="C28">
        <v>166283</v>
      </c>
      <c r="D28">
        <v>166283</v>
      </c>
      <c r="E28">
        <v>10</v>
      </c>
      <c r="F28">
        <v>10</v>
      </c>
      <c r="G28">
        <v>40</v>
      </c>
      <c r="O28">
        <v>60</v>
      </c>
    </row>
    <row r="29" spans="1:18" x14ac:dyDescent="0.25">
      <c r="A29" t="s">
        <v>72</v>
      </c>
      <c r="B29" t="s">
        <v>73</v>
      </c>
      <c r="C29">
        <v>164617</v>
      </c>
      <c r="D29">
        <v>164617</v>
      </c>
      <c r="H29">
        <v>10</v>
      </c>
      <c r="I29">
        <v>60</v>
      </c>
      <c r="J29">
        <v>10</v>
      </c>
      <c r="K29">
        <v>10</v>
      </c>
      <c r="L29">
        <v>0</v>
      </c>
      <c r="M29">
        <v>90</v>
      </c>
    </row>
    <row r="30" spans="1:18" x14ac:dyDescent="0.25">
      <c r="A30" t="s">
        <v>74</v>
      </c>
      <c r="B30" t="s">
        <v>75</v>
      </c>
      <c r="C30">
        <v>167514</v>
      </c>
      <c r="D30">
        <v>167514</v>
      </c>
      <c r="E30">
        <v>20</v>
      </c>
      <c r="F30">
        <v>20</v>
      </c>
      <c r="G30">
        <v>10</v>
      </c>
      <c r="O30">
        <v>50</v>
      </c>
    </row>
    <row r="31" spans="1:18" x14ac:dyDescent="0.25">
      <c r="A31" t="s">
        <v>76</v>
      </c>
      <c r="B31" t="s">
        <v>77</v>
      </c>
      <c r="C31">
        <v>165900</v>
      </c>
      <c r="D31">
        <v>165900</v>
      </c>
      <c r="E31">
        <v>50</v>
      </c>
      <c r="F31">
        <v>10</v>
      </c>
      <c r="G31">
        <v>40</v>
      </c>
      <c r="O31">
        <v>100</v>
      </c>
    </row>
    <row r="32" spans="1:18" x14ac:dyDescent="0.25">
      <c r="A32" t="s">
        <v>78</v>
      </c>
      <c r="B32" t="s">
        <v>79</v>
      </c>
      <c r="C32">
        <v>168243</v>
      </c>
      <c r="D32">
        <v>168243</v>
      </c>
      <c r="E32">
        <v>20</v>
      </c>
      <c r="F32">
        <v>20</v>
      </c>
      <c r="G32">
        <v>0</v>
      </c>
      <c r="O32">
        <v>40</v>
      </c>
    </row>
    <row r="33" spans="1:15" x14ac:dyDescent="0.25">
      <c r="A33" t="s">
        <v>80</v>
      </c>
      <c r="B33" t="s">
        <v>81</v>
      </c>
      <c r="C33">
        <v>164818</v>
      </c>
      <c r="D33">
        <v>164818</v>
      </c>
      <c r="H33">
        <v>0</v>
      </c>
      <c r="I33">
        <v>20</v>
      </c>
      <c r="J33">
        <v>10</v>
      </c>
      <c r="K33">
        <v>0</v>
      </c>
      <c r="L33">
        <v>0</v>
      </c>
      <c r="M33">
        <v>30</v>
      </c>
    </row>
    <row r="34" spans="1:15" x14ac:dyDescent="0.25">
      <c r="A34" t="s">
        <v>82</v>
      </c>
      <c r="B34" t="s">
        <v>83</v>
      </c>
      <c r="C34">
        <v>167696</v>
      </c>
      <c r="D34">
        <v>167696</v>
      </c>
      <c r="E34">
        <v>0</v>
      </c>
      <c r="F34">
        <v>20</v>
      </c>
      <c r="G34">
        <v>30</v>
      </c>
      <c r="O34">
        <v>50</v>
      </c>
    </row>
    <row r="35" spans="1:15" x14ac:dyDescent="0.25">
      <c r="A35" t="s">
        <v>84</v>
      </c>
      <c r="B35" t="s">
        <v>85</v>
      </c>
      <c r="C35">
        <v>167115</v>
      </c>
      <c r="D35">
        <v>167115</v>
      </c>
      <c r="H35">
        <v>20</v>
      </c>
      <c r="I35">
        <v>30</v>
      </c>
      <c r="J35">
        <v>20</v>
      </c>
      <c r="K35">
        <v>0</v>
      </c>
      <c r="L35">
        <v>10</v>
      </c>
      <c r="M35">
        <v>80</v>
      </c>
    </row>
    <row r="36" spans="1:15" x14ac:dyDescent="0.25">
      <c r="A36" t="s">
        <v>86</v>
      </c>
      <c r="B36" t="s">
        <v>87</v>
      </c>
      <c r="C36">
        <v>166178</v>
      </c>
      <c r="D36">
        <v>166178</v>
      </c>
      <c r="H36">
        <v>10</v>
      </c>
      <c r="I36">
        <v>30</v>
      </c>
      <c r="J36">
        <v>20</v>
      </c>
      <c r="K36">
        <v>10</v>
      </c>
      <c r="L36">
        <v>0</v>
      </c>
      <c r="M36">
        <v>70</v>
      </c>
    </row>
    <row r="37" spans="1:15" x14ac:dyDescent="0.25">
      <c r="A37" t="s">
        <v>88</v>
      </c>
      <c r="B37" t="s">
        <v>89</v>
      </c>
      <c r="C37">
        <v>168167</v>
      </c>
      <c r="D37">
        <v>168167</v>
      </c>
      <c r="E37">
        <v>30</v>
      </c>
      <c r="F37">
        <v>30</v>
      </c>
      <c r="G37">
        <v>40</v>
      </c>
      <c r="O37">
        <v>100</v>
      </c>
    </row>
    <row r="38" spans="1:15" x14ac:dyDescent="0.25">
      <c r="A38" t="s">
        <v>90</v>
      </c>
      <c r="B38" t="s">
        <v>91</v>
      </c>
      <c r="C38">
        <v>168034</v>
      </c>
      <c r="D38">
        <v>168034</v>
      </c>
    </row>
    <row r="39" spans="1:15" x14ac:dyDescent="0.25">
      <c r="A39" t="s">
        <v>92</v>
      </c>
      <c r="B39" t="s">
        <v>93</v>
      </c>
      <c r="C39">
        <v>163568</v>
      </c>
      <c r="D39">
        <v>163568</v>
      </c>
      <c r="E39">
        <v>10</v>
      </c>
      <c r="F39">
        <v>20</v>
      </c>
      <c r="G39">
        <v>30</v>
      </c>
      <c r="O39">
        <v>60</v>
      </c>
    </row>
    <row r="40" spans="1:15" x14ac:dyDescent="0.25">
      <c r="A40" t="s">
        <v>94</v>
      </c>
      <c r="B40" t="s">
        <v>95</v>
      </c>
      <c r="C40">
        <v>168229</v>
      </c>
      <c r="D40">
        <v>168229</v>
      </c>
    </row>
    <row r="41" spans="1:15" x14ac:dyDescent="0.25">
      <c r="A41" t="s">
        <v>96</v>
      </c>
      <c r="B41" t="s">
        <v>97</v>
      </c>
      <c r="C41">
        <v>168177</v>
      </c>
      <c r="D41">
        <v>168177</v>
      </c>
      <c r="H41">
        <v>0</v>
      </c>
      <c r="I41">
        <v>40</v>
      </c>
      <c r="J41">
        <v>10</v>
      </c>
      <c r="K41">
        <v>10</v>
      </c>
      <c r="L41">
        <v>0</v>
      </c>
      <c r="M41">
        <v>60</v>
      </c>
    </row>
    <row r="42" spans="1:15" x14ac:dyDescent="0.25">
      <c r="A42" t="s">
        <v>98</v>
      </c>
      <c r="B42" t="s">
        <v>99</v>
      </c>
      <c r="C42">
        <v>168598</v>
      </c>
      <c r="D42">
        <v>168598</v>
      </c>
      <c r="E42">
        <v>10</v>
      </c>
      <c r="F42">
        <v>20</v>
      </c>
      <c r="G42">
        <v>10</v>
      </c>
      <c r="O42">
        <v>40</v>
      </c>
    </row>
    <row r="43" spans="1:15" x14ac:dyDescent="0.25">
      <c r="A43" t="s">
        <v>100</v>
      </c>
      <c r="B43" t="s">
        <v>101</v>
      </c>
      <c r="C43">
        <v>165839</v>
      </c>
      <c r="D43">
        <v>165839</v>
      </c>
      <c r="E43">
        <v>0</v>
      </c>
      <c r="F43">
        <v>30</v>
      </c>
      <c r="G43">
        <v>20</v>
      </c>
      <c r="O43">
        <v>50</v>
      </c>
    </row>
    <row r="44" spans="1:15" x14ac:dyDescent="0.25">
      <c r="A44" t="s">
        <v>102</v>
      </c>
      <c r="B44" t="s">
        <v>103</v>
      </c>
      <c r="C44">
        <v>168192</v>
      </c>
      <c r="D44">
        <v>168192</v>
      </c>
      <c r="E44">
        <v>50</v>
      </c>
      <c r="F44">
        <v>20</v>
      </c>
      <c r="G44">
        <v>40</v>
      </c>
      <c r="O44">
        <v>110</v>
      </c>
    </row>
    <row r="45" spans="1:15" x14ac:dyDescent="0.25">
      <c r="A45" t="s">
        <v>104</v>
      </c>
      <c r="B45" t="s">
        <v>105</v>
      </c>
      <c r="C45">
        <v>168374</v>
      </c>
      <c r="D45">
        <v>168374</v>
      </c>
      <c r="H45">
        <v>0</v>
      </c>
      <c r="I45">
        <v>30</v>
      </c>
      <c r="J45">
        <v>10</v>
      </c>
      <c r="M45">
        <v>40</v>
      </c>
    </row>
    <row r="46" spans="1:15" x14ac:dyDescent="0.25">
      <c r="A46" t="s">
        <v>106</v>
      </c>
      <c r="B46" t="s">
        <v>107</v>
      </c>
      <c r="C46">
        <v>163193</v>
      </c>
      <c r="D46">
        <v>163193</v>
      </c>
    </row>
    <row r="47" spans="1:15" x14ac:dyDescent="0.25">
      <c r="A47" t="s">
        <v>108</v>
      </c>
      <c r="B47" t="s">
        <v>109</v>
      </c>
      <c r="C47">
        <v>168367</v>
      </c>
      <c r="D47">
        <v>168367</v>
      </c>
      <c r="E47">
        <v>50</v>
      </c>
      <c r="F47">
        <v>30</v>
      </c>
      <c r="G47">
        <v>40</v>
      </c>
      <c r="O47">
        <v>120</v>
      </c>
    </row>
    <row r="48" spans="1:15" x14ac:dyDescent="0.25">
      <c r="A48" t="s">
        <v>110</v>
      </c>
      <c r="B48" t="s">
        <v>49</v>
      </c>
      <c r="C48">
        <v>165727</v>
      </c>
      <c r="D48">
        <v>165727</v>
      </c>
    </row>
    <row r="49" spans="1:18" x14ac:dyDescent="0.25">
      <c r="A49" t="s">
        <v>111</v>
      </c>
      <c r="B49" t="s">
        <v>112</v>
      </c>
      <c r="C49">
        <v>166297</v>
      </c>
      <c r="D49">
        <v>166297</v>
      </c>
      <c r="E49">
        <v>20</v>
      </c>
      <c r="F49">
        <v>10</v>
      </c>
      <c r="G49">
        <v>50</v>
      </c>
      <c r="O49">
        <v>80</v>
      </c>
    </row>
    <row r="50" spans="1:18" x14ac:dyDescent="0.25">
      <c r="A50" t="s">
        <v>113</v>
      </c>
      <c r="B50" t="s">
        <v>114</v>
      </c>
      <c r="C50">
        <v>168240</v>
      </c>
      <c r="D50">
        <v>168240</v>
      </c>
      <c r="H50">
        <v>10</v>
      </c>
      <c r="I50">
        <v>40</v>
      </c>
      <c r="J50">
        <v>10</v>
      </c>
      <c r="K50">
        <v>10</v>
      </c>
      <c r="L50">
        <v>0</v>
      </c>
      <c r="M50">
        <v>70</v>
      </c>
    </row>
    <row r="51" spans="1:18" x14ac:dyDescent="0.25">
      <c r="A51" t="s">
        <v>115</v>
      </c>
      <c r="B51" t="s">
        <v>75</v>
      </c>
      <c r="C51">
        <v>167205</v>
      </c>
      <c r="D51">
        <v>167205</v>
      </c>
      <c r="E51">
        <v>10</v>
      </c>
      <c r="F51">
        <v>30</v>
      </c>
      <c r="G51">
        <v>50</v>
      </c>
      <c r="O51">
        <v>90</v>
      </c>
    </row>
    <row r="52" spans="1:18" x14ac:dyDescent="0.25">
      <c r="A52" t="s">
        <v>116</v>
      </c>
      <c r="B52" t="s">
        <v>117</v>
      </c>
      <c r="C52">
        <v>167413</v>
      </c>
      <c r="D52">
        <v>167413</v>
      </c>
      <c r="E52">
        <v>30</v>
      </c>
      <c r="F52">
        <v>20</v>
      </c>
      <c r="G52">
        <v>30</v>
      </c>
      <c r="O52">
        <v>80</v>
      </c>
    </row>
    <row r="53" spans="1:18" x14ac:dyDescent="0.25">
      <c r="A53" t="s">
        <v>118</v>
      </c>
      <c r="B53" t="s">
        <v>119</v>
      </c>
      <c r="C53">
        <v>163943</v>
      </c>
      <c r="D53">
        <v>163943</v>
      </c>
      <c r="E53">
        <v>30</v>
      </c>
      <c r="F53">
        <v>30</v>
      </c>
      <c r="G53">
        <v>50</v>
      </c>
      <c r="O53">
        <v>110</v>
      </c>
      <c r="R53" t="s">
        <v>20</v>
      </c>
    </row>
    <row r="54" spans="1:18" x14ac:dyDescent="0.25">
      <c r="A54" t="s">
        <v>120</v>
      </c>
      <c r="B54" t="s">
        <v>121</v>
      </c>
      <c r="C54">
        <v>168381</v>
      </c>
      <c r="D54">
        <v>168381</v>
      </c>
      <c r="H54">
        <v>20</v>
      </c>
      <c r="I54">
        <v>30</v>
      </c>
      <c r="J54">
        <v>20</v>
      </c>
      <c r="K54">
        <v>10</v>
      </c>
      <c r="L54">
        <v>0</v>
      </c>
      <c r="M54">
        <v>80</v>
      </c>
    </row>
    <row r="55" spans="1:18" x14ac:dyDescent="0.25">
      <c r="A55" t="s">
        <v>120</v>
      </c>
      <c r="B55" t="s">
        <v>122</v>
      </c>
      <c r="C55">
        <v>168473</v>
      </c>
      <c r="D55">
        <v>168473</v>
      </c>
      <c r="E55">
        <v>10</v>
      </c>
      <c r="F55">
        <v>30</v>
      </c>
      <c r="G55">
        <v>30</v>
      </c>
      <c r="O55">
        <v>70</v>
      </c>
    </row>
    <row r="56" spans="1:18" x14ac:dyDescent="0.25">
      <c r="A56" t="s">
        <v>123</v>
      </c>
      <c r="B56" t="s">
        <v>124</v>
      </c>
      <c r="C56">
        <v>166021</v>
      </c>
      <c r="D56">
        <v>166021</v>
      </c>
    </row>
    <row r="57" spans="1:18" x14ac:dyDescent="0.25">
      <c r="A57" t="s">
        <v>125</v>
      </c>
      <c r="B57" t="s">
        <v>126</v>
      </c>
      <c r="C57">
        <v>166582</v>
      </c>
      <c r="D57">
        <v>166582</v>
      </c>
    </row>
    <row r="58" spans="1:18" x14ac:dyDescent="0.25">
      <c r="A58" t="s">
        <v>127</v>
      </c>
      <c r="B58" t="s">
        <v>128</v>
      </c>
      <c r="C58">
        <v>167639</v>
      </c>
      <c r="D58">
        <v>167639</v>
      </c>
      <c r="E58">
        <v>10</v>
      </c>
      <c r="F58">
        <v>10</v>
      </c>
      <c r="G58">
        <v>20</v>
      </c>
      <c r="O58">
        <v>40</v>
      </c>
    </row>
    <row r="59" spans="1:18" x14ac:dyDescent="0.25">
      <c r="A59" t="s">
        <v>129</v>
      </c>
      <c r="B59" t="s">
        <v>130</v>
      </c>
      <c r="C59">
        <v>165944</v>
      </c>
      <c r="D59">
        <v>165944</v>
      </c>
    </row>
    <row r="60" spans="1:18" x14ac:dyDescent="0.25">
      <c r="A60" t="s">
        <v>131</v>
      </c>
      <c r="B60" t="s">
        <v>49</v>
      </c>
      <c r="C60">
        <v>165247</v>
      </c>
      <c r="D60">
        <v>165247</v>
      </c>
      <c r="H60">
        <v>20</v>
      </c>
      <c r="I60">
        <v>60</v>
      </c>
      <c r="J60">
        <v>20</v>
      </c>
      <c r="K60">
        <v>10</v>
      </c>
      <c r="L60">
        <v>0</v>
      </c>
      <c r="M60">
        <v>110</v>
      </c>
    </row>
    <row r="61" spans="1:18" x14ac:dyDescent="0.25">
      <c r="A61" t="s">
        <v>132</v>
      </c>
      <c r="B61" t="s">
        <v>133</v>
      </c>
      <c r="C61">
        <v>167566</v>
      </c>
      <c r="D61">
        <v>167566</v>
      </c>
      <c r="H61">
        <v>10</v>
      </c>
      <c r="I61">
        <v>30</v>
      </c>
      <c r="J61">
        <v>10</v>
      </c>
      <c r="K61">
        <v>10</v>
      </c>
      <c r="L61">
        <v>0</v>
      </c>
      <c r="M61">
        <v>60</v>
      </c>
    </row>
    <row r="62" spans="1:18" x14ac:dyDescent="0.25">
      <c r="A62" t="s">
        <v>134</v>
      </c>
      <c r="B62" t="s">
        <v>126</v>
      </c>
      <c r="C62">
        <v>166850</v>
      </c>
      <c r="D62">
        <v>166850</v>
      </c>
      <c r="H62">
        <v>20</v>
      </c>
      <c r="I62">
        <v>30</v>
      </c>
      <c r="J62">
        <v>20</v>
      </c>
      <c r="K62">
        <v>10</v>
      </c>
      <c r="L62">
        <v>0</v>
      </c>
      <c r="M62">
        <v>80</v>
      </c>
    </row>
    <row r="63" spans="1:18" x14ac:dyDescent="0.25">
      <c r="A63" t="s">
        <v>135</v>
      </c>
      <c r="B63" t="s">
        <v>136</v>
      </c>
      <c r="C63">
        <v>166361</v>
      </c>
      <c r="D63">
        <v>166361</v>
      </c>
      <c r="E63">
        <v>20</v>
      </c>
      <c r="F63">
        <v>30</v>
      </c>
      <c r="G63">
        <v>20</v>
      </c>
      <c r="O63">
        <v>70</v>
      </c>
    </row>
    <row r="64" spans="1:18" x14ac:dyDescent="0.25">
      <c r="A64" t="s">
        <v>137</v>
      </c>
      <c r="B64" t="s">
        <v>138</v>
      </c>
      <c r="C64">
        <v>167095</v>
      </c>
      <c r="D64">
        <v>167095</v>
      </c>
      <c r="E64">
        <v>50</v>
      </c>
      <c r="F64">
        <v>30</v>
      </c>
      <c r="G64">
        <v>50</v>
      </c>
      <c r="O64">
        <v>130</v>
      </c>
    </row>
    <row r="65" spans="1:15" x14ac:dyDescent="0.25">
      <c r="A65" t="s">
        <v>139</v>
      </c>
      <c r="B65" t="s">
        <v>140</v>
      </c>
      <c r="C65">
        <v>166217</v>
      </c>
      <c r="D65">
        <v>166217</v>
      </c>
      <c r="H65">
        <v>0</v>
      </c>
      <c r="I65">
        <v>60</v>
      </c>
      <c r="J65">
        <v>20</v>
      </c>
      <c r="K65">
        <v>10</v>
      </c>
      <c r="L65">
        <v>10</v>
      </c>
      <c r="M65">
        <v>100</v>
      </c>
    </row>
    <row r="66" spans="1:15" x14ac:dyDescent="0.25">
      <c r="A66" t="s">
        <v>141</v>
      </c>
      <c r="B66" t="s">
        <v>142</v>
      </c>
      <c r="C66">
        <v>163424</v>
      </c>
      <c r="D66">
        <v>163424</v>
      </c>
      <c r="H66">
        <v>10</v>
      </c>
      <c r="I66">
        <v>30</v>
      </c>
      <c r="J66">
        <v>10</v>
      </c>
      <c r="K66">
        <v>0</v>
      </c>
      <c r="L66">
        <v>0</v>
      </c>
      <c r="M66">
        <v>50</v>
      </c>
    </row>
    <row r="67" spans="1:15" x14ac:dyDescent="0.25">
      <c r="A67" t="s">
        <v>143</v>
      </c>
      <c r="B67" t="s">
        <v>144</v>
      </c>
      <c r="C67">
        <v>166825</v>
      </c>
      <c r="D67">
        <v>166825</v>
      </c>
      <c r="H67">
        <v>10</v>
      </c>
      <c r="I67">
        <v>50</v>
      </c>
      <c r="J67">
        <v>10</v>
      </c>
      <c r="K67">
        <v>10</v>
      </c>
      <c r="L67">
        <v>10</v>
      </c>
      <c r="M67">
        <v>90</v>
      </c>
    </row>
    <row r="68" spans="1:15" x14ac:dyDescent="0.25">
      <c r="A68" t="s">
        <v>145</v>
      </c>
      <c r="B68" t="s">
        <v>146</v>
      </c>
      <c r="C68">
        <v>168438</v>
      </c>
      <c r="D68">
        <v>168438</v>
      </c>
      <c r="H68">
        <v>20</v>
      </c>
      <c r="I68">
        <v>60</v>
      </c>
      <c r="J68">
        <v>20</v>
      </c>
      <c r="K68">
        <v>10</v>
      </c>
      <c r="L68">
        <v>0</v>
      </c>
      <c r="M68">
        <v>110</v>
      </c>
    </row>
    <row r="69" spans="1:15" x14ac:dyDescent="0.25">
      <c r="A69" t="s">
        <v>147</v>
      </c>
      <c r="B69" t="s">
        <v>148</v>
      </c>
      <c r="C69">
        <v>166356</v>
      </c>
      <c r="D69">
        <v>166356</v>
      </c>
      <c r="H69">
        <v>0</v>
      </c>
      <c r="I69">
        <v>20</v>
      </c>
      <c r="J69">
        <v>10</v>
      </c>
      <c r="K69">
        <v>10</v>
      </c>
      <c r="L69">
        <v>10</v>
      </c>
      <c r="M69">
        <v>50</v>
      </c>
    </row>
    <row r="70" spans="1:15" x14ac:dyDescent="0.25">
      <c r="A70" t="s">
        <v>149</v>
      </c>
      <c r="B70" t="s">
        <v>150</v>
      </c>
      <c r="C70">
        <v>168435</v>
      </c>
      <c r="D70">
        <v>168435</v>
      </c>
      <c r="E70">
        <v>40</v>
      </c>
      <c r="F70">
        <v>40</v>
      </c>
      <c r="G70">
        <v>20</v>
      </c>
      <c r="O70">
        <v>100</v>
      </c>
    </row>
    <row r="71" spans="1:15" x14ac:dyDescent="0.25">
      <c r="A71" t="s">
        <v>151</v>
      </c>
      <c r="B71" t="s">
        <v>152</v>
      </c>
      <c r="C71">
        <v>168499</v>
      </c>
      <c r="D71">
        <v>168499</v>
      </c>
    </row>
    <row r="72" spans="1:15" x14ac:dyDescent="0.25">
      <c r="A72" t="s">
        <v>153</v>
      </c>
      <c r="B72" t="s">
        <v>154</v>
      </c>
      <c r="C72">
        <v>167900</v>
      </c>
      <c r="D72">
        <v>167900</v>
      </c>
    </row>
    <row r="73" spans="1:15" x14ac:dyDescent="0.25">
      <c r="A73" t="s">
        <v>155</v>
      </c>
      <c r="B73" t="s">
        <v>156</v>
      </c>
      <c r="C73">
        <v>165878</v>
      </c>
      <c r="D73">
        <v>165878</v>
      </c>
      <c r="H73">
        <v>20</v>
      </c>
      <c r="I73">
        <v>40</v>
      </c>
      <c r="J73">
        <v>20</v>
      </c>
      <c r="K73">
        <v>10</v>
      </c>
      <c r="L73">
        <v>0</v>
      </c>
      <c r="M73">
        <v>90</v>
      </c>
    </row>
    <row r="74" spans="1:15" x14ac:dyDescent="0.25">
      <c r="A74" t="s">
        <v>157</v>
      </c>
      <c r="B74" t="s">
        <v>158</v>
      </c>
      <c r="C74">
        <v>166117</v>
      </c>
      <c r="D74">
        <v>166117</v>
      </c>
      <c r="E74">
        <v>30</v>
      </c>
      <c r="F74">
        <v>10</v>
      </c>
      <c r="G74">
        <v>40</v>
      </c>
      <c r="O74">
        <v>80</v>
      </c>
    </row>
    <row r="75" spans="1:15" x14ac:dyDescent="0.25">
      <c r="A75" t="s">
        <v>159</v>
      </c>
      <c r="B75" t="s">
        <v>160</v>
      </c>
      <c r="C75">
        <v>167645</v>
      </c>
      <c r="D75">
        <v>167645</v>
      </c>
      <c r="H75">
        <v>0</v>
      </c>
      <c r="I75">
        <v>20</v>
      </c>
      <c r="J75">
        <v>10</v>
      </c>
      <c r="K75">
        <v>0</v>
      </c>
      <c r="L75">
        <v>0</v>
      </c>
      <c r="M75">
        <v>30</v>
      </c>
    </row>
    <row r="76" spans="1:15" x14ac:dyDescent="0.25">
      <c r="A76" t="s">
        <v>161</v>
      </c>
      <c r="B76" t="s">
        <v>162</v>
      </c>
      <c r="C76">
        <v>167815</v>
      </c>
      <c r="D76">
        <v>167815</v>
      </c>
      <c r="H76">
        <v>10</v>
      </c>
      <c r="I76">
        <v>30</v>
      </c>
      <c r="J76">
        <v>10</v>
      </c>
      <c r="K76">
        <v>0</v>
      </c>
      <c r="L76">
        <v>0</v>
      </c>
      <c r="M76">
        <v>50</v>
      </c>
    </row>
    <row r="77" spans="1:15" x14ac:dyDescent="0.25">
      <c r="A77" t="s">
        <v>163</v>
      </c>
      <c r="B77" t="s">
        <v>164</v>
      </c>
      <c r="C77">
        <v>168292</v>
      </c>
      <c r="D77">
        <v>168292</v>
      </c>
    </row>
    <row r="78" spans="1:15" x14ac:dyDescent="0.25">
      <c r="A78" t="s">
        <v>165</v>
      </c>
      <c r="B78" t="s">
        <v>166</v>
      </c>
      <c r="C78">
        <v>165952</v>
      </c>
      <c r="D78">
        <v>165952</v>
      </c>
      <c r="E78">
        <v>20</v>
      </c>
      <c r="F78">
        <v>30</v>
      </c>
      <c r="G78">
        <v>20</v>
      </c>
      <c r="O78">
        <v>70</v>
      </c>
    </row>
    <row r="79" spans="1:15" x14ac:dyDescent="0.25">
      <c r="A79" t="s">
        <v>167</v>
      </c>
      <c r="B79" t="s">
        <v>168</v>
      </c>
      <c r="C79">
        <v>167117</v>
      </c>
      <c r="D79">
        <v>167117</v>
      </c>
      <c r="H79">
        <v>10</v>
      </c>
      <c r="I79">
        <v>30</v>
      </c>
      <c r="J79">
        <v>10</v>
      </c>
      <c r="K79">
        <v>10</v>
      </c>
      <c r="L79">
        <v>0</v>
      </c>
      <c r="M79">
        <v>60</v>
      </c>
    </row>
    <row r="80" spans="1:15" x14ac:dyDescent="0.25">
      <c r="A80" t="s">
        <v>169</v>
      </c>
      <c r="B80" t="s">
        <v>170</v>
      </c>
      <c r="C80">
        <v>166532</v>
      </c>
      <c r="D80">
        <v>166532</v>
      </c>
      <c r="H80">
        <v>20</v>
      </c>
      <c r="I80">
        <v>30</v>
      </c>
      <c r="J80">
        <v>10</v>
      </c>
      <c r="K80">
        <v>10</v>
      </c>
      <c r="L80">
        <v>0</v>
      </c>
      <c r="M80">
        <v>70</v>
      </c>
    </row>
    <row r="81" spans="1:15" x14ac:dyDescent="0.25">
      <c r="A81" t="s">
        <v>171</v>
      </c>
      <c r="B81" t="s">
        <v>172</v>
      </c>
      <c r="C81">
        <v>167198</v>
      </c>
      <c r="D81">
        <v>167198</v>
      </c>
      <c r="E81">
        <v>20</v>
      </c>
      <c r="F81">
        <v>40</v>
      </c>
      <c r="G81">
        <v>40</v>
      </c>
      <c r="O81">
        <v>100</v>
      </c>
    </row>
    <row r="82" spans="1:15" x14ac:dyDescent="0.25">
      <c r="A82" t="s">
        <v>173</v>
      </c>
      <c r="B82" t="s">
        <v>174</v>
      </c>
      <c r="C82">
        <v>168576</v>
      </c>
      <c r="D82">
        <v>168576</v>
      </c>
      <c r="H82">
        <v>10</v>
      </c>
      <c r="I82">
        <v>20</v>
      </c>
      <c r="J82">
        <v>10</v>
      </c>
      <c r="K82">
        <v>10</v>
      </c>
      <c r="L82">
        <v>0</v>
      </c>
      <c r="M82">
        <v>50</v>
      </c>
    </row>
    <row r="83" spans="1:15" x14ac:dyDescent="0.25">
      <c r="A83" t="s">
        <v>175</v>
      </c>
      <c r="B83" t="s">
        <v>176</v>
      </c>
      <c r="C83">
        <v>166316</v>
      </c>
      <c r="D83">
        <v>166316</v>
      </c>
      <c r="H83">
        <v>20</v>
      </c>
      <c r="I83">
        <v>30</v>
      </c>
      <c r="J83">
        <v>10</v>
      </c>
      <c r="K83">
        <v>10</v>
      </c>
      <c r="L83">
        <v>10</v>
      </c>
      <c r="M83">
        <v>80</v>
      </c>
    </row>
    <row r="84" spans="1:15" x14ac:dyDescent="0.25">
      <c r="A84" t="s">
        <v>177</v>
      </c>
      <c r="B84" t="s">
        <v>178</v>
      </c>
      <c r="C84">
        <v>168639</v>
      </c>
      <c r="D84">
        <v>168639</v>
      </c>
      <c r="E84">
        <v>20</v>
      </c>
      <c r="F84">
        <v>20</v>
      </c>
      <c r="G84">
        <v>20</v>
      </c>
      <c r="O84">
        <v>60</v>
      </c>
    </row>
    <row r="85" spans="1:15" x14ac:dyDescent="0.25">
      <c r="A85" t="s">
        <v>179</v>
      </c>
      <c r="B85" t="s">
        <v>180</v>
      </c>
      <c r="C85">
        <v>166123</v>
      </c>
      <c r="D85">
        <v>166123</v>
      </c>
      <c r="E85">
        <v>30</v>
      </c>
      <c r="F85">
        <v>10</v>
      </c>
      <c r="G85">
        <v>40</v>
      </c>
      <c r="O85">
        <v>80</v>
      </c>
    </row>
    <row r="86" spans="1:15" x14ac:dyDescent="0.25">
      <c r="A86" t="s">
        <v>181</v>
      </c>
      <c r="B86" t="s">
        <v>182</v>
      </c>
      <c r="C86">
        <v>162327</v>
      </c>
      <c r="D86">
        <v>162327</v>
      </c>
      <c r="E86">
        <v>20</v>
      </c>
      <c r="F86">
        <v>10</v>
      </c>
      <c r="G86">
        <v>40</v>
      </c>
      <c r="O86">
        <v>70</v>
      </c>
    </row>
    <row r="87" spans="1:15" x14ac:dyDescent="0.25">
      <c r="A87" t="s">
        <v>183</v>
      </c>
      <c r="B87" t="s">
        <v>184</v>
      </c>
      <c r="C87">
        <v>166234</v>
      </c>
      <c r="D87">
        <v>166234</v>
      </c>
      <c r="E87">
        <v>30</v>
      </c>
      <c r="F87">
        <v>40</v>
      </c>
      <c r="G87">
        <v>30</v>
      </c>
      <c r="O87">
        <v>100</v>
      </c>
    </row>
    <row r="88" spans="1:15" x14ac:dyDescent="0.25">
      <c r="A88" t="s">
        <v>185</v>
      </c>
      <c r="B88" t="s">
        <v>186</v>
      </c>
      <c r="C88">
        <v>168477</v>
      </c>
      <c r="D88">
        <v>168477</v>
      </c>
      <c r="H88">
        <v>20</v>
      </c>
      <c r="I88">
        <v>40</v>
      </c>
      <c r="J88">
        <v>20</v>
      </c>
      <c r="K88">
        <v>10</v>
      </c>
      <c r="L88">
        <v>0</v>
      </c>
      <c r="M88">
        <v>90</v>
      </c>
    </row>
    <row r="89" spans="1:15" x14ac:dyDescent="0.25">
      <c r="A89" t="s">
        <v>187</v>
      </c>
      <c r="B89" t="s">
        <v>188</v>
      </c>
      <c r="C89">
        <v>165107</v>
      </c>
      <c r="D89">
        <v>165107</v>
      </c>
      <c r="E89">
        <v>10</v>
      </c>
      <c r="F89">
        <v>20</v>
      </c>
      <c r="G89">
        <v>30</v>
      </c>
      <c r="O89">
        <v>60</v>
      </c>
    </row>
    <row r="90" spans="1:15" x14ac:dyDescent="0.25">
      <c r="A90" t="s">
        <v>189</v>
      </c>
      <c r="B90" t="s">
        <v>190</v>
      </c>
      <c r="C90">
        <v>167565</v>
      </c>
      <c r="D90">
        <v>167565</v>
      </c>
      <c r="H90">
        <v>20</v>
      </c>
      <c r="I90">
        <v>50</v>
      </c>
      <c r="J90">
        <v>10</v>
      </c>
      <c r="K90">
        <v>10</v>
      </c>
      <c r="L90">
        <v>10</v>
      </c>
      <c r="M90">
        <v>100</v>
      </c>
    </row>
    <row r="91" spans="1:15" x14ac:dyDescent="0.25">
      <c r="A91" t="s">
        <v>191</v>
      </c>
      <c r="B91" t="s">
        <v>126</v>
      </c>
      <c r="C91">
        <v>167068</v>
      </c>
      <c r="D91">
        <v>167068</v>
      </c>
      <c r="E91">
        <v>10</v>
      </c>
      <c r="F91">
        <v>0</v>
      </c>
      <c r="G91">
        <v>30</v>
      </c>
      <c r="O91">
        <v>40</v>
      </c>
    </row>
    <row r="92" spans="1:15" x14ac:dyDescent="0.25">
      <c r="A92" t="s">
        <v>192</v>
      </c>
      <c r="B92" t="s">
        <v>193</v>
      </c>
      <c r="C92">
        <v>165775</v>
      </c>
      <c r="D92">
        <v>165775</v>
      </c>
      <c r="E92">
        <v>50</v>
      </c>
      <c r="F92">
        <v>30</v>
      </c>
      <c r="G92">
        <v>20</v>
      </c>
      <c r="O92">
        <v>100</v>
      </c>
    </row>
    <row r="93" spans="1:15" x14ac:dyDescent="0.25">
      <c r="A93" t="s">
        <v>194</v>
      </c>
      <c r="B93" t="s">
        <v>195</v>
      </c>
      <c r="C93">
        <v>161016</v>
      </c>
      <c r="D93">
        <v>161016</v>
      </c>
    </row>
    <row r="94" spans="1:15" x14ac:dyDescent="0.25">
      <c r="A94" t="s">
        <v>196</v>
      </c>
      <c r="B94" t="s">
        <v>197</v>
      </c>
      <c r="C94">
        <v>165022</v>
      </c>
      <c r="D94">
        <v>165022</v>
      </c>
      <c r="H94">
        <v>20</v>
      </c>
      <c r="I94">
        <v>40</v>
      </c>
      <c r="J94">
        <v>10</v>
      </c>
      <c r="K94">
        <v>10</v>
      </c>
      <c r="L94">
        <v>10</v>
      </c>
      <c r="M94">
        <v>90</v>
      </c>
    </row>
    <row r="95" spans="1:15" x14ac:dyDescent="0.25">
      <c r="A95" t="s">
        <v>198</v>
      </c>
      <c r="B95" t="s">
        <v>199</v>
      </c>
      <c r="C95">
        <v>168236</v>
      </c>
      <c r="D95">
        <v>168236</v>
      </c>
    </row>
    <row r="96" spans="1:15" x14ac:dyDescent="0.25">
      <c r="A96" t="s">
        <v>200</v>
      </c>
      <c r="B96" t="s">
        <v>201</v>
      </c>
      <c r="C96">
        <v>168724</v>
      </c>
      <c r="D96">
        <v>168724</v>
      </c>
      <c r="H96">
        <v>10</v>
      </c>
      <c r="I96">
        <v>40</v>
      </c>
      <c r="J96">
        <v>10</v>
      </c>
      <c r="K96">
        <v>10</v>
      </c>
      <c r="L96">
        <v>0</v>
      </c>
      <c r="M96">
        <v>70</v>
      </c>
    </row>
    <row r="97" spans="1:15" x14ac:dyDescent="0.25">
      <c r="A97" t="s">
        <v>202</v>
      </c>
      <c r="B97" t="s">
        <v>203</v>
      </c>
      <c r="C97">
        <v>166210</v>
      </c>
      <c r="D97">
        <v>166210</v>
      </c>
      <c r="H97">
        <v>20</v>
      </c>
      <c r="I97">
        <v>50</v>
      </c>
      <c r="J97">
        <v>20</v>
      </c>
      <c r="K97">
        <v>10</v>
      </c>
      <c r="L97">
        <v>0</v>
      </c>
      <c r="M97">
        <v>100</v>
      </c>
    </row>
    <row r="98" spans="1:15" x14ac:dyDescent="0.25">
      <c r="A98" t="s">
        <v>204</v>
      </c>
      <c r="B98" t="s">
        <v>25</v>
      </c>
      <c r="C98">
        <v>164520</v>
      </c>
      <c r="D98">
        <v>164520</v>
      </c>
      <c r="E98">
        <v>20</v>
      </c>
      <c r="F98">
        <v>20</v>
      </c>
      <c r="G98">
        <v>20</v>
      </c>
      <c r="O98">
        <v>60</v>
      </c>
    </row>
    <row r="99" spans="1:15" x14ac:dyDescent="0.25">
      <c r="A99" t="s">
        <v>205</v>
      </c>
      <c r="B99" t="s">
        <v>138</v>
      </c>
      <c r="C99">
        <v>167560</v>
      </c>
      <c r="D99">
        <v>167560</v>
      </c>
      <c r="H99">
        <v>0</v>
      </c>
      <c r="I99">
        <v>10</v>
      </c>
      <c r="J99">
        <v>10</v>
      </c>
      <c r="K99">
        <v>10</v>
      </c>
      <c r="L99">
        <v>10</v>
      </c>
      <c r="M99">
        <v>40</v>
      </c>
    </row>
    <row r="100" spans="1:15" x14ac:dyDescent="0.25">
      <c r="A100" t="s">
        <v>206</v>
      </c>
      <c r="B100" t="s">
        <v>207</v>
      </c>
      <c r="C100">
        <v>167075</v>
      </c>
      <c r="D100">
        <v>167075</v>
      </c>
      <c r="E100">
        <v>30</v>
      </c>
      <c r="F100">
        <v>30</v>
      </c>
      <c r="G100">
        <v>30</v>
      </c>
      <c r="O100">
        <v>90</v>
      </c>
    </row>
    <row r="101" spans="1:15" x14ac:dyDescent="0.25">
      <c r="A101" t="s">
        <v>208</v>
      </c>
      <c r="B101" t="s">
        <v>209</v>
      </c>
      <c r="C101">
        <v>168885</v>
      </c>
      <c r="D101">
        <v>168885</v>
      </c>
      <c r="H101">
        <v>0</v>
      </c>
      <c r="I101">
        <v>20</v>
      </c>
      <c r="J101">
        <v>20</v>
      </c>
      <c r="K101">
        <v>0</v>
      </c>
      <c r="L101">
        <v>0</v>
      </c>
      <c r="M101">
        <v>40</v>
      </c>
    </row>
    <row r="102" spans="1:15" x14ac:dyDescent="0.25">
      <c r="A102" t="s">
        <v>210</v>
      </c>
      <c r="B102" t="s">
        <v>211</v>
      </c>
      <c r="C102">
        <v>168246</v>
      </c>
      <c r="D102">
        <v>168246</v>
      </c>
      <c r="E102">
        <v>10</v>
      </c>
      <c r="F102">
        <v>10</v>
      </c>
      <c r="G102">
        <v>20</v>
      </c>
      <c r="O102">
        <v>40</v>
      </c>
    </row>
    <row r="103" spans="1:15" x14ac:dyDescent="0.25">
      <c r="A103" t="s">
        <v>212</v>
      </c>
      <c r="B103" t="s">
        <v>213</v>
      </c>
      <c r="C103">
        <v>165898</v>
      </c>
      <c r="D103">
        <v>165898</v>
      </c>
    </row>
    <row r="104" spans="1:15" x14ac:dyDescent="0.25">
      <c r="A104" t="s">
        <v>212</v>
      </c>
      <c r="B104" t="s">
        <v>214</v>
      </c>
      <c r="C104">
        <v>165899</v>
      </c>
      <c r="D104">
        <v>165899</v>
      </c>
    </row>
    <row r="105" spans="1:15" x14ac:dyDescent="0.25">
      <c r="A105" t="s">
        <v>215</v>
      </c>
      <c r="B105" t="s">
        <v>216</v>
      </c>
      <c r="C105">
        <v>168594</v>
      </c>
      <c r="D105">
        <v>168594</v>
      </c>
      <c r="E105">
        <v>30</v>
      </c>
      <c r="F105">
        <v>20</v>
      </c>
      <c r="G105">
        <v>20</v>
      </c>
      <c r="O105">
        <v>70</v>
      </c>
    </row>
    <row r="106" spans="1:15" x14ac:dyDescent="0.25">
      <c r="A106" t="s">
        <v>217</v>
      </c>
      <c r="B106" t="s">
        <v>218</v>
      </c>
      <c r="C106">
        <v>167549</v>
      </c>
      <c r="D106">
        <v>167549</v>
      </c>
      <c r="H106">
        <v>0</v>
      </c>
      <c r="I106">
        <v>30</v>
      </c>
      <c r="J106">
        <v>10</v>
      </c>
      <c r="K106">
        <v>10</v>
      </c>
      <c r="L106">
        <v>10</v>
      </c>
      <c r="M106">
        <v>60</v>
      </c>
    </row>
    <row r="107" spans="1:15" x14ac:dyDescent="0.25">
      <c r="A107" t="s">
        <v>219</v>
      </c>
      <c r="B107" t="s">
        <v>220</v>
      </c>
      <c r="C107">
        <v>167424</v>
      </c>
      <c r="D107">
        <v>167424</v>
      </c>
      <c r="H107">
        <v>0</v>
      </c>
      <c r="I107">
        <v>40</v>
      </c>
      <c r="J107">
        <v>10</v>
      </c>
      <c r="K107">
        <v>10</v>
      </c>
      <c r="L107">
        <v>0</v>
      </c>
      <c r="M107">
        <v>60</v>
      </c>
    </row>
    <row r="108" spans="1:15" x14ac:dyDescent="0.25">
      <c r="A108" t="s">
        <v>221</v>
      </c>
      <c r="B108" t="s">
        <v>222</v>
      </c>
      <c r="C108">
        <v>167123</v>
      </c>
      <c r="D108">
        <v>167123</v>
      </c>
      <c r="H108">
        <v>10</v>
      </c>
      <c r="I108">
        <v>40</v>
      </c>
      <c r="J108">
        <v>10</v>
      </c>
      <c r="K108">
        <v>10</v>
      </c>
      <c r="L108">
        <v>10</v>
      </c>
      <c r="M108">
        <v>80</v>
      </c>
    </row>
    <row r="109" spans="1:15" x14ac:dyDescent="0.25">
      <c r="A109" t="s">
        <v>223</v>
      </c>
      <c r="B109" t="s">
        <v>224</v>
      </c>
      <c r="C109">
        <v>165883</v>
      </c>
      <c r="D109">
        <v>165883</v>
      </c>
      <c r="E109">
        <v>50</v>
      </c>
      <c r="F109">
        <v>0</v>
      </c>
      <c r="G109">
        <v>40</v>
      </c>
      <c r="O109">
        <v>90</v>
      </c>
    </row>
    <row r="110" spans="1:15" x14ac:dyDescent="0.25">
      <c r="A110" t="s">
        <v>225</v>
      </c>
      <c r="B110" t="s">
        <v>226</v>
      </c>
      <c r="C110">
        <v>166548</v>
      </c>
      <c r="D110">
        <v>166548</v>
      </c>
      <c r="H110">
        <v>0</v>
      </c>
      <c r="I110">
        <v>10</v>
      </c>
      <c r="J110">
        <v>0</v>
      </c>
      <c r="K110">
        <v>0</v>
      </c>
      <c r="M110">
        <v>10</v>
      </c>
    </row>
    <row r="111" spans="1:15" x14ac:dyDescent="0.25">
      <c r="A111" t="s">
        <v>227</v>
      </c>
      <c r="B111" t="s">
        <v>228</v>
      </c>
      <c r="C111">
        <v>166915</v>
      </c>
      <c r="D111">
        <v>166915</v>
      </c>
      <c r="H111">
        <v>10</v>
      </c>
      <c r="I111">
        <v>40</v>
      </c>
      <c r="J111">
        <v>20</v>
      </c>
      <c r="K111">
        <v>10</v>
      </c>
      <c r="L111">
        <v>0</v>
      </c>
      <c r="M111">
        <v>80</v>
      </c>
    </row>
    <row r="112" spans="1:15" x14ac:dyDescent="0.25">
      <c r="A112" t="s">
        <v>229</v>
      </c>
      <c r="B112" t="s">
        <v>230</v>
      </c>
      <c r="C112">
        <v>168146</v>
      </c>
      <c r="D112">
        <v>168146</v>
      </c>
      <c r="H112">
        <v>20</v>
      </c>
      <c r="I112">
        <v>30</v>
      </c>
      <c r="J112">
        <v>10</v>
      </c>
      <c r="K112">
        <v>10</v>
      </c>
      <c r="L112">
        <v>10</v>
      </c>
      <c r="M112">
        <v>80</v>
      </c>
    </row>
    <row r="113" spans="1:15" x14ac:dyDescent="0.25">
      <c r="A113" t="s">
        <v>231</v>
      </c>
      <c r="B113" t="s">
        <v>232</v>
      </c>
      <c r="C113">
        <v>165978</v>
      </c>
      <c r="D113">
        <v>165978</v>
      </c>
      <c r="H113">
        <v>10</v>
      </c>
      <c r="I113">
        <v>60</v>
      </c>
      <c r="J113">
        <v>20</v>
      </c>
      <c r="K113">
        <v>10</v>
      </c>
      <c r="L113">
        <v>0</v>
      </c>
      <c r="M113">
        <v>100</v>
      </c>
    </row>
    <row r="114" spans="1:15" x14ac:dyDescent="0.25">
      <c r="A114" t="s">
        <v>233</v>
      </c>
      <c r="B114" t="s">
        <v>234</v>
      </c>
      <c r="C114">
        <v>167449</v>
      </c>
      <c r="D114">
        <v>167449</v>
      </c>
      <c r="H114">
        <v>0</v>
      </c>
      <c r="I114">
        <v>30</v>
      </c>
      <c r="J114">
        <v>0</v>
      </c>
      <c r="K114">
        <v>0</v>
      </c>
      <c r="L114">
        <v>0</v>
      </c>
      <c r="M114">
        <v>30</v>
      </c>
    </row>
    <row r="115" spans="1:15" x14ac:dyDescent="0.25">
      <c r="A115" t="s">
        <v>235</v>
      </c>
      <c r="B115" t="s">
        <v>236</v>
      </c>
      <c r="C115">
        <v>167677</v>
      </c>
      <c r="D115">
        <v>167677</v>
      </c>
      <c r="E115">
        <v>10</v>
      </c>
      <c r="F115">
        <v>10</v>
      </c>
      <c r="G115">
        <v>30</v>
      </c>
      <c r="O115">
        <v>50</v>
      </c>
    </row>
    <row r="116" spans="1:15" x14ac:dyDescent="0.25">
      <c r="A116" t="s">
        <v>237</v>
      </c>
      <c r="B116" t="s">
        <v>238</v>
      </c>
      <c r="C116">
        <v>168142</v>
      </c>
      <c r="D116">
        <v>168142</v>
      </c>
      <c r="E116">
        <v>20</v>
      </c>
      <c r="F116">
        <v>20</v>
      </c>
      <c r="G116">
        <v>10</v>
      </c>
      <c r="O116">
        <v>50</v>
      </c>
    </row>
    <row r="117" spans="1:15" x14ac:dyDescent="0.25">
      <c r="A117" t="s">
        <v>239</v>
      </c>
      <c r="B117" t="s">
        <v>240</v>
      </c>
      <c r="C117">
        <v>168512</v>
      </c>
      <c r="D117">
        <v>168512</v>
      </c>
      <c r="H117">
        <v>20</v>
      </c>
      <c r="I117">
        <v>30</v>
      </c>
      <c r="J117">
        <v>10</v>
      </c>
      <c r="K117">
        <v>10</v>
      </c>
      <c r="L117">
        <v>0</v>
      </c>
      <c r="M117">
        <v>70</v>
      </c>
    </row>
    <row r="118" spans="1:15" x14ac:dyDescent="0.25">
      <c r="A118" t="s">
        <v>241</v>
      </c>
      <c r="B118" t="s">
        <v>242</v>
      </c>
      <c r="C118">
        <v>168577</v>
      </c>
      <c r="D118">
        <v>168577</v>
      </c>
      <c r="E118">
        <v>40</v>
      </c>
      <c r="F118">
        <v>0</v>
      </c>
      <c r="G118">
        <v>20</v>
      </c>
      <c r="O118">
        <v>60</v>
      </c>
    </row>
    <row r="119" spans="1:15" x14ac:dyDescent="0.25">
      <c r="A119" t="s">
        <v>243</v>
      </c>
      <c r="B119" t="s">
        <v>244</v>
      </c>
      <c r="C119">
        <v>166917</v>
      </c>
      <c r="D119">
        <v>166917</v>
      </c>
      <c r="E119">
        <v>30</v>
      </c>
      <c r="F119">
        <v>40</v>
      </c>
      <c r="G119">
        <v>60</v>
      </c>
      <c r="O119">
        <v>130</v>
      </c>
    </row>
    <row r="120" spans="1:15" x14ac:dyDescent="0.25">
      <c r="A120" t="s">
        <v>245</v>
      </c>
      <c r="B120" t="s">
        <v>246</v>
      </c>
      <c r="C120">
        <v>166465</v>
      </c>
      <c r="D120">
        <v>166465</v>
      </c>
    </row>
    <row r="121" spans="1:15" x14ac:dyDescent="0.25">
      <c r="A121" t="s">
        <v>247</v>
      </c>
      <c r="B121" t="s">
        <v>248</v>
      </c>
      <c r="C121">
        <v>166773</v>
      </c>
      <c r="D121">
        <v>166773</v>
      </c>
      <c r="E121">
        <v>20</v>
      </c>
      <c r="F121">
        <v>40</v>
      </c>
      <c r="G121">
        <v>30</v>
      </c>
      <c r="O121">
        <v>90</v>
      </c>
    </row>
    <row r="122" spans="1:15" x14ac:dyDescent="0.25">
      <c r="A122" t="s">
        <v>249</v>
      </c>
      <c r="B122" t="s">
        <v>250</v>
      </c>
      <c r="C122">
        <v>166424</v>
      </c>
      <c r="D122">
        <v>166424</v>
      </c>
      <c r="E122">
        <v>30</v>
      </c>
      <c r="F122">
        <v>20</v>
      </c>
      <c r="G122">
        <v>30</v>
      </c>
      <c r="O122">
        <v>80</v>
      </c>
    </row>
    <row r="123" spans="1:15" x14ac:dyDescent="0.25">
      <c r="A123" t="s">
        <v>251</v>
      </c>
      <c r="B123" t="s">
        <v>203</v>
      </c>
      <c r="C123">
        <v>161738</v>
      </c>
      <c r="D123">
        <v>161738</v>
      </c>
    </row>
    <row r="124" spans="1:15" x14ac:dyDescent="0.25">
      <c r="A124" t="s">
        <v>252</v>
      </c>
      <c r="B124" t="s">
        <v>253</v>
      </c>
      <c r="C124">
        <v>167029</v>
      </c>
      <c r="D124">
        <v>167029</v>
      </c>
      <c r="H124">
        <v>20</v>
      </c>
      <c r="I124">
        <v>30</v>
      </c>
      <c r="J124">
        <v>20</v>
      </c>
      <c r="M124">
        <v>70</v>
      </c>
    </row>
    <row r="125" spans="1:15" x14ac:dyDescent="0.25">
      <c r="A125" t="s">
        <v>254</v>
      </c>
      <c r="B125" t="s">
        <v>218</v>
      </c>
      <c r="C125">
        <v>166096</v>
      </c>
      <c r="D125">
        <v>166096</v>
      </c>
      <c r="E125">
        <v>20</v>
      </c>
      <c r="F125">
        <v>10</v>
      </c>
      <c r="G125">
        <v>30</v>
      </c>
      <c r="O125">
        <v>60</v>
      </c>
    </row>
    <row r="126" spans="1:15" x14ac:dyDescent="0.25">
      <c r="A126" t="s">
        <v>255</v>
      </c>
      <c r="B126" t="s">
        <v>197</v>
      </c>
      <c r="C126">
        <v>167239</v>
      </c>
      <c r="D126">
        <v>167239</v>
      </c>
      <c r="E126">
        <v>40</v>
      </c>
      <c r="F126">
        <v>20</v>
      </c>
      <c r="G126">
        <v>50</v>
      </c>
      <c r="O126">
        <v>110</v>
      </c>
    </row>
    <row r="127" spans="1:15" x14ac:dyDescent="0.25">
      <c r="A127" t="s">
        <v>256</v>
      </c>
      <c r="B127" t="s">
        <v>257</v>
      </c>
      <c r="C127">
        <v>167824</v>
      </c>
      <c r="D127">
        <v>167824</v>
      </c>
      <c r="H127">
        <v>10</v>
      </c>
      <c r="I127">
        <v>40</v>
      </c>
      <c r="J127">
        <v>0</v>
      </c>
      <c r="K127">
        <v>10</v>
      </c>
      <c r="L127">
        <v>10</v>
      </c>
      <c r="M127">
        <v>70</v>
      </c>
    </row>
    <row r="128" spans="1:15" x14ac:dyDescent="0.25">
      <c r="A128" t="s">
        <v>258</v>
      </c>
      <c r="B128" t="s">
        <v>130</v>
      </c>
      <c r="C128">
        <v>167870</v>
      </c>
      <c r="D128">
        <v>167870</v>
      </c>
      <c r="H128">
        <v>0</v>
      </c>
      <c r="I128">
        <v>30</v>
      </c>
      <c r="J128">
        <v>10</v>
      </c>
      <c r="K128">
        <v>10</v>
      </c>
      <c r="L128">
        <v>10</v>
      </c>
      <c r="M128">
        <v>60</v>
      </c>
    </row>
    <row r="129" spans="1:15" x14ac:dyDescent="0.25">
      <c r="A129" t="s">
        <v>259</v>
      </c>
      <c r="B129" t="s">
        <v>260</v>
      </c>
      <c r="C129">
        <v>167692</v>
      </c>
      <c r="D129">
        <v>167692</v>
      </c>
    </row>
    <row r="130" spans="1:15" x14ac:dyDescent="0.25">
      <c r="A130" t="s">
        <v>261</v>
      </c>
      <c r="B130" t="s">
        <v>262</v>
      </c>
      <c r="C130">
        <v>166743</v>
      </c>
      <c r="D130">
        <v>166743</v>
      </c>
      <c r="H130">
        <v>0</v>
      </c>
      <c r="I130">
        <v>40</v>
      </c>
      <c r="J130">
        <v>10</v>
      </c>
      <c r="K130">
        <v>0</v>
      </c>
      <c r="L130">
        <v>0</v>
      </c>
      <c r="M130">
        <v>50</v>
      </c>
    </row>
    <row r="131" spans="1:15" x14ac:dyDescent="0.25">
      <c r="A131" t="s">
        <v>263</v>
      </c>
      <c r="B131" t="s">
        <v>264</v>
      </c>
      <c r="C131">
        <v>166008</v>
      </c>
      <c r="D131">
        <v>166008</v>
      </c>
      <c r="H131">
        <v>20</v>
      </c>
      <c r="I131">
        <v>30</v>
      </c>
      <c r="J131">
        <v>10</v>
      </c>
      <c r="K131">
        <v>10</v>
      </c>
      <c r="L131">
        <v>0</v>
      </c>
      <c r="M131">
        <v>70</v>
      </c>
    </row>
    <row r="132" spans="1:15" x14ac:dyDescent="0.25">
      <c r="A132" t="s">
        <v>265</v>
      </c>
      <c r="B132" t="s">
        <v>266</v>
      </c>
      <c r="C132">
        <v>167851</v>
      </c>
      <c r="D132">
        <v>167851</v>
      </c>
      <c r="E132">
        <v>10</v>
      </c>
      <c r="F132">
        <v>0</v>
      </c>
      <c r="G132">
        <v>30</v>
      </c>
      <c r="O132">
        <v>40</v>
      </c>
    </row>
    <row r="133" spans="1:15" x14ac:dyDescent="0.25">
      <c r="A133" t="s">
        <v>267</v>
      </c>
      <c r="B133" t="s">
        <v>268</v>
      </c>
      <c r="C133">
        <v>167562</v>
      </c>
      <c r="D133">
        <v>167562</v>
      </c>
    </row>
    <row r="134" spans="1:15" x14ac:dyDescent="0.25">
      <c r="A134" t="s">
        <v>269</v>
      </c>
      <c r="B134" t="s">
        <v>270</v>
      </c>
      <c r="C134">
        <v>165468</v>
      </c>
      <c r="D134">
        <v>165468</v>
      </c>
      <c r="H134">
        <v>20</v>
      </c>
      <c r="I134">
        <v>40</v>
      </c>
      <c r="J134">
        <v>20</v>
      </c>
      <c r="K134">
        <v>10</v>
      </c>
      <c r="L134">
        <v>0</v>
      </c>
      <c r="M134">
        <v>90</v>
      </c>
    </row>
    <row r="135" spans="1:15" x14ac:dyDescent="0.25">
      <c r="A135" t="s">
        <v>271</v>
      </c>
      <c r="B135" t="s">
        <v>272</v>
      </c>
      <c r="C135">
        <v>167494</v>
      </c>
      <c r="D135">
        <v>167494</v>
      </c>
      <c r="H135">
        <v>20</v>
      </c>
      <c r="I135">
        <v>40</v>
      </c>
      <c r="J135">
        <v>0</v>
      </c>
      <c r="K135">
        <v>0</v>
      </c>
      <c r="L135">
        <v>0</v>
      </c>
      <c r="M135">
        <v>60</v>
      </c>
    </row>
    <row r="136" spans="1:15" x14ac:dyDescent="0.25">
      <c r="A136" t="s">
        <v>273</v>
      </c>
      <c r="B136" t="s">
        <v>274</v>
      </c>
      <c r="C136">
        <v>163245</v>
      </c>
      <c r="D136">
        <v>163245</v>
      </c>
    </row>
    <row r="137" spans="1:15" x14ac:dyDescent="0.25">
      <c r="A137" t="s">
        <v>275</v>
      </c>
      <c r="B137" t="s">
        <v>276</v>
      </c>
      <c r="C137">
        <v>166843</v>
      </c>
      <c r="D137">
        <v>166843</v>
      </c>
    </row>
    <row r="138" spans="1:15" x14ac:dyDescent="0.25">
      <c r="A138" t="s">
        <v>277</v>
      </c>
      <c r="B138" t="s">
        <v>278</v>
      </c>
      <c r="C138">
        <v>167681</v>
      </c>
      <c r="D138">
        <v>167681</v>
      </c>
      <c r="H138">
        <v>0</v>
      </c>
      <c r="I138">
        <v>20</v>
      </c>
      <c r="J138">
        <v>10</v>
      </c>
      <c r="K138">
        <v>10</v>
      </c>
      <c r="L138">
        <v>0</v>
      </c>
      <c r="M138">
        <v>40</v>
      </c>
    </row>
    <row r="139" spans="1:15" x14ac:dyDescent="0.25">
      <c r="A139" t="s">
        <v>279</v>
      </c>
      <c r="B139" t="s">
        <v>138</v>
      </c>
      <c r="C139">
        <v>167353</v>
      </c>
      <c r="D139">
        <v>167353</v>
      </c>
      <c r="H139">
        <v>20</v>
      </c>
      <c r="I139">
        <v>60</v>
      </c>
      <c r="J139">
        <v>10</v>
      </c>
      <c r="K139">
        <v>10</v>
      </c>
      <c r="L139">
        <v>10</v>
      </c>
      <c r="M139">
        <v>110</v>
      </c>
    </row>
    <row r="140" spans="1:15" x14ac:dyDescent="0.25">
      <c r="A140" t="s">
        <v>280</v>
      </c>
      <c r="B140" t="s">
        <v>126</v>
      </c>
      <c r="C140">
        <v>165237</v>
      </c>
      <c r="D140">
        <v>165237</v>
      </c>
    </row>
    <row r="141" spans="1:15" x14ac:dyDescent="0.25">
      <c r="A141" t="s">
        <v>281</v>
      </c>
      <c r="B141" t="s">
        <v>282</v>
      </c>
      <c r="C141">
        <v>167024</v>
      </c>
      <c r="D141">
        <v>167024</v>
      </c>
      <c r="H141">
        <v>10</v>
      </c>
      <c r="I141">
        <v>10</v>
      </c>
      <c r="J141">
        <v>20</v>
      </c>
      <c r="K141">
        <v>10</v>
      </c>
      <c r="L141">
        <v>0</v>
      </c>
      <c r="M141">
        <v>50</v>
      </c>
    </row>
    <row r="142" spans="1:15" x14ac:dyDescent="0.25">
      <c r="A142" t="s">
        <v>283</v>
      </c>
      <c r="B142" t="s">
        <v>284</v>
      </c>
      <c r="C142">
        <v>166565</v>
      </c>
      <c r="D142">
        <v>166565</v>
      </c>
      <c r="H142">
        <v>0</v>
      </c>
      <c r="I142">
        <v>40</v>
      </c>
      <c r="J142">
        <v>10</v>
      </c>
      <c r="K142">
        <v>0</v>
      </c>
      <c r="L142">
        <v>10</v>
      </c>
      <c r="M142">
        <v>60</v>
      </c>
    </row>
    <row r="143" spans="1:15" x14ac:dyDescent="0.25">
      <c r="A143" t="s">
        <v>285</v>
      </c>
      <c r="B143" t="s">
        <v>286</v>
      </c>
      <c r="C143">
        <v>167651</v>
      </c>
      <c r="D143">
        <v>167651</v>
      </c>
      <c r="H143">
        <v>10</v>
      </c>
      <c r="I143">
        <v>30</v>
      </c>
      <c r="J143">
        <v>10</v>
      </c>
      <c r="K143">
        <v>0</v>
      </c>
      <c r="L143">
        <v>0</v>
      </c>
      <c r="M143">
        <v>50</v>
      </c>
    </row>
    <row r="144" spans="1:15" x14ac:dyDescent="0.25">
      <c r="A144" t="s">
        <v>287</v>
      </c>
      <c r="B144" t="s">
        <v>288</v>
      </c>
      <c r="C144">
        <v>165970</v>
      </c>
      <c r="D144">
        <v>165970</v>
      </c>
      <c r="H144">
        <v>10</v>
      </c>
      <c r="I144">
        <v>60</v>
      </c>
      <c r="J144">
        <v>10</v>
      </c>
      <c r="K144">
        <v>10</v>
      </c>
      <c r="L144">
        <v>0</v>
      </c>
      <c r="M144">
        <v>90</v>
      </c>
    </row>
    <row r="145" spans="1:15" x14ac:dyDescent="0.25">
      <c r="A145" t="s">
        <v>289</v>
      </c>
      <c r="B145" t="s">
        <v>290</v>
      </c>
      <c r="C145">
        <v>167015</v>
      </c>
      <c r="D145">
        <v>167015</v>
      </c>
      <c r="H145">
        <v>10</v>
      </c>
      <c r="I145">
        <v>10</v>
      </c>
      <c r="J145">
        <v>20</v>
      </c>
      <c r="K145">
        <v>0</v>
      </c>
      <c r="L145">
        <v>10</v>
      </c>
      <c r="M145">
        <v>50</v>
      </c>
      <c r="N145" t="s">
        <v>20</v>
      </c>
    </row>
    <row r="146" spans="1:15" x14ac:dyDescent="0.25">
      <c r="A146" t="s">
        <v>291</v>
      </c>
      <c r="B146" t="s">
        <v>292</v>
      </c>
      <c r="C146">
        <v>166277</v>
      </c>
      <c r="D146">
        <v>166277</v>
      </c>
      <c r="E146">
        <v>10</v>
      </c>
      <c r="F146">
        <v>40</v>
      </c>
      <c r="G146">
        <v>20</v>
      </c>
      <c r="O146">
        <v>70</v>
      </c>
    </row>
    <row r="147" spans="1:15" x14ac:dyDescent="0.25">
      <c r="A147" t="s">
        <v>293</v>
      </c>
      <c r="B147" t="s">
        <v>294</v>
      </c>
      <c r="C147">
        <v>166438</v>
      </c>
      <c r="D147">
        <v>166438</v>
      </c>
      <c r="H147">
        <v>20</v>
      </c>
      <c r="I147">
        <v>60</v>
      </c>
      <c r="J147">
        <v>10</v>
      </c>
      <c r="K147">
        <v>10</v>
      </c>
      <c r="L147">
        <v>10</v>
      </c>
      <c r="M147">
        <v>110</v>
      </c>
    </row>
    <row r="148" spans="1:15" x14ac:dyDescent="0.25">
      <c r="A148" t="s">
        <v>295</v>
      </c>
      <c r="B148" t="s">
        <v>296</v>
      </c>
      <c r="C148">
        <v>163267</v>
      </c>
      <c r="D148">
        <v>163267</v>
      </c>
      <c r="E148">
        <v>40</v>
      </c>
      <c r="F148">
        <v>0</v>
      </c>
      <c r="G148">
        <v>30</v>
      </c>
      <c r="O148">
        <v>70</v>
      </c>
    </row>
    <row r="149" spans="1:15" x14ac:dyDescent="0.25">
      <c r="A149" t="s">
        <v>297</v>
      </c>
      <c r="B149" t="s">
        <v>298</v>
      </c>
      <c r="C149">
        <v>167532</v>
      </c>
      <c r="D149">
        <v>167532</v>
      </c>
    </row>
    <row r="150" spans="1:15" x14ac:dyDescent="0.25">
      <c r="A150" t="s">
        <v>299</v>
      </c>
      <c r="B150" t="s">
        <v>300</v>
      </c>
      <c r="C150">
        <v>168745</v>
      </c>
      <c r="D150">
        <v>168745</v>
      </c>
      <c r="E150">
        <v>50</v>
      </c>
      <c r="F150">
        <v>40</v>
      </c>
      <c r="G150">
        <v>50</v>
      </c>
      <c r="O150">
        <v>140</v>
      </c>
    </row>
    <row r="151" spans="1:15" x14ac:dyDescent="0.25">
      <c r="A151" t="s">
        <v>301</v>
      </c>
      <c r="B151" t="s">
        <v>302</v>
      </c>
      <c r="C151">
        <v>162919</v>
      </c>
      <c r="D151">
        <v>162919</v>
      </c>
      <c r="E151">
        <v>50</v>
      </c>
      <c r="F151">
        <v>30</v>
      </c>
      <c r="G151">
        <v>30</v>
      </c>
      <c r="O151">
        <v>110</v>
      </c>
    </row>
    <row r="152" spans="1:15" x14ac:dyDescent="0.25">
      <c r="A152" t="s">
        <v>303</v>
      </c>
      <c r="B152" t="s">
        <v>304</v>
      </c>
      <c r="C152">
        <v>166710</v>
      </c>
      <c r="D152">
        <v>166710</v>
      </c>
      <c r="H152">
        <v>20</v>
      </c>
      <c r="I152">
        <v>60</v>
      </c>
      <c r="J152">
        <v>20</v>
      </c>
      <c r="K152">
        <v>10</v>
      </c>
      <c r="L152">
        <v>10</v>
      </c>
      <c r="M152">
        <v>120</v>
      </c>
    </row>
    <row r="153" spans="1:15" x14ac:dyDescent="0.25">
      <c r="A153" t="s">
        <v>305</v>
      </c>
      <c r="B153" t="s">
        <v>306</v>
      </c>
      <c r="C153">
        <v>167040</v>
      </c>
      <c r="D153">
        <v>167040</v>
      </c>
      <c r="E153">
        <v>20</v>
      </c>
      <c r="F153">
        <v>10</v>
      </c>
      <c r="G153">
        <v>40</v>
      </c>
      <c r="O153">
        <v>70</v>
      </c>
    </row>
    <row r="154" spans="1:15" x14ac:dyDescent="0.25">
      <c r="A154" t="s">
        <v>307</v>
      </c>
      <c r="B154" t="s">
        <v>308</v>
      </c>
      <c r="C154">
        <v>166235</v>
      </c>
      <c r="D154">
        <v>166235</v>
      </c>
      <c r="E154">
        <v>10</v>
      </c>
      <c r="F154">
        <v>30</v>
      </c>
      <c r="G154">
        <v>20</v>
      </c>
      <c r="O154">
        <v>60</v>
      </c>
    </row>
    <row r="155" spans="1:15" x14ac:dyDescent="0.25">
      <c r="A155" t="s">
        <v>309</v>
      </c>
      <c r="B155" t="s">
        <v>310</v>
      </c>
      <c r="C155">
        <v>167318</v>
      </c>
      <c r="D155">
        <v>167318</v>
      </c>
      <c r="E155">
        <v>30</v>
      </c>
      <c r="F155">
        <v>10</v>
      </c>
      <c r="G155">
        <v>30</v>
      </c>
      <c r="O155">
        <v>70</v>
      </c>
    </row>
    <row r="156" spans="1:15" x14ac:dyDescent="0.25">
      <c r="A156" t="s">
        <v>311</v>
      </c>
      <c r="B156" t="s">
        <v>312</v>
      </c>
      <c r="C156">
        <v>166423</v>
      </c>
      <c r="D156">
        <v>166423</v>
      </c>
      <c r="H156">
        <v>0</v>
      </c>
      <c r="I156">
        <v>10</v>
      </c>
      <c r="J156">
        <v>10</v>
      </c>
      <c r="K156">
        <v>0</v>
      </c>
      <c r="L156">
        <v>0</v>
      </c>
      <c r="M156">
        <v>20</v>
      </c>
    </row>
    <row r="157" spans="1:15" x14ac:dyDescent="0.25">
      <c r="A157" t="s">
        <v>313</v>
      </c>
      <c r="B157" t="s">
        <v>314</v>
      </c>
      <c r="C157">
        <v>166165</v>
      </c>
      <c r="D157">
        <v>166165</v>
      </c>
      <c r="H157">
        <v>20</v>
      </c>
      <c r="I157">
        <v>30</v>
      </c>
      <c r="J157">
        <v>20</v>
      </c>
      <c r="K157">
        <v>10</v>
      </c>
      <c r="L157">
        <v>10</v>
      </c>
      <c r="M157">
        <v>90</v>
      </c>
    </row>
    <row r="158" spans="1:15" x14ac:dyDescent="0.25">
      <c r="A158" t="s">
        <v>315</v>
      </c>
      <c r="B158" t="s">
        <v>211</v>
      </c>
      <c r="C158">
        <v>167663</v>
      </c>
      <c r="D158">
        <v>167663</v>
      </c>
      <c r="E158">
        <v>0</v>
      </c>
      <c r="F158">
        <v>10</v>
      </c>
      <c r="G158">
        <v>40</v>
      </c>
      <c r="O158">
        <v>50</v>
      </c>
    </row>
    <row r="159" spans="1:15" x14ac:dyDescent="0.25">
      <c r="A159" t="s">
        <v>316</v>
      </c>
      <c r="B159" t="s">
        <v>317</v>
      </c>
      <c r="C159">
        <v>168430</v>
      </c>
      <c r="D159">
        <v>168430</v>
      </c>
    </row>
    <row r="160" spans="1:15" x14ac:dyDescent="0.25">
      <c r="A160" t="s">
        <v>318</v>
      </c>
      <c r="B160" t="s">
        <v>319</v>
      </c>
      <c r="C160">
        <v>168670</v>
      </c>
      <c r="D160">
        <v>168670</v>
      </c>
      <c r="E160">
        <v>30</v>
      </c>
      <c r="F160">
        <v>10</v>
      </c>
      <c r="O160">
        <v>40</v>
      </c>
    </row>
    <row r="161" spans="1:15" x14ac:dyDescent="0.25">
      <c r="A161" t="s">
        <v>320</v>
      </c>
      <c r="B161" t="s">
        <v>321</v>
      </c>
      <c r="C161">
        <v>166516</v>
      </c>
      <c r="D161">
        <v>166516</v>
      </c>
      <c r="E161">
        <v>40</v>
      </c>
      <c r="F161">
        <v>20</v>
      </c>
      <c r="G161">
        <v>20</v>
      </c>
      <c r="O161">
        <v>80</v>
      </c>
    </row>
    <row r="162" spans="1:15" x14ac:dyDescent="0.25">
      <c r="A162" t="s">
        <v>322</v>
      </c>
      <c r="B162" t="s">
        <v>323</v>
      </c>
      <c r="C162">
        <v>165028</v>
      </c>
      <c r="D162">
        <v>165028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50</v>
      </c>
    </row>
    <row r="163" spans="1:15" x14ac:dyDescent="0.25">
      <c r="A163" t="s">
        <v>324</v>
      </c>
      <c r="B163" t="s">
        <v>87</v>
      </c>
      <c r="C163">
        <v>166844</v>
      </c>
      <c r="D163">
        <v>166844</v>
      </c>
      <c r="E163">
        <v>20</v>
      </c>
      <c r="F163">
        <v>0</v>
      </c>
      <c r="G163">
        <v>30</v>
      </c>
      <c r="O163">
        <v>50</v>
      </c>
    </row>
    <row r="164" spans="1:15" x14ac:dyDescent="0.25">
      <c r="A164" t="s">
        <v>325</v>
      </c>
      <c r="B164" t="s">
        <v>326</v>
      </c>
      <c r="C164">
        <v>162651</v>
      </c>
      <c r="D164">
        <v>162651</v>
      </c>
      <c r="E164">
        <v>50</v>
      </c>
      <c r="F164">
        <v>40</v>
      </c>
      <c r="G164">
        <v>30</v>
      </c>
      <c r="O164">
        <v>120</v>
      </c>
    </row>
    <row r="165" spans="1:15" x14ac:dyDescent="0.25">
      <c r="A165" t="s">
        <v>327</v>
      </c>
      <c r="B165" t="s">
        <v>328</v>
      </c>
      <c r="C165">
        <v>165050</v>
      </c>
      <c r="D165">
        <v>165050</v>
      </c>
      <c r="E165">
        <v>50</v>
      </c>
      <c r="F165">
        <v>20</v>
      </c>
      <c r="G165">
        <v>40</v>
      </c>
      <c r="O165">
        <v>110</v>
      </c>
    </row>
    <row r="166" spans="1:15" x14ac:dyDescent="0.25">
      <c r="A166" t="s">
        <v>329</v>
      </c>
      <c r="B166" t="s">
        <v>330</v>
      </c>
      <c r="C166">
        <v>168555</v>
      </c>
      <c r="D166">
        <v>168555</v>
      </c>
      <c r="E166">
        <v>30</v>
      </c>
      <c r="F166">
        <v>20</v>
      </c>
      <c r="G166">
        <v>50</v>
      </c>
      <c r="O166">
        <v>100</v>
      </c>
    </row>
    <row r="167" spans="1:15" x14ac:dyDescent="0.25">
      <c r="A167" t="s">
        <v>331</v>
      </c>
      <c r="B167" t="s">
        <v>332</v>
      </c>
      <c r="C167">
        <v>166801</v>
      </c>
      <c r="D167">
        <v>166801</v>
      </c>
      <c r="E167">
        <v>10</v>
      </c>
      <c r="F167">
        <v>20</v>
      </c>
      <c r="G167">
        <v>30</v>
      </c>
      <c r="O167">
        <v>60</v>
      </c>
    </row>
    <row r="168" spans="1:15" x14ac:dyDescent="0.25">
      <c r="A168" t="s">
        <v>331</v>
      </c>
      <c r="B168" t="s">
        <v>333</v>
      </c>
      <c r="C168">
        <v>162892</v>
      </c>
      <c r="D168">
        <v>162892</v>
      </c>
      <c r="E168">
        <v>20</v>
      </c>
      <c r="F168">
        <v>30</v>
      </c>
      <c r="G168">
        <v>10</v>
      </c>
      <c r="O168">
        <v>60</v>
      </c>
    </row>
    <row r="169" spans="1:15" x14ac:dyDescent="0.25">
      <c r="A169" t="s">
        <v>334</v>
      </c>
      <c r="B169" t="s">
        <v>197</v>
      </c>
      <c r="C169">
        <v>166857</v>
      </c>
      <c r="D169">
        <v>166857</v>
      </c>
    </row>
    <row r="170" spans="1:15" x14ac:dyDescent="0.25">
      <c r="A170" t="s">
        <v>335</v>
      </c>
      <c r="B170" t="s">
        <v>336</v>
      </c>
      <c r="C170">
        <v>168320</v>
      </c>
      <c r="D170">
        <v>168320</v>
      </c>
      <c r="E170">
        <v>10</v>
      </c>
      <c r="F170">
        <v>0</v>
      </c>
      <c r="G170">
        <v>20</v>
      </c>
      <c r="O170">
        <v>30</v>
      </c>
    </row>
    <row r="171" spans="1:15" x14ac:dyDescent="0.25">
      <c r="A171" t="s">
        <v>337</v>
      </c>
      <c r="B171" t="s">
        <v>338</v>
      </c>
      <c r="C171">
        <v>163014</v>
      </c>
      <c r="D171">
        <v>163014</v>
      </c>
      <c r="H171">
        <v>0</v>
      </c>
      <c r="I171">
        <v>20</v>
      </c>
      <c r="J171">
        <v>10</v>
      </c>
      <c r="K171">
        <v>10</v>
      </c>
      <c r="L171">
        <v>0</v>
      </c>
      <c r="M171">
        <v>40</v>
      </c>
    </row>
    <row r="172" spans="1:15" x14ac:dyDescent="0.25">
      <c r="A172" t="s">
        <v>339</v>
      </c>
      <c r="B172" t="s">
        <v>340</v>
      </c>
      <c r="C172">
        <v>168411</v>
      </c>
      <c r="D172">
        <v>168411</v>
      </c>
      <c r="E172">
        <v>0</v>
      </c>
      <c r="F172">
        <v>40</v>
      </c>
      <c r="G172">
        <v>10</v>
      </c>
      <c r="O172">
        <v>50</v>
      </c>
    </row>
    <row r="173" spans="1:15" x14ac:dyDescent="0.25">
      <c r="A173" t="s">
        <v>341</v>
      </c>
      <c r="B173" t="s">
        <v>342</v>
      </c>
      <c r="C173">
        <v>158526</v>
      </c>
      <c r="D173">
        <v>158526</v>
      </c>
      <c r="E173">
        <v>30</v>
      </c>
      <c r="F173">
        <v>20</v>
      </c>
      <c r="G173">
        <v>10</v>
      </c>
      <c r="O173">
        <v>60</v>
      </c>
    </row>
    <row r="174" spans="1:15" x14ac:dyDescent="0.25">
      <c r="A174" t="s">
        <v>343</v>
      </c>
      <c r="B174" t="s">
        <v>344</v>
      </c>
      <c r="C174">
        <v>167412</v>
      </c>
      <c r="D174">
        <v>167412</v>
      </c>
      <c r="H174">
        <v>20</v>
      </c>
      <c r="I174">
        <v>30</v>
      </c>
      <c r="J174">
        <v>20</v>
      </c>
      <c r="K174">
        <v>10</v>
      </c>
      <c r="L174">
        <v>10</v>
      </c>
      <c r="M174">
        <v>90</v>
      </c>
    </row>
    <row r="175" spans="1:15" x14ac:dyDescent="0.25">
      <c r="A175" t="s">
        <v>345</v>
      </c>
      <c r="B175" t="s">
        <v>346</v>
      </c>
      <c r="C175">
        <v>168298</v>
      </c>
      <c r="D175">
        <v>168298</v>
      </c>
      <c r="E175">
        <v>10</v>
      </c>
      <c r="F175">
        <v>40</v>
      </c>
      <c r="G175">
        <v>40</v>
      </c>
      <c r="O175">
        <v>90</v>
      </c>
    </row>
    <row r="176" spans="1:15" x14ac:dyDescent="0.25">
      <c r="A176" t="s">
        <v>347</v>
      </c>
      <c r="B176" t="s">
        <v>348</v>
      </c>
      <c r="C176">
        <v>167000</v>
      </c>
      <c r="D176">
        <v>167000</v>
      </c>
      <c r="E176">
        <v>50</v>
      </c>
      <c r="F176">
        <v>10</v>
      </c>
      <c r="G176">
        <v>40</v>
      </c>
      <c r="O176">
        <v>100</v>
      </c>
    </row>
    <row r="177" spans="1:18" x14ac:dyDescent="0.25">
      <c r="A177" t="s">
        <v>349</v>
      </c>
      <c r="B177" t="s">
        <v>350</v>
      </c>
      <c r="C177">
        <v>167890</v>
      </c>
      <c r="D177">
        <v>167890</v>
      </c>
      <c r="E177">
        <v>30</v>
      </c>
      <c r="F177">
        <v>30</v>
      </c>
      <c r="G177">
        <v>20</v>
      </c>
      <c r="O177">
        <v>80</v>
      </c>
    </row>
    <row r="178" spans="1:18" x14ac:dyDescent="0.25">
      <c r="A178" t="s">
        <v>351</v>
      </c>
      <c r="B178" t="s">
        <v>352</v>
      </c>
      <c r="C178">
        <v>168566</v>
      </c>
      <c r="D178">
        <v>168566</v>
      </c>
    </row>
    <row r="179" spans="1:18" x14ac:dyDescent="0.25">
      <c r="A179" t="s">
        <v>353</v>
      </c>
      <c r="B179" t="s">
        <v>354</v>
      </c>
      <c r="C179">
        <v>167599</v>
      </c>
      <c r="D179">
        <v>167599</v>
      </c>
      <c r="H179">
        <v>10</v>
      </c>
      <c r="I179">
        <v>60</v>
      </c>
      <c r="J179">
        <v>10</v>
      </c>
      <c r="K179">
        <v>0</v>
      </c>
      <c r="L179">
        <v>0</v>
      </c>
      <c r="M179">
        <v>80</v>
      </c>
    </row>
    <row r="180" spans="1:18" x14ac:dyDescent="0.25">
      <c r="A180" t="s">
        <v>355</v>
      </c>
      <c r="B180" t="s">
        <v>87</v>
      </c>
      <c r="C180">
        <v>168294</v>
      </c>
      <c r="D180">
        <v>168294</v>
      </c>
      <c r="H180">
        <v>10</v>
      </c>
      <c r="I180">
        <v>60</v>
      </c>
      <c r="J180">
        <v>10</v>
      </c>
      <c r="K180">
        <v>10</v>
      </c>
      <c r="L180">
        <v>10</v>
      </c>
      <c r="M180">
        <v>100</v>
      </c>
    </row>
    <row r="181" spans="1:18" x14ac:dyDescent="0.25">
      <c r="A181" t="s">
        <v>356</v>
      </c>
      <c r="B181" t="s">
        <v>270</v>
      </c>
      <c r="C181">
        <v>160102</v>
      </c>
      <c r="D181">
        <v>160102</v>
      </c>
    </row>
    <row r="182" spans="1:18" x14ac:dyDescent="0.25">
      <c r="A182" t="s">
        <v>357</v>
      </c>
      <c r="B182" t="s">
        <v>358</v>
      </c>
      <c r="C182">
        <v>166429</v>
      </c>
      <c r="D182">
        <v>166429</v>
      </c>
      <c r="E182">
        <v>30</v>
      </c>
      <c r="F182">
        <v>40</v>
      </c>
      <c r="G182">
        <v>30</v>
      </c>
      <c r="O182">
        <v>100</v>
      </c>
    </row>
    <row r="183" spans="1:18" x14ac:dyDescent="0.25">
      <c r="A183" t="s">
        <v>359</v>
      </c>
      <c r="B183" t="s">
        <v>79</v>
      </c>
      <c r="C183">
        <v>164198</v>
      </c>
      <c r="D183">
        <v>164198</v>
      </c>
    </row>
    <row r="184" spans="1:18" x14ac:dyDescent="0.25">
      <c r="A184" t="s">
        <v>360</v>
      </c>
      <c r="B184" t="s">
        <v>361</v>
      </c>
      <c r="C184">
        <v>166854</v>
      </c>
      <c r="D184">
        <v>166854</v>
      </c>
      <c r="E184">
        <v>30</v>
      </c>
      <c r="F184">
        <v>30</v>
      </c>
      <c r="G184">
        <v>40</v>
      </c>
      <c r="O184">
        <v>100</v>
      </c>
    </row>
    <row r="185" spans="1:18" x14ac:dyDescent="0.25">
      <c r="A185" t="s">
        <v>362</v>
      </c>
      <c r="B185" t="s">
        <v>363</v>
      </c>
      <c r="C185">
        <v>166054</v>
      </c>
      <c r="D185">
        <v>166054</v>
      </c>
      <c r="H185">
        <v>10</v>
      </c>
      <c r="I185">
        <v>30</v>
      </c>
      <c r="J185">
        <v>10</v>
      </c>
      <c r="K185">
        <v>0</v>
      </c>
      <c r="L185">
        <v>0</v>
      </c>
      <c r="M185">
        <v>50</v>
      </c>
    </row>
    <row r="186" spans="1:18" x14ac:dyDescent="0.25">
      <c r="A186" t="s">
        <v>364</v>
      </c>
      <c r="B186" t="s">
        <v>365</v>
      </c>
      <c r="C186">
        <v>168318</v>
      </c>
      <c r="D186">
        <v>168318</v>
      </c>
      <c r="E186">
        <v>10</v>
      </c>
      <c r="F186">
        <v>0</v>
      </c>
      <c r="G186">
        <v>0</v>
      </c>
      <c r="O186">
        <v>10</v>
      </c>
      <c r="R186" t="s">
        <v>20</v>
      </c>
    </row>
    <row r="187" spans="1:18" x14ac:dyDescent="0.25">
      <c r="A187" t="s">
        <v>366</v>
      </c>
      <c r="B187" t="s">
        <v>367</v>
      </c>
      <c r="C187">
        <v>164931</v>
      </c>
      <c r="D187">
        <v>164931</v>
      </c>
      <c r="E187">
        <v>10</v>
      </c>
      <c r="F187">
        <v>20</v>
      </c>
      <c r="G187">
        <v>30</v>
      </c>
      <c r="O187">
        <v>60</v>
      </c>
    </row>
    <row r="188" spans="1:18" x14ac:dyDescent="0.25">
      <c r="A188" t="s">
        <v>368</v>
      </c>
      <c r="B188" t="s">
        <v>121</v>
      </c>
      <c r="C188">
        <v>166730</v>
      </c>
      <c r="D188">
        <v>166730</v>
      </c>
    </row>
    <row r="189" spans="1:18" x14ac:dyDescent="0.25">
      <c r="A189" t="s">
        <v>369</v>
      </c>
      <c r="B189" t="s">
        <v>370</v>
      </c>
      <c r="C189">
        <v>167649</v>
      </c>
      <c r="D189">
        <v>167649</v>
      </c>
      <c r="H189">
        <v>0</v>
      </c>
      <c r="I189">
        <v>20</v>
      </c>
      <c r="J189">
        <v>20</v>
      </c>
      <c r="K189">
        <v>10</v>
      </c>
      <c r="L189">
        <v>10</v>
      </c>
      <c r="M189">
        <v>60</v>
      </c>
    </row>
    <row r="190" spans="1:18" x14ac:dyDescent="0.25">
      <c r="A190" t="s">
        <v>371</v>
      </c>
      <c r="B190" t="s">
        <v>372</v>
      </c>
      <c r="C190">
        <v>168073</v>
      </c>
      <c r="D190">
        <v>168073</v>
      </c>
      <c r="H190">
        <v>10</v>
      </c>
      <c r="I190">
        <v>50</v>
      </c>
      <c r="J190">
        <v>10</v>
      </c>
      <c r="K190">
        <v>10</v>
      </c>
      <c r="L190">
        <v>10</v>
      </c>
      <c r="M190">
        <v>90</v>
      </c>
    </row>
    <row r="191" spans="1:18" x14ac:dyDescent="0.25">
      <c r="A191" t="s">
        <v>373</v>
      </c>
      <c r="B191" t="s">
        <v>374</v>
      </c>
      <c r="C191">
        <v>167251</v>
      </c>
      <c r="D191">
        <v>167251</v>
      </c>
      <c r="E191">
        <v>50</v>
      </c>
      <c r="F191">
        <v>30</v>
      </c>
      <c r="G191">
        <v>40</v>
      </c>
      <c r="O191">
        <v>120</v>
      </c>
    </row>
    <row r="192" spans="1:18" x14ac:dyDescent="0.25">
      <c r="A192" t="s">
        <v>375</v>
      </c>
      <c r="B192" t="s">
        <v>197</v>
      </c>
      <c r="C192">
        <v>167753</v>
      </c>
      <c r="D192">
        <v>167753</v>
      </c>
      <c r="E192">
        <v>0</v>
      </c>
      <c r="F192">
        <v>30</v>
      </c>
      <c r="G192">
        <v>40</v>
      </c>
      <c r="O192">
        <v>70</v>
      </c>
    </row>
    <row r="193" spans="1:15" x14ac:dyDescent="0.25">
      <c r="A193" t="s">
        <v>376</v>
      </c>
      <c r="B193" t="s">
        <v>377</v>
      </c>
      <c r="C193">
        <v>166485</v>
      </c>
      <c r="D193">
        <v>166485</v>
      </c>
      <c r="E193">
        <v>30</v>
      </c>
      <c r="F193">
        <v>40</v>
      </c>
      <c r="G193">
        <v>40</v>
      </c>
      <c r="O193">
        <v>110</v>
      </c>
    </row>
    <row r="194" spans="1:15" x14ac:dyDescent="0.25">
      <c r="A194" t="s">
        <v>378</v>
      </c>
      <c r="B194" t="s">
        <v>379</v>
      </c>
      <c r="C194">
        <v>167483</v>
      </c>
      <c r="D194">
        <v>167483</v>
      </c>
      <c r="E194">
        <v>20</v>
      </c>
      <c r="F194">
        <v>10</v>
      </c>
      <c r="G194">
        <v>20</v>
      </c>
      <c r="O194">
        <v>50</v>
      </c>
    </row>
    <row r="195" spans="1:15" x14ac:dyDescent="0.25">
      <c r="A195" t="s">
        <v>380</v>
      </c>
      <c r="B195" t="s">
        <v>381</v>
      </c>
      <c r="C195">
        <v>165981</v>
      </c>
      <c r="D195">
        <v>165981</v>
      </c>
      <c r="H195">
        <v>10</v>
      </c>
      <c r="I195">
        <v>20</v>
      </c>
      <c r="J195">
        <v>10</v>
      </c>
      <c r="K195">
        <v>0</v>
      </c>
      <c r="L195">
        <v>0</v>
      </c>
      <c r="M195">
        <v>40</v>
      </c>
    </row>
    <row r="196" spans="1:15" x14ac:dyDescent="0.25">
      <c r="A196" t="s">
        <v>382</v>
      </c>
      <c r="B196" t="s">
        <v>166</v>
      </c>
      <c r="C196">
        <v>167109</v>
      </c>
      <c r="D196">
        <v>167109</v>
      </c>
      <c r="E196">
        <v>50</v>
      </c>
      <c r="F196">
        <v>30</v>
      </c>
      <c r="G196">
        <v>40</v>
      </c>
      <c r="N196" t="s">
        <v>20</v>
      </c>
      <c r="O196">
        <v>120</v>
      </c>
    </row>
    <row r="197" spans="1:15" x14ac:dyDescent="0.25">
      <c r="A197" t="s">
        <v>383</v>
      </c>
      <c r="B197" t="s">
        <v>130</v>
      </c>
      <c r="C197">
        <v>166315</v>
      </c>
      <c r="D197">
        <v>166315</v>
      </c>
      <c r="E197">
        <v>10</v>
      </c>
      <c r="F197">
        <v>20</v>
      </c>
      <c r="G197">
        <v>50</v>
      </c>
      <c r="O197">
        <v>80</v>
      </c>
    </row>
    <row r="198" spans="1:15" x14ac:dyDescent="0.25">
      <c r="A198" t="s">
        <v>384</v>
      </c>
      <c r="B198" t="s">
        <v>385</v>
      </c>
      <c r="C198">
        <v>167138</v>
      </c>
      <c r="D198">
        <v>167138</v>
      </c>
      <c r="H198">
        <v>10</v>
      </c>
      <c r="I198">
        <v>60</v>
      </c>
      <c r="J198">
        <v>10</v>
      </c>
      <c r="K198">
        <v>10</v>
      </c>
      <c r="L198">
        <v>10</v>
      </c>
      <c r="M198">
        <v>100</v>
      </c>
    </row>
    <row r="199" spans="1:15" x14ac:dyDescent="0.25">
      <c r="A199" t="s">
        <v>386</v>
      </c>
      <c r="B199" t="s">
        <v>387</v>
      </c>
      <c r="C199">
        <v>166352</v>
      </c>
      <c r="D199">
        <v>166352</v>
      </c>
      <c r="H199">
        <v>10</v>
      </c>
      <c r="I199">
        <v>20</v>
      </c>
      <c r="J199">
        <v>10</v>
      </c>
      <c r="K199">
        <v>10</v>
      </c>
      <c r="L199">
        <v>10</v>
      </c>
      <c r="M199">
        <v>60</v>
      </c>
    </row>
    <row r="200" spans="1:15" x14ac:dyDescent="0.25">
      <c r="A200" t="s">
        <v>388</v>
      </c>
      <c r="B200" t="s">
        <v>389</v>
      </c>
      <c r="C200">
        <v>167365</v>
      </c>
      <c r="D200">
        <v>167365</v>
      </c>
      <c r="H200">
        <v>20</v>
      </c>
      <c r="I200">
        <v>50</v>
      </c>
      <c r="J200">
        <v>10</v>
      </c>
      <c r="K200">
        <v>10</v>
      </c>
      <c r="L200">
        <v>10</v>
      </c>
      <c r="M200">
        <v>100</v>
      </c>
    </row>
    <row r="201" spans="1:15" x14ac:dyDescent="0.25">
      <c r="A201" t="s">
        <v>390</v>
      </c>
      <c r="B201" t="s">
        <v>391</v>
      </c>
      <c r="C201">
        <v>168693</v>
      </c>
      <c r="D201">
        <v>168693</v>
      </c>
      <c r="H201">
        <v>10</v>
      </c>
      <c r="I201">
        <v>50</v>
      </c>
      <c r="J201">
        <v>10</v>
      </c>
      <c r="K201">
        <v>10</v>
      </c>
      <c r="L201">
        <v>10</v>
      </c>
      <c r="M201">
        <v>90</v>
      </c>
    </row>
    <row r="202" spans="1:15" x14ac:dyDescent="0.25">
      <c r="A202" t="s">
        <v>392</v>
      </c>
      <c r="B202" t="s">
        <v>393</v>
      </c>
      <c r="C202">
        <v>165426</v>
      </c>
      <c r="D202">
        <v>165426</v>
      </c>
      <c r="E202">
        <v>50</v>
      </c>
      <c r="F202">
        <v>40</v>
      </c>
      <c r="G202">
        <v>30</v>
      </c>
      <c r="O202">
        <v>120</v>
      </c>
    </row>
    <row r="203" spans="1:15" x14ac:dyDescent="0.25">
      <c r="A203" t="s">
        <v>394</v>
      </c>
      <c r="B203" t="s">
        <v>395</v>
      </c>
      <c r="C203">
        <v>151115</v>
      </c>
      <c r="D203">
        <v>151115</v>
      </c>
      <c r="E203">
        <v>0</v>
      </c>
      <c r="F203">
        <v>10</v>
      </c>
      <c r="G203">
        <v>40</v>
      </c>
      <c r="O203">
        <v>50</v>
      </c>
    </row>
    <row r="204" spans="1:15" x14ac:dyDescent="0.25">
      <c r="A204" t="s">
        <v>394</v>
      </c>
      <c r="B204" t="s">
        <v>396</v>
      </c>
      <c r="C204">
        <v>164885</v>
      </c>
      <c r="D204">
        <v>164885</v>
      </c>
      <c r="E204">
        <v>20</v>
      </c>
      <c r="F204">
        <v>20</v>
      </c>
      <c r="G204">
        <v>30</v>
      </c>
      <c r="O204">
        <v>70</v>
      </c>
    </row>
    <row r="205" spans="1:15" x14ac:dyDescent="0.25">
      <c r="A205" t="s">
        <v>397</v>
      </c>
      <c r="B205" t="s">
        <v>398</v>
      </c>
      <c r="C205">
        <v>165054</v>
      </c>
      <c r="D205">
        <v>165054</v>
      </c>
      <c r="E205">
        <v>0</v>
      </c>
      <c r="F205">
        <v>20</v>
      </c>
      <c r="G205">
        <v>40</v>
      </c>
      <c r="O205">
        <v>60</v>
      </c>
    </row>
    <row r="206" spans="1:15" x14ac:dyDescent="0.25">
      <c r="A206" t="s">
        <v>399</v>
      </c>
      <c r="B206" t="s">
        <v>400</v>
      </c>
      <c r="C206">
        <v>168082</v>
      </c>
      <c r="D206">
        <v>168082</v>
      </c>
      <c r="E206">
        <v>40</v>
      </c>
      <c r="F206">
        <v>20</v>
      </c>
      <c r="G206">
        <v>30</v>
      </c>
      <c r="O206">
        <v>90</v>
      </c>
    </row>
    <row r="207" spans="1:15" x14ac:dyDescent="0.25">
      <c r="A207" t="s">
        <v>401</v>
      </c>
      <c r="B207" t="s">
        <v>402</v>
      </c>
      <c r="C207">
        <v>167445</v>
      </c>
      <c r="D207">
        <v>167445</v>
      </c>
      <c r="H207">
        <v>10</v>
      </c>
      <c r="I207">
        <v>30</v>
      </c>
      <c r="J207">
        <v>10</v>
      </c>
      <c r="K207">
        <v>10</v>
      </c>
      <c r="L207">
        <v>0</v>
      </c>
      <c r="M207">
        <v>60</v>
      </c>
    </row>
    <row r="208" spans="1:15" x14ac:dyDescent="0.25">
      <c r="A208" t="s">
        <v>403</v>
      </c>
      <c r="B208" t="s">
        <v>404</v>
      </c>
      <c r="C208">
        <v>167773</v>
      </c>
      <c r="D208">
        <v>167773</v>
      </c>
    </row>
    <row r="209" spans="1:15" x14ac:dyDescent="0.25">
      <c r="A209" t="s">
        <v>405</v>
      </c>
      <c r="B209" t="s">
        <v>406</v>
      </c>
      <c r="C209">
        <v>168886</v>
      </c>
      <c r="D209">
        <v>168886</v>
      </c>
      <c r="H209">
        <v>20</v>
      </c>
      <c r="I209">
        <v>30</v>
      </c>
      <c r="J209">
        <v>10</v>
      </c>
      <c r="K209">
        <v>0</v>
      </c>
      <c r="L209">
        <v>0</v>
      </c>
      <c r="M209">
        <v>60</v>
      </c>
    </row>
    <row r="210" spans="1:15" x14ac:dyDescent="0.25">
      <c r="A210" t="s">
        <v>407</v>
      </c>
      <c r="B210" t="s">
        <v>408</v>
      </c>
      <c r="C210">
        <v>167868</v>
      </c>
      <c r="D210">
        <v>167868</v>
      </c>
      <c r="E210">
        <v>50</v>
      </c>
      <c r="F210">
        <v>10</v>
      </c>
      <c r="G210">
        <v>40</v>
      </c>
      <c r="O210">
        <v>100</v>
      </c>
    </row>
    <row r="211" spans="1:15" x14ac:dyDescent="0.25">
      <c r="A211" t="s">
        <v>409</v>
      </c>
      <c r="B211" t="s">
        <v>410</v>
      </c>
      <c r="C211">
        <v>168501</v>
      </c>
      <c r="D211">
        <v>168501</v>
      </c>
      <c r="H211">
        <v>10</v>
      </c>
      <c r="I211">
        <v>20</v>
      </c>
      <c r="J211">
        <v>10</v>
      </c>
      <c r="K211">
        <v>0</v>
      </c>
      <c r="L211">
        <v>0</v>
      </c>
      <c r="M211">
        <v>40</v>
      </c>
    </row>
    <row r="212" spans="1:15" x14ac:dyDescent="0.25">
      <c r="A212" t="s">
        <v>411</v>
      </c>
      <c r="B212" t="s">
        <v>412</v>
      </c>
      <c r="C212">
        <v>167371</v>
      </c>
      <c r="D212">
        <v>167371</v>
      </c>
      <c r="E212">
        <v>40</v>
      </c>
      <c r="F212">
        <v>30</v>
      </c>
      <c r="G212">
        <v>50</v>
      </c>
      <c r="O212">
        <v>120</v>
      </c>
    </row>
    <row r="213" spans="1:15" x14ac:dyDescent="0.25">
      <c r="A213" t="s">
        <v>413</v>
      </c>
      <c r="B213" t="s">
        <v>414</v>
      </c>
      <c r="C213">
        <v>166421</v>
      </c>
      <c r="D213">
        <v>166421</v>
      </c>
      <c r="H213">
        <v>20</v>
      </c>
      <c r="I213">
        <v>30</v>
      </c>
      <c r="J213">
        <v>10</v>
      </c>
      <c r="K213">
        <v>10</v>
      </c>
      <c r="L213">
        <v>0</v>
      </c>
      <c r="M213">
        <v>70</v>
      </c>
    </row>
    <row r="214" spans="1:15" x14ac:dyDescent="0.25">
      <c r="A214" t="s">
        <v>415</v>
      </c>
      <c r="B214" t="s">
        <v>416</v>
      </c>
      <c r="C214">
        <v>168378</v>
      </c>
      <c r="D214">
        <v>168378</v>
      </c>
      <c r="E214">
        <v>40</v>
      </c>
      <c r="F214">
        <v>30</v>
      </c>
      <c r="G214">
        <v>50</v>
      </c>
      <c r="O214">
        <v>120</v>
      </c>
    </row>
    <row r="215" spans="1:15" x14ac:dyDescent="0.25">
      <c r="A215" t="s">
        <v>417</v>
      </c>
      <c r="B215" t="s">
        <v>418</v>
      </c>
      <c r="C215">
        <v>162288</v>
      </c>
      <c r="D215">
        <v>162288</v>
      </c>
      <c r="E215">
        <v>50</v>
      </c>
      <c r="F215">
        <v>30</v>
      </c>
      <c r="G215">
        <v>20</v>
      </c>
      <c r="O215">
        <v>100</v>
      </c>
    </row>
    <row r="216" spans="1:15" x14ac:dyDescent="0.25">
      <c r="A216" t="s">
        <v>419</v>
      </c>
      <c r="B216" t="s">
        <v>93</v>
      </c>
      <c r="C216">
        <v>166286</v>
      </c>
      <c r="D216">
        <v>166286</v>
      </c>
      <c r="H216">
        <v>0</v>
      </c>
      <c r="I216">
        <v>10</v>
      </c>
      <c r="J216">
        <v>10</v>
      </c>
      <c r="K216">
        <v>0</v>
      </c>
      <c r="L216">
        <v>0</v>
      </c>
      <c r="M216">
        <v>20</v>
      </c>
    </row>
    <row r="217" spans="1:15" x14ac:dyDescent="0.25">
      <c r="A217" t="s">
        <v>420</v>
      </c>
      <c r="B217" t="s">
        <v>421</v>
      </c>
      <c r="C217">
        <v>166518</v>
      </c>
      <c r="D217">
        <v>166518</v>
      </c>
      <c r="E217">
        <v>40</v>
      </c>
      <c r="F217">
        <v>40</v>
      </c>
      <c r="G217">
        <v>40</v>
      </c>
      <c r="O217">
        <v>120</v>
      </c>
    </row>
    <row r="218" spans="1:15" x14ac:dyDescent="0.25">
      <c r="A218" t="s">
        <v>422</v>
      </c>
      <c r="B218" t="s">
        <v>423</v>
      </c>
      <c r="C218">
        <v>168910</v>
      </c>
      <c r="D218">
        <v>168910</v>
      </c>
      <c r="E218">
        <v>20</v>
      </c>
      <c r="F218">
        <v>0</v>
      </c>
      <c r="G218">
        <v>20</v>
      </c>
      <c r="O218">
        <v>40</v>
      </c>
    </row>
    <row r="219" spans="1:15" x14ac:dyDescent="0.25">
      <c r="A219" t="s">
        <v>424</v>
      </c>
      <c r="B219" t="s">
        <v>425</v>
      </c>
      <c r="C219">
        <v>168077</v>
      </c>
      <c r="D219">
        <v>168077</v>
      </c>
    </row>
    <row r="220" spans="1:15" x14ac:dyDescent="0.25">
      <c r="A220" t="s">
        <v>424</v>
      </c>
      <c r="B220" t="s">
        <v>426</v>
      </c>
      <c r="C220">
        <v>168078</v>
      </c>
      <c r="D220">
        <v>168078</v>
      </c>
      <c r="E220">
        <v>10</v>
      </c>
      <c r="F220">
        <v>20</v>
      </c>
      <c r="G220">
        <v>40</v>
      </c>
      <c r="O220">
        <v>70</v>
      </c>
    </row>
    <row r="221" spans="1:15" x14ac:dyDescent="0.25">
      <c r="A221" t="s">
        <v>427</v>
      </c>
      <c r="B221" t="s">
        <v>428</v>
      </c>
      <c r="C221">
        <v>167188</v>
      </c>
      <c r="D221">
        <v>167188</v>
      </c>
    </row>
    <row r="222" spans="1:15" x14ac:dyDescent="0.25">
      <c r="A222" t="s">
        <v>429</v>
      </c>
      <c r="B222" t="s">
        <v>430</v>
      </c>
      <c r="C222">
        <v>165666</v>
      </c>
      <c r="D222">
        <v>165666</v>
      </c>
      <c r="E222">
        <v>10</v>
      </c>
      <c r="F222">
        <v>20</v>
      </c>
      <c r="G222">
        <v>50</v>
      </c>
      <c r="O222">
        <v>80</v>
      </c>
    </row>
    <row r="223" spans="1:15" x14ac:dyDescent="0.25">
      <c r="A223" t="s">
        <v>431</v>
      </c>
      <c r="B223" t="s">
        <v>432</v>
      </c>
      <c r="C223">
        <v>158995</v>
      </c>
      <c r="D223">
        <v>158995</v>
      </c>
    </row>
    <row r="224" spans="1:15" x14ac:dyDescent="0.25">
      <c r="A224" t="s">
        <v>433</v>
      </c>
      <c r="B224" t="s">
        <v>434</v>
      </c>
      <c r="C224">
        <v>167701</v>
      </c>
      <c r="D224">
        <v>167701</v>
      </c>
      <c r="H224">
        <v>20</v>
      </c>
      <c r="I224">
        <v>60</v>
      </c>
      <c r="J224">
        <v>10</v>
      </c>
      <c r="K224">
        <v>10</v>
      </c>
      <c r="L224">
        <v>10</v>
      </c>
      <c r="M224">
        <v>110</v>
      </c>
    </row>
    <row r="225" spans="1:15" x14ac:dyDescent="0.25">
      <c r="A225" t="s">
        <v>435</v>
      </c>
      <c r="B225" t="s">
        <v>166</v>
      </c>
      <c r="C225">
        <v>167698</v>
      </c>
      <c r="D225">
        <v>167698</v>
      </c>
      <c r="E225">
        <v>40</v>
      </c>
      <c r="F225">
        <v>0</v>
      </c>
      <c r="G225">
        <v>10</v>
      </c>
      <c r="O225">
        <v>50</v>
      </c>
    </row>
    <row r="226" spans="1:15" x14ac:dyDescent="0.25">
      <c r="A226" t="s">
        <v>436</v>
      </c>
      <c r="B226" t="s">
        <v>437</v>
      </c>
      <c r="C226">
        <v>166714</v>
      </c>
      <c r="D226">
        <v>166714</v>
      </c>
      <c r="E226">
        <v>20</v>
      </c>
      <c r="F226">
        <v>10</v>
      </c>
      <c r="G226">
        <v>30</v>
      </c>
      <c r="O226">
        <v>60</v>
      </c>
    </row>
    <row r="227" spans="1:15" x14ac:dyDescent="0.25">
      <c r="A227" t="s">
        <v>438</v>
      </c>
      <c r="B227" t="s">
        <v>439</v>
      </c>
      <c r="C227">
        <v>167642</v>
      </c>
      <c r="D227">
        <v>167642</v>
      </c>
      <c r="H227">
        <v>0</v>
      </c>
      <c r="I227">
        <v>20</v>
      </c>
      <c r="J227">
        <v>10</v>
      </c>
      <c r="K227">
        <v>10</v>
      </c>
      <c r="L227">
        <v>10</v>
      </c>
      <c r="M227">
        <v>50</v>
      </c>
    </row>
    <row r="228" spans="1:15" x14ac:dyDescent="0.25">
      <c r="A228" t="s">
        <v>440</v>
      </c>
      <c r="B228" t="s">
        <v>441</v>
      </c>
      <c r="C228">
        <v>168645</v>
      </c>
      <c r="D228">
        <v>168645</v>
      </c>
      <c r="E228">
        <v>50</v>
      </c>
      <c r="F228">
        <v>30</v>
      </c>
      <c r="G228">
        <v>40</v>
      </c>
      <c r="O228">
        <v>120</v>
      </c>
    </row>
    <row r="229" spans="1:15" x14ac:dyDescent="0.25">
      <c r="A229" t="s">
        <v>442</v>
      </c>
      <c r="B229" t="s">
        <v>443</v>
      </c>
      <c r="C229">
        <v>168066</v>
      </c>
      <c r="D229">
        <v>168066</v>
      </c>
      <c r="E229">
        <v>30</v>
      </c>
      <c r="F229">
        <v>20</v>
      </c>
      <c r="G229">
        <v>50</v>
      </c>
      <c r="O229">
        <v>100</v>
      </c>
    </row>
    <row r="230" spans="1:15" x14ac:dyDescent="0.25">
      <c r="A230" t="s">
        <v>444</v>
      </c>
      <c r="B230" t="s">
        <v>197</v>
      </c>
      <c r="C230">
        <v>168382</v>
      </c>
      <c r="D230">
        <v>168382</v>
      </c>
      <c r="H230">
        <v>20</v>
      </c>
      <c r="I230">
        <v>50</v>
      </c>
      <c r="J230">
        <v>10</v>
      </c>
      <c r="K230">
        <v>10</v>
      </c>
      <c r="L230">
        <v>10</v>
      </c>
      <c r="M230">
        <v>100</v>
      </c>
    </row>
    <row r="231" spans="1:15" x14ac:dyDescent="0.25">
      <c r="A231" t="s">
        <v>445</v>
      </c>
      <c r="B231" t="s">
        <v>446</v>
      </c>
      <c r="C231">
        <v>165841</v>
      </c>
      <c r="D231">
        <v>165841</v>
      </c>
      <c r="E231">
        <v>50</v>
      </c>
      <c r="F231">
        <v>40</v>
      </c>
      <c r="G231">
        <v>60</v>
      </c>
      <c r="O231">
        <v>150</v>
      </c>
    </row>
    <row r="232" spans="1:15" x14ac:dyDescent="0.25">
      <c r="A232" t="s">
        <v>447</v>
      </c>
      <c r="B232" t="s">
        <v>448</v>
      </c>
      <c r="C232">
        <v>165053</v>
      </c>
      <c r="D232">
        <v>165053</v>
      </c>
      <c r="H232">
        <v>10</v>
      </c>
      <c r="I232">
        <v>50</v>
      </c>
      <c r="J232">
        <v>20</v>
      </c>
      <c r="K232">
        <v>10</v>
      </c>
      <c r="L232">
        <v>10</v>
      </c>
      <c r="M232">
        <v>100</v>
      </c>
    </row>
    <row r="233" spans="1:15" x14ac:dyDescent="0.25">
      <c r="A233" t="s">
        <v>449</v>
      </c>
      <c r="B233" t="s">
        <v>450</v>
      </c>
      <c r="C233">
        <v>166057</v>
      </c>
      <c r="D233">
        <v>166057</v>
      </c>
      <c r="H233">
        <v>20</v>
      </c>
      <c r="I233">
        <v>10</v>
      </c>
      <c r="J233">
        <v>10</v>
      </c>
      <c r="K233">
        <v>0</v>
      </c>
      <c r="L233">
        <v>0</v>
      </c>
      <c r="M233">
        <v>40</v>
      </c>
    </row>
    <row r="234" spans="1:15" x14ac:dyDescent="0.25">
      <c r="A234" t="s">
        <v>451</v>
      </c>
      <c r="B234" t="s">
        <v>452</v>
      </c>
      <c r="C234">
        <v>165423</v>
      </c>
      <c r="D234">
        <v>165423</v>
      </c>
      <c r="E234">
        <v>40</v>
      </c>
      <c r="F234">
        <v>40</v>
      </c>
      <c r="G234">
        <v>30</v>
      </c>
      <c r="O234">
        <v>110</v>
      </c>
    </row>
    <row r="235" spans="1:15" x14ac:dyDescent="0.25">
      <c r="A235" t="s">
        <v>453</v>
      </c>
      <c r="B235" t="s">
        <v>367</v>
      </c>
      <c r="C235">
        <v>166865</v>
      </c>
      <c r="D235">
        <v>166865</v>
      </c>
      <c r="H235">
        <v>0</v>
      </c>
      <c r="I235">
        <v>20</v>
      </c>
      <c r="J235">
        <v>20</v>
      </c>
      <c r="K235">
        <v>0</v>
      </c>
      <c r="L235">
        <v>10</v>
      </c>
      <c r="M235">
        <v>50</v>
      </c>
    </row>
    <row r="236" spans="1:15" x14ac:dyDescent="0.25">
      <c r="A236" t="s">
        <v>454</v>
      </c>
      <c r="B236" t="s">
        <v>455</v>
      </c>
      <c r="C236">
        <v>168309</v>
      </c>
      <c r="D236">
        <v>168309</v>
      </c>
      <c r="E236">
        <v>0</v>
      </c>
      <c r="O236">
        <v>0</v>
      </c>
    </row>
    <row r="237" spans="1:15" x14ac:dyDescent="0.25">
      <c r="A237" t="s">
        <v>456</v>
      </c>
      <c r="B237" t="s">
        <v>457</v>
      </c>
      <c r="C237">
        <v>166296</v>
      </c>
      <c r="D237">
        <v>166296</v>
      </c>
      <c r="H237">
        <v>20</v>
      </c>
      <c r="I237">
        <v>0</v>
      </c>
      <c r="J237">
        <v>0</v>
      </c>
      <c r="K237">
        <v>0</v>
      </c>
      <c r="L237">
        <v>0</v>
      </c>
      <c r="M237">
        <v>20</v>
      </c>
    </row>
    <row r="238" spans="1:15" x14ac:dyDescent="0.25">
      <c r="A238" t="s">
        <v>458</v>
      </c>
      <c r="B238" t="s">
        <v>67</v>
      </c>
      <c r="C238">
        <v>164585</v>
      </c>
      <c r="D238">
        <v>164585</v>
      </c>
    </row>
    <row r="239" spans="1:15" x14ac:dyDescent="0.25">
      <c r="A239" t="s">
        <v>459</v>
      </c>
      <c r="B239" t="s">
        <v>460</v>
      </c>
      <c r="C239">
        <v>168539</v>
      </c>
      <c r="D239">
        <v>168539</v>
      </c>
      <c r="H239">
        <v>0</v>
      </c>
      <c r="I239">
        <v>20</v>
      </c>
      <c r="J239">
        <v>0</v>
      </c>
      <c r="K239">
        <v>10</v>
      </c>
      <c r="L239">
        <v>10</v>
      </c>
      <c r="M239">
        <v>40</v>
      </c>
    </row>
    <row r="240" spans="1:15" x14ac:dyDescent="0.25">
      <c r="A240" t="s">
        <v>461</v>
      </c>
      <c r="B240" t="s">
        <v>462</v>
      </c>
      <c r="C240">
        <v>164360</v>
      </c>
      <c r="D240">
        <v>164360</v>
      </c>
      <c r="E240">
        <v>30</v>
      </c>
      <c r="F240">
        <v>40</v>
      </c>
      <c r="G240">
        <v>30</v>
      </c>
      <c r="O240">
        <v>100</v>
      </c>
    </row>
    <row r="241" spans="1:15" x14ac:dyDescent="0.25">
      <c r="A241" t="s">
        <v>463</v>
      </c>
      <c r="B241" t="s">
        <v>166</v>
      </c>
      <c r="C241">
        <v>163279</v>
      </c>
      <c r="D241">
        <v>163279</v>
      </c>
      <c r="H241">
        <v>10</v>
      </c>
      <c r="I241">
        <v>50</v>
      </c>
      <c r="J241">
        <v>20</v>
      </c>
      <c r="K241">
        <v>10</v>
      </c>
      <c r="L241">
        <v>0</v>
      </c>
      <c r="M241">
        <v>90</v>
      </c>
    </row>
    <row r="242" spans="1:15" x14ac:dyDescent="0.25">
      <c r="A242" t="s">
        <v>464</v>
      </c>
      <c r="B242" t="s">
        <v>465</v>
      </c>
      <c r="C242">
        <v>167281</v>
      </c>
      <c r="D242">
        <v>167281</v>
      </c>
      <c r="H242">
        <v>10</v>
      </c>
      <c r="I242">
        <v>40</v>
      </c>
      <c r="J242">
        <v>10</v>
      </c>
      <c r="K242">
        <v>0</v>
      </c>
      <c r="L242">
        <v>10</v>
      </c>
      <c r="M242">
        <v>70</v>
      </c>
    </row>
    <row r="243" spans="1:15" x14ac:dyDescent="0.25">
      <c r="A243" t="s">
        <v>466</v>
      </c>
      <c r="B243" t="s">
        <v>467</v>
      </c>
      <c r="C243">
        <v>167633</v>
      </c>
      <c r="D243">
        <v>167633</v>
      </c>
      <c r="H243">
        <v>20</v>
      </c>
      <c r="I243">
        <v>30</v>
      </c>
      <c r="J243">
        <v>10</v>
      </c>
      <c r="K243">
        <v>10</v>
      </c>
      <c r="L243">
        <v>10</v>
      </c>
      <c r="M243">
        <v>80</v>
      </c>
    </row>
    <row r="244" spans="1:15" x14ac:dyDescent="0.25">
      <c r="A244" t="s">
        <v>468</v>
      </c>
      <c r="B244" t="s">
        <v>469</v>
      </c>
      <c r="C244">
        <v>166436</v>
      </c>
      <c r="D244">
        <v>166436</v>
      </c>
      <c r="H244">
        <v>10</v>
      </c>
      <c r="I244">
        <v>40</v>
      </c>
      <c r="J244">
        <v>10</v>
      </c>
      <c r="K244">
        <v>0</v>
      </c>
      <c r="L244">
        <v>0</v>
      </c>
      <c r="M244">
        <v>60</v>
      </c>
    </row>
    <row r="245" spans="1:15" x14ac:dyDescent="0.25">
      <c r="A245" t="s">
        <v>470</v>
      </c>
      <c r="B245" t="s">
        <v>471</v>
      </c>
      <c r="C245">
        <v>165772</v>
      </c>
      <c r="D245">
        <v>165772</v>
      </c>
      <c r="H245">
        <v>10</v>
      </c>
      <c r="I245">
        <v>40</v>
      </c>
      <c r="J245">
        <v>10</v>
      </c>
      <c r="K245">
        <v>0</v>
      </c>
      <c r="L245">
        <v>10</v>
      </c>
      <c r="M245">
        <v>70</v>
      </c>
    </row>
    <row r="246" spans="1:15" x14ac:dyDescent="0.25">
      <c r="A246" t="s">
        <v>472</v>
      </c>
      <c r="B246" t="s">
        <v>473</v>
      </c>
      <c r="C246">
        <v>166105</v>
      </c>
      <c r="D246">
        <v>166105</v>
      </c>
      <c r="E246">
        <v>50</v>
      </c>
      <c r="F246">
        <v>40</v>
      </c>
      <c r="G246">
        <v>50</v>
      </c>
      <c r="O246">
        <v>140</v>
      </c>
    </row>
    <row r="247" spans="1:15" x14ac:dyDescent="0.25">
      <c r="A247" t="s">
        <v>474</v>
      </c>
      <c r="B247" t="s">
        <v>475</v>
      </c>
      <c r="C247">
        <v>168464</v>
      </c>
      <c r="D247">
        <v>168464</v>
      </c>
      <c r="E247">
        <v>50</v>
      </c>
      <c r="F247">
        <v>20</v>
      </c>
      <c r="G247">
        <v>50</v>
      </c>
      <c r="O247">
        <v>120</v>
      </c>
    </row>
    <row r="248" spans="1:15" x14ac:dyDescent="0.25">
      <c r="A248" t="s">
        <v>476</v>
      </c>
      <c r="B248" t="s">
        <v>477</v>
      </c>
      <c r="C248">
        <v>157881</v>
      </c>
      <c r="D248">
        <v>157881</v>
      </c>
    </row>
    <row r="249" spans="1:15" x14ac:dyDescent="0.25">
      <c r="A249" t="s">
        <v>478</v>
      </c>
      <c r="B249" t="s">
        <v>479</v>
      </c>
      <c r="C249">
        <v>166119</v>
      </c>
      <c r="D249">
        <v>166119</v>
      </c>
      <c r="E249">
        <v>20</v>
      </c>
      <c r="F249">
        <v>40</v>
      </c>
      <c r="G249">
        <v>50</v>
      </c>
      <c r="O249">
        <v>110</v>
      </c>
    </row>
    <row r="250" spans="1:15" x14ac:dyDescent="0.25">
      <c r="A250" t="s">
        <v>480</v>
      </c>
      <c r="B250" t="s">
        <v>481</v>
      </c>
      <c r="C250">
        <v>168038</v>
      </c>
      <c r="D250">
        <v>168038</v>
      </c>
      <c r="H250">
        <v>10</v>
      </c>
      <c r="I250">
        <v>40</v>
      </c>
      <c r="J250">
        <v>0</v>
      </c>
      <c r="K250">
        <v>0</v>
      </c>
      <c r="L250">
        <v>10</v>
      </c>
      <c r="M250">
        <v>60</v>
      </c>
    </row>
    <row r="251" spans="1:15" x14ac:dyDescent="0.25">
      <c r="A251" t="s">
        <v>482</v>
      </c>
      <c r="B251" t="s">
        <v>483</v>
      </c>
      <c r="C251">
        <v>167134</v>
      </c>
      <c r="D251">
        <v>167134</v>
      </c>
      <c r="H251">
        <v>10</v>
      </c>
      <c r="I251">
        <v>50</v>
      </c>
      <c r="J251">
        <v>20</v>
      </c>
      <c r="K251">
        <v>10</v>
      </c>
      <c r="L251">
        <v>10</v>
      </c>
      <c r="M251">
        <v>100</v>
      </c>
    </row>
    <row r="252" spans="1:15" x14ac:dyDescent="0.25">
      <c r="A252" t="s">
        <v>484</v>
      </c>
      <c r="B252" t="s">
        <v>408</v>
      </c>
      <c r="C252">
        <v>143794</v>
      </c>
      <c r="D252">
        <v>143794</v>
      </c>
      <c r="E252">
        <v>30</v>
      </c>
      <c r="F252">
        <v>10</v>
      </c>
      <c r="G252">
        <v>20</v>
      </c>
      <c r="O252">
        <v>60</v>
      </c>
    </row>
    <row r="253" spans="1:15" x14ac:dyDescent="0.25">
      <c r="A253" t="s">
        <v>485</v>
      </c>
      <c r="B253" t="s">
        <v>486</v>
      </c>
      <c r="C253">
        <v>166243</v>
      </c>
      <c r="D253">
        <v>166243</v>
      </c>
    </row>
    <row r="254" spans="1:15" x14ac:dyDescent="0.25">
      <c r="A254" t="s">
        <v>487</v>
      </c>
      <c r="B254" t="s">
        <v>248</v>
      </c>
      <c r="C254">
        <v>167465</v>
      </c>
      <c r="D254">
        <v>167465</v>
      </c>
      <c r="E254">
        <v>20</v>
      </c>
      <c r="F254">
        <v>20</v>
      </c>
      <c r="G254">
        <v>20</v>
      </c>
      <c r="O254">
        <v>60</v>
      </c>
    </row>
    <row r="255" spans="1:15" x14ac:dyDescent="0.25">
      <c r="A255" t="s">
        <v>488</v>
      </c>
      <c r="B255" t="s">
        <v>489</v>
      </c>
      <c r="C255">
        <v>167670</v>
      </c>
      <c r="D255">
        <v>167670</v>
      </c>
    </row>
    <row r="256" spans="1:15" x14ac:dyDescent="0.25">
      <c r="A256" t="s">
        <v>490</v>
      </c>
      <c r="B256" t="s">
        <v>491</v>
      </c>
      <c r="C256">
        <v>159185</v>
      </c>
      <c r="D256">
        <v>159185</v>
      </c>
    </row>
    <row r="257" spans="1:18" x14ac:dyDescent="0.25">
      <c r="A257" t="s">
        <v>492</v>
      </c>
      <c r="B257" t="s">
        <v>493</v>
      </c>
      <c r="C257">
        <v>165934</v>
      </c>
      <c r="D257">
        <v>165934</v>
      </c>
      <c r="E257">
        <v>10</v>
      </c>
      <c r="F257">
        <v>40</v>
      </c>
      <c r="G257">
        <v>30</v>
      </c>
      <c r="O257">
        <v>80</v>
      </c>
    </row>
    <row r="258" spans="1:18" x14ac:dyDescent="0.25">
      <c r="A258" t="s">
        <v>494</v>
      </c>
      <c r="B258" t="s">
        <v>495</v>
      </c>
      <c r="C258">
        <v>168418</v>
      </c>
      <c r="D258">
        <v>168418</v>
      </c>
      <c r="H258">
        <v>10</v>
      </c>
      <c r="I258">
        <v>40</v>
      </c>
      <c r="J258">
        <v>20</v>
      </c>
      <c r="K258">
        <v>0</v>
      </c>
      <c r="L258">
        <v>10</v>
      </c>
      <c r="M258">
        <v>80</v>
      </c>
    </row>
    <row r="259" spans="1:18" x14ac:dyDescent="0.25">
      <c r="A259" t="s">
        <v>496</v>
      </c>
      <c r="B259" t="s">
        <v>166</v>
      </c>
      <c r="C259">
        <v>167103</v>
      </c>
      <c r="D259">
        <v>167103</v>
      </c>
      <c r="H259">
        <v>20</v>
      </c>
      <c r="I259">
        <v>30</v>
      </c>
      <c r="J259">
        <v>20</v>
      </c>
      <c r="K259">
        <v>10</v>
      </c>
      <c r="L259">
        <v>10</v>
      </c>
      <c r="M259">
        <v>90</v>
      </c>
    </row>
    <row r="260" spans="1:18" x14ac:dyDescent="0.25">
      <c r="A260" t="s">
        <v>497</v>
      </c>
      <c r="B260" t="s">
        <v>498</v>
      </c>
      <c r="C260">
        <v>168070</v>
      </c>
      <c r="D260">
        <v>168070</v>
      </c>
      <c r="R260">
        <v>10</v>
      </c>
    </row>
    <row r="261" spans="1:18" x14ac:dyDescent="0.25">
      <c r="A261" t="s">
        <v>499</v>
      </c>
      <c r="B261" t="s">
        <v>500</v>
      </c>
      <c r="C261">
        <v>166006</v>
      </c>
      <c r="D261">
        <v>166006</v>
      </c>
    </row>
    <row r="262" spans="1:18" x14ac:dyDescent="0.25">
      <c r="A262" t="s">
        <v>501</v>
      </c>
      <c r="B262" t="s">
        <v>502</v>
      </c>
      <c r="C262">
        <v>166757</v>
      </c>
      <c r="D262">
        <v>166757</v>
      </c>
      <c r="H262">
        <v>10</v>
      </c>
      <c r="I262">
        <v>20</v>
      </c>
      <c r="J262">
        <v>10</v>
      </c>
      <c r="K262">
        <v>0</v>
      </c>
      <c r="L262">
        <v>0</v>
      </c>
      <c r="M262">
        <v>40</v>
      </c>
    </row>
    <row r="263" spans="1:18" x14ac:dyDescent="0.25">
      <c r="A263" t="s">
        <v>503</v>
      </c>
      <c r="B263" t="s">
        <v>504</v>
      </c>
      <c r="C263">
        <v>168457</v>
      </c>
      <c r="D263">
        <v>168457</v>
      </c>
      <c r="H263">
        <v>20</v>
      </c>
      <c r="I263">
        <v>40</v>
      </c>
      <c r="J263">
        <v>20</v>
      </c>
      <c r="K263">
        <v>10</v>
      </c>
      <c r="L263">
        <v>10</v>
      </c>
      <c r="M263">
        <v>100</v>
      </c>
    </row>
    <row r="264" spans="1:18" x14ac:dyDescent="0.25">
      <c r="A264" t="s">
        <v>505</v>
      </c>
      <c r="B264" t="s">
        <v>506</v>
      </c>
      <c r="C264">
        <v>167440</v>
      </c>
      <c r="D264">
        <v>167440</v>
      </c>
      <c r="H264">
        <v>20</v>
      </c>
      <c r="I264">
        <v>40</v>
      </c>
      <c r="J264">
        <v>10</v>
      </c>
      <c r="K264">
        <v>10</v>
      </c>
      <c r="L264">
        <v>10</v>
      </c>
      <c r="M264">
        <v>90</v>
      </c>
    </row>
    <row r="265" spans="1:18" x14ac:dyDescent="0.25">
      <c r="A265" t="s">
        <v>507</v>
      </c>
      <c r="B265" t="s">
        <v>508</v>
      </c>
      <c r="C265">
        <v>165872</v>
      </c>
      <c r="D265">
        <v>165872</v>
      </c>
      <c r="E265">
        <v>0</v>
      </c>
      <c r="F265">
        <v>20</v>
      </c>
      <c r="G265">
        <v>20</v>
      </c>
      <c r="O265">
        <v>40</v>
      </c>
    </row>
    <row r="266" spans="1:18" x14ac:dyDescent="0.25">
      <c r="A266" t="s">
        <v>509</v>
      </c>
      <c r="B266" t="s">
        <v>510</v>
      </c>
      <c r="C266">
        <v>162949</v>
      </c>
      <c r="D266">
        <v>162949</v>
      </c>
      <c r="E266">
        <v>50</v>
      </c>
      <c r="F266">
        <v>30</v>
      </c>
      <c r="G266">
        <v>70</v>
      </c>
      <c r="O266">
        <v>150</v>
      </c>
    </row>
    <row r="267" spans="1:18" x14ac:dyDescent="0.25">
      <c r="A267" t="s">
        <v>511</v>
      </c>
      <c r="B267" t="s">
        <v>512</v>
      </c>
      <c r="C267">
        <v>166793</v>
      </c>
      <c r="D267">
        <v>166793</v>
      </c>
      <c r="H267">
        <v>20</v>
      </c>
      <c r="I267">
        <v>50</v>
      </c>
      <c r="J267">
        <v>20</v>
      </c>
      <c r="K267">
        <v>10</v>
      </c>
      <c r="L267">
        <v>10</v>
      </c>
      <c r="M267">
        <v>110</v>
      </c>
    </row>
    <row r="268" spans="1:18" x14ac:dyDescent="0.25">
      <c r="A268" t="s">
        <v>513</v>
      </c>
      <c r="B268" t="s">
        <v>126</v>
      </c>
      <c r="C268">
        <v>168345</v>
      </c>
      <c r="D268">
        <v>168345</v>
      </c>
      <c r="H268">
        <v>0</v>
      </c>
      <c r="I268">
        <v>20</v>
      </c>
      <c r="J268">
        <v>0</v>
      </c>
      <c r="K268">
        <v>10</v>
      </c>
      <c r="L268">
        <v>0</v>
      </c>
      <c r="M268">
        <v>30</v>
      </c>
    </row>
    <row r="269" spans="1:18" x14ac:dyDescent="0.25">
      <c r="A269" t="s">
        <v>514</v>
      </c>
      <c r="B269" t="s">
        <v>515</v>
      </c>
      <c r="C269">
        <v>161943</v>
      </c>
      <c r="D269">
        <v>161943</v>
      </c>
      <c r="E269">
        <v>30</v>
      </c>
      <c r="F269">
        <v>20</v>
      </c>
      <c r="G269">
        <v>30</v>
      </c>
      <c r="O269">
        <v>80</v>
      </c>
    </row>
    <row r="270" spans="1:18" x14ac:dyDescent="0.25">
      <c r="A270" t="s">
        <v>516</v>
      </c>
      <c r="B270" t="s">
        <v>517</v>
      </c>
      <c r="C270">
        <v>165001</v>
      </c>
      <c r="D270">
        <v>165001</v>
      </c>
      <c r="E270">
        <v>0</v>
      </c>
      <c r="F270">
        <v>30</v>
      </c>
      <c r="G270">
        <v>10</v>
      </c>
      <c r="O270">
        <v>40</v>
      </c>
    </row>
    <row r="271" spans="1:18" x14ac:dyDescent="0.25">
      <c r="A271" t="s">
        <v>518</v>
      </c>
      <c r="B271" t="s">
        <v>519</v>
      </c>
      <c r="C271">
        <v>166313</v>
      </c>
      <c r="D271">
        <v>166313</v>
      </c>
      <c r="E271">
        <v>50</v>
      </c>
      <c r="F271">
        <v>30</v>
      </c>
      <c r="G271">
        <v>30</v>
      </c>
      <c r="O271">
        <v>110</v>
      </c>
    </row>
    <row r="272" spans="1:18" x14ac:dyDescent="0.25">
      <c r="A272" t="s">
        <v>520</v>
      </c>
      <c r="B272" t="s">
        <v>521</v>
      </c>
      <c r="C272">
        <v>166307</v>
      </c>
      <c r="D272">
        <v>166307</v>
      </c>
      <c r="H272">
        <v>10</v>
      </c>
      <c r="I272">
        <v>30</v>
      </c>
      <c r="J272">
        <v>20</v>
      </c>
      <c r="K272">
        <v>10</v>
      </c>
      <c r="L272">
        <v>0</v>
      </c>
      <c r="M272">
        <v>70</v>
      </c>
    </row>
    <row r="273" spans="1:18" x14ac:dyDescent="0.25">
      <c r="A273" t="s">
        <v>522</v>
      </c>
      <c r="B273" t="s">
        <v>367</v>
      </c>
      <c r="C273">
        <v>166931</v>
      </c>
      <c r="D273">
        <v>166931</v>
      </c>
      <c r="H273">
        <v>10</v>
      </c>
      <c r="I273">
        <v>30</v>
      </c>
      <c r="J273">
        <v>0</v>
      </c>
      <c r="K273">
        <v>0</v>
      </c>
      <c r="L273">
        <v>0</v>
      </c>
      <c r="M273">
        <v>40</v>
      </c>
      <c r="R273">
        <v>10</v>
      </c>
    </row>
    <row r="274" spans="1:18" x14ac:dyDescent="0.25">
      <c r="A274" t="s">
        <v>523</v>
      </c>
      <c r="B274" t="s">
        <v>524</v>
      </c>
      <c r="C274">
        <v>168238</v>
      </c>
      <c r="D274">
        <v>168238</v>
      </c>
    </row>
    <row r="275" spans="1:18" x14ac:dyDescent="0.25">
      <c r="A275" t="s">
        <v>525</v>
      </c>
      <c r="B275" t="s">
        <v>498</v>
      </c>
      <c r="C275">
        <v>167858</v>
      </c>
      <c r="D275">
        <v>167858</v>
      </c>
      <c r="E275">
        <v>40</v>
      </c>
      <c r="F275">
        <v>10</v>
      </c>
      <c r="G275">
        <v>50</v>
      </c>
      <c r="O275">
        <v>100</v>
      </c>
    </row>
    <row r="276" spans="1:18" x14ac:dyDescent="0.25">
      <c r="A276" t="s">
        <v>526</v>
      </c>
      <c r="B276" t="s">
        <v>527</v>
      </c>
      <c r="C276">
        <v>168114</v>
      </c>
      <c r="D276">
        <v>168114</v>
      </c>
      <c r="E276">
        <v>40</v>
      </c>
      <c r="F276">
        <v>30</v>
      </c>
      <c r="G276">
        <v>40</v>
      </c>
      <c r="O276">
        <v>110</v>
      </c>
    </row>
    <row r="277" spans="1:18" x14ac:dyDescent="0.25">
      <c r="A277" t="s">
        <v>528</v>
      </c>
      <c r="B277" t="s">
        <v>529</v>
      </c>
      <c r="C277">
        <v>168486</v>
      </c>
      <c r="D277">
        <v>168486</v>
      </c>
      <c r="H277">
        <v>0</v>
      </c>
      <c r="I277">
        <v>30</v>
      </c>
      <c r="J277">
        <v>10</v>
      </c>
      <c r="K277">
        <v>0</v>
      </c>
      <c r="L277">
        <v>10</v>
      </c>
      <c r="M277">
        <v>50</v>
      </c>
    </row>
    <row r="278" spans="1:18" x14ac:dyDescent="0.25">
      <c r="A278" t="s">
        <v>530</v>
      </c>
      <c r="B278" t="s">
        <v>531</v>
      </c>
      <c r="C278">
        <v>163736</v>
      </c>
      <c r="D278">
        <v>163736</v>
      </c>
      <c r="E278">
        <v>0</v>
      </c>
      <c r="F278">
        <v>0</v>
      </c>
      <c r="G278">
        <v>30</v>
      </c>
      <c r="O278">
        <v>30</v>
      </c>
    </row>
    <row r="279" spans="1:18" x14ac:dyDescent="0.25">
      <c r="A279" t="s">
        <v>532</v>
      </c>
      <c r="B279" t="s">
        <v>533</v>
      </c>
      <c r="C279">
        <v>402778</v>
      </c>
      <c r="D279">
        <v>402778</v>
      </c>
    </row>
    <row r="280" spans="1:18" x14ac:dyDescent="0.25">
      <c r="A280" t="s">
        <v>534</v>
      </c>
      <c r="B280" t="s">
        <v>535</v>
      </c>
      <c r="C280">
        <v>166241</v>
      </c>
      <c r="D280">
        <v>166241</v>
      </c>
    </row>
    <row r="281" spans="1:18" x14ac:dyDescent="0.25">
      <c r="A281" t="s">
        <v>536</v>
      </c>
      <c r="B281" t="s">
        <v>75</v>
      </c>
      <c r="C281">
        <v>166994</v>
      </c>
      <c r="D281">
        <v>166994</v>
      </c>
      <c r="E281">
        <v>40</v>
      </c>
      <c r="F281">
        <v>30</v>
      </c>
      <c r="G281">
        <v>30</v>
      </c>
      <c r="O281">
        <v>100</v>
      </c>
    </row>
    <row r="282" spans="1:18" x14ac:dyDescent="0.25">
      <c r="A282" t="s">
        <v>537</v>
      </c>
      <c r="B282" t="s">
        <v>538</v>
      </c>
      <c r="C282">
        <v>167027</v>
      </c>
      <c r="D282">
        <v>167027</v>
      </c>
      <c r="H282">
        <v>10</v>
      </c>
      <c r="I282">
        <v>20</v>
      </c>
      <c r="J282">
        <v>10</v>
      </c>
      <c r="K282">
        <v>0</v>
      </c>
      <c r="L282">
        <v>0</v>
      </c>
      <c r="M282">
        <v>40</v>
      </c>
    </row>
    <row r="283" spans="1:18" x14ac:dyDescent="0.25">
      <c r="A283" t="s">
        <v>539</v>
      </c>
      <c r="B283" t="s">
        <v>540</v>
      </c>
      <c r="C283">
        <v>167053</v>
      </c>
      <c r="D283">
        <v>167053</v>
      </c>
      <c r="E283">
        <v>20</v>
      </c>
      <c r="F283">
        <v>0</v>
      </c>
      <c r="G283">
        <v>10</v>
      </c>
      <c r="O283">
        <v>30</v>
      </c>
    </row>
    <row r="284" spans="1:18" x14ac:dyDescent="0.25">
      <c r="A284" t="s">
        <v>541</v>
      </c>
      <c r="B284" t="s">
        <v>542</v>
      </c>
      <c r="C284">
        <v>166746</v>
      </c>
      <c r="D284">
        <v>166746</v>
      </c>
    </row>
    <row r="285" spans="1:18" x14ac:dyDescent="0.25">
      <c r="A285" t="s">
        <v>543</v>
      </c>
      <c r="B285" t="s">
        <v>544</v>
      </c>
      <c r="C285">
        <v>164322</v>
      </c>
      <c r="D285">
        <v>164322</v>
      </c>
    </row>
    <row r="286" spans="1:18" x14ac:dyDescent="0.25">
      <c r="A286" t="s">
        <v>545</v>
      </c>
      <c r="B286" t="s">
        <v>546</v>
      </c>
      <c r="C286">
        <v>168528</v>
      </c>
      <c r="D286">
        <v>168528</v>
      </c>
      <c r="E286">
        <v>0</v>
      </c>
      <c r="F286">
        <v>10</v>
      </c>
      <c r="G286">
        <v>10</v>
      </c>
      <c r="O286">
        <v>20</v>
      </c>
    </row>
    <row r="287" spans="1:18" x14ac:dyDescent="0.25">
      <c r="A287" t="s">
        <v>547</v>
      </c>
      <c r="B287" t="s">
        <v>548</v>
      </c>
      <c r="C287">
        <v>166229</v>
      </c>
      <c r="D287">
        <v>166229</v>
      </c>
      <c r="H287">
        <v>10</v>
      </c>
      <c r="I287">
        <v>50</v>
      </c>
      <c r="J287">
        <v>20</v>
      </c>
      <c r="K287">
        <v>10</v>
      </c>
      <c r="L287">
        <v>0</v>
      </c>
      <c r="M287">
        <v>90</v>
      </c>
      <c r="N287" t="s">
        <v>549</v>
      </c>
    </row>
    <row r="288" spans="1:18" x14ac:dyDescent="0.25">
      <c r="A288" t="s">
        <v>550</v>
      </c>
      <c r="B288" t="s">
        <v>551</v>
      </c>
      <c r="C288">
        <v>168083</v>
      </c>
      <c r="D288">
        <v>168083</v>
      </c>
      <c r="E288">
        <v>40</v>
      </c>
      <c r="F288">
        <v>30</v>
      </c>
      <c r="G288">
        <v>30</v>
      </c>
      <c r="O288">
        <v>100</v>
      </c>
      <c r="R288" t="s">
        <v>20</v>
      </c>
    </row>
    <row r="289" spans="1:15" x14ac:dyDescent="0.25">
      <c r="A289" t="s">
        <v>552</v>
      </c>
      <c r="B289" t="s">
        <v>553</v>
      </c>
      <c r="C289">
        <v>168184</v>
      </c>
      <c r="D289">
        <v>168184</v>
      </c>
      <c r="E289">
        <v>50</v>
      </c>
      <c r="F289">
        <v>30</v>
      </c>
      <c r="G289">
        <v>10</v>
      </c>
      <c r="O289">
        <v>90</v>
      </c>
    </row>
    <row r="290" spans="1:15" x14ac:dyDescent="0.25">
      <c r="A290" t="s">
        <v>554</v>
      </c>
      <c r="B290" t="s">
        <v>555</v>
      </c>
      <c r="C290">
        <v>167377</v>
      </c>
      <c r="D290">
        <v>167377</v>
      </c>
      <c r="H290">
        <v>0</v>
      </c>
      <c r="I290">
        <v>50</v>
      </c>
      <c r="J290">
        <v>20</v>
      </c>
      <c r="K290">
        <v>0</v>
      </c>
      <c r="L290">
        <v>0</v>
      </c>
      <c r="M290">
        <v>70</v>
      </c>
    </row>
    <row r="291" spans="1:15" x14ac:dyDescent="0.25">
      <c r="A291" t="s">
        <v>556</v>
      </c>
      <c r="B291" t="s">
        <v>197</v>
      </c>
      <c r="C291">
        <v>162163</v>
      </c>
      <c r="D291">
        <v>162163</v>
      </c>
    </row>
    <row r="292" spans="1:15" x14ac:dyDescent="0.25">
      <c r="A292" t="s">
        <v>557</v>
      </c>
      <c r="B292" t="s">
        <v>558</v>
      </c>
      <c r="C292">
        <v>165311</v>
      </c>
      <c r="D292">
        <v>165311</v>
      </c>
      <c r="E292">
        <v>10</v>
      </c>
      <c r="F292">
        <v>20</v>
      </c>
      <c r="G292">
        <v>20</v>
      </c>
      <c r="O292">
        <v>50</v>
      </c>
    </row>
    <row r="293" spans="1:15" x14ac:dyDescent="0.25">
      <c r="A293" t="s">
        <v>559</v>
      </c>
      <c r="B293" t="s">
        <v>560</v>
      </c>
      <c r="C293">
        <v>167102</v>
      </c>
      <c r="D293">
        <v>167102</v>
      </c>
      <c r="E293">
        <v>30</v>
      </c>
      <c r="F293">
        <v>30</v>
      </c>
      <c r="G293">
        <v>30</v>
      </c>
      <c r="O293">
        <v>90</v>
      </c>
    </row>
    <row r="294" spans="1:15" x14ac:dyDescent="0.25">
      <c r="A294" t="s">
        <v>561</v>
      </c>
      <c r="B294" t="s">
        <v>562</v>
      </c>
      <c r="C294">
        <v>166891</v>
      </c>
      <c r="D294">
        <v>166891</v>
      </c>
      <c r="H294">
        <v>10</v>
      </c>
      <c r="I294">
        <v>40</v>
      </c>
      <c r="J294">
        <v>10</v>
      </c>
      <c r="K294">
        <v>10</v>
      </c>
      <c r="M294">
        <v>70</v>
      </c>
    </row>
    <row r="295" spans="1:15" x14ac:dyDescent="0.25">
      <c r="A295" t="s">
        <v>563</v>
      </c>
      <c r="B295" t="s">
        <v>434</v>
      </c>
      <c r="C295">
        <v>167116</v>
      </c>
      <c r="D295">
        <v>167116</v>
      </c>
      <c r="E295">
        <v>20</v>
      </c>
      <c r="O295">
        <v>20</v>
      </c>
    </row>
    <row r="296" spans="1:15" x14ac:dyDescent="0.25">
      <c r="A296" t="s">
        <v>564</v>
      </c>
      <c r="B296" t="s">
        <v>59</v>
      </c>
      <c r="C296">
        <v>166284</v>
      </c>
      <c r="D296">
        <v>166284</v>
      </c>
      <c r="E296">
        <v>30</v>
      </c>
      <c r="F296">
        <v>10</v>
      </c>
      <c r="G296">
        <v>50</v>
      </c>
      <c r="O296">
        <v>90</v>
      </c>
    </row>
    <row r="297" spans="1:15" x14ac:dyDescent="0.25">
      <c r="A297" t="s">
        <v>565</v>
      </c>
      <c r="B297" t="s">
        <v>566</v>
      </c>
      <c r="C297">
        <v>166813</v>
      </c>
      <c r="D297">
        <v>166813</v>
      </c>
      <c r="E297">
        <v>0</v>
      </c>
      <c r="F297">
        <v>30</v>
      </c>
      <c r="G297">
        <v>20</v>
      </c>
      <c r="O297">
        <v>50</v>
      </c>
    </row>
    <row r="298" spans="1:15" x14ac:dyDescent="0.25">
      <c r="A298" t="s">
        <v>567</v>
      </c>
      <c r="B298" t="s">
        <v>568</v>
      </c>
      <c r="C298">
        <v>167807</v>
      </c>
      <c r="D298">
        <v>167807</v>
      </c>
      <c r="E298">
        <v>50</v>
      </c>
      <c r="F298">
        <v>30</v>
      </c>
      <c r="G298">
        <v>40</v>
      </c>
      <c r="O298">
        <v>120</v>
      </c>
    </row>
    <row r="299" spans="1:15" x14ac:dyDescent="0.25">
      <c r="A299" t="s">
        <v>569</v>
      </c>
      <c r="B299" t="s">
        <v>570</v>
      </c>
      <c r="C299">
        <v>168873</v>
      </c>
      <c r="D299">
        <v>168873</v>
      </c>
    </row>
    <row r="300" spans="1:15" x14ac:dyDescent="0.25">
      <c r="A300" t="s">
        <v>571</v>
      </c>
      <c r="B300" t="s">
        <v>572</v>
      </c>
      <c r="C300">
        <v>161653</v>
      </c>
      <c r="D300">
        <v>161653</v>
      </c>
      <c r="E300">
        <v>50</v>
      </c>
      <c r="F300">
        <v>30</v>
      </c>
      <c r="G300">
        <v>40</v>
      </c>
      <c r="O300">
        <v>120</v>
      </c>
    </row>
    <row r="301" spans="1:15" x14ac:dyDescent="0.25">
      <c r="A301" t="s">
        <v>573</v>
      </c>
      <c r="B301" t="s">
        <v>197</v>
      </c>
      <c r="C301">
        <v>168064</v>
      </c>
      <c r="D301">
        <v>168064</v>
      </c>
    </row>
    <row r="302" spans="1:15" x14ac:dyDescent="0.25">
      <c r="A302" t="s">
        <v>574</v>
      </c>
      <c r="B302" t="s">
        <v>575</v>
      </c>
      <c r="C302">
        <v>162244</v>
      </c>
      <c r="D302">
        <v>162244</v>
      </c>
      <c r="E302">
        <v>10</v>
      </c>
      <c r="F302">
        <v>30</v>
      </c>
      <c r="G302">
        <v>30</v>
      </c>
      <c r="O302">
        <v>70</v>
      </c>
    </row>
    <row r="303" spans="1:15" x14ac:dyDescent="0.25">
      <c r="A303" t="s">
        <v>576</v>
      </c>
      <c r="B303" t="s">
        <v>577</v>
      </c>
      <c r="C303">
        <v>167732</v>
      </c>
      <c r="D303">
        <v>167732</v>
      </c>
      <c r="E303">
        <v>30</v>
      </c>
      <c r="F303">
        <v>20</v>
      </c>
      <c r="G303">
        <v>10</v>
      </c>
      <c r="O303">
        <v>60</v>
      </c>
    </row>
    <row r="304" spans="1:15" x14ac:dyDescent="0.25">
      <c r="A304" t="s">
        <v>578</v>
      </c>
      <c r="B304" t="s">
        <v>579</v>
      </c>
      <c r="C304">
        <v>167474</v>
      </c>
      <c r="D304">
        <v>167474</v>
      </c>
      <c r="H304">
        <v>10</v>
      </c>
      <c r="I304">
        <v>50</v>
      </c>
      <c r="J304">
        <v>10</v>
      </c>
      <c r="M304">
        <v>70</v>
      </c>
    </row>
    <row r="305" spans="1:15" x14ac:dyDescent="0.25">
      <c r="A305" t="s">
        <v>580</v>
      </c>
      <c r="B305" t="s">
        <v>344</v>
      </c>
      <c r="C305">
        <v>160260</v>
      </c>
      <c r="D305">
        <v>160260</v>
      </c>
    </row>
    <row r="306" spans="1:15" x14ac:dyDescent="0.25">
      <c r="A306" t="s">
        <v>581</v>
      </c>
      <c r="B306" t="s">
        <v>582</v>
      </c>
      <c r="C306">
        <v>166060</v>
      </c>
      <c r="D306">
        <v>166060</v>
      </c>
      <c r="H306">
        <v>20</v>
      </c>
      <c r="I306">
        <v>20</v>
      </c>
      <c r="J306">
        <v>20</v>
      </c>
      <c r="K306">
        <v>10</v>
      </c>
      <c r="L306">
        <v>0</v>
      </c>
      <c r="M306">
        <v>70</v>
      </c>
      <c r="N306" t="s">
        <v>549</v>
      </c>
    </row>
    <row r="307" spans="1:15" x14ac:dyDescent="0.25">
      <c r="A307" t="s">
        <v>583</v>
      </c>
      <c r="B307" t="s">
        <v>584</v>
      </c>
      <c r="C307">
        <v>166261</v>
      </c>
      <c r="D307">
        <v>166261</v>
      </c>
      <c r="E307">
        <v>50</v>
      </c>
      <c r="F307">
        <v>40</v>
      </c>
      <c r="G307">
        <v>40</v>
      </c>
      <c r="O307">
        <v>130</v>
      </c>
    </row>
    <row r="308" spans="1:15" x14ac:dyDescent="0.25">
      <c r="A308" t="s">
        <v>585</v>
      </c>
      <c r="B308" t="s">
        <v>586</v>
      </c>
      <c r="C308">
        <v>167574</v>
      </c>
      <c r="D308">
        <v>167574</v>
      </c>
      <c r="H308">
        <v>10</v>
      </c>
      <c r="I308">
        <v>30</v>
      </c>
      <c r="J308">
        <v>20</v>
      </c>
      <c r="K308">
        <v>10</v>
      </c>
      <c r="L308">
        <v>10</v>
      </c>
      <c r="M308">
        <v>80</v>
      </c>
    </row>
    <row r="309" spans="1:15" x14ac:dyDescent="0.25">
      <c r="A309" t="s">
        <v>587</v>
      </c>
      <c r="B309" t="s">
        <v>588</v>
      </c>
      <c r="C309">
        <v>165880</v>
      </c>
      <c r="D309">
        <v>165880</v>
      </c>
      <c r="H309">
        <v>20</v>
      </c>
      <c r="I309">
        <v>60</v>
      </c>
      <c r="J309">
        <v>20</v>
      </c>
      <c r="K309">
        <v>10</v>
      </c>
      <c r="L309">
        <v>0</v>
      </c>
      <c r="M309">
        <v>110</v>
      </c>
    </row>
    <row r="310" spans="1:15" x14ac:dyDescent="0.25">
      <c r="A310" t="s">
        <v>589</v>
      </c>
      <c r="B310" t="s">
        <v>590</v>
      </c>
      <c r="C310">
        <v>168264</v>
      </c>
      <c r="D310">
        <v>168264</v>
      </c>
      <c r="H310">
        <v>10</v>
      </c>
      <c r="I310">
        <v>30</v>
      </c>
      <c r="J310">
        <v>20</v>
      </c>
      <c r="K310">
        <v>10</v>
      </c>
      <c r="L310">
        <v>0</v>
      </c>
      <c r="M310">
        <v>70</v>
      </c>
    </row>
    <row r="311" spans="1:15" x14ac:dyDescent="0.25">
      <c r="A311" t="s">
        <v>591</v>
      </c>
      <c r="B311" t="s">
        <v>592</v>
      </c>
      <c r="C311">
        <v>167043</v>
      </c>
      <c r="D311">
        <v>167043</v>
      </c>
      <c r="H311">
        <v>10</v>
      </c>
      <c r="I311">
        <v>40</v>
      </c>
      <c r="J311">
        <v>20</v>
      </c>
      <c r="K311">
        <v>10</v>
      </c>
      <c r="L311">
        <v>0</v>
      </c>
      <c r="M311">
        <v>80</v>
      </c>
    </row>
    <row r="312" spans="1:15" x14ac:dyDescent="0.25">
      <c r="A312" t="s">
        <v>593</v>
      </c>
      <c r="B312" t="s">
        <v>594</v>
      </c>
      <c r="C312">
        <v>168063</v>
      </c>
      <c r="D312">
        <v>168063</v>
      </c>
      <c r="H312">
        <v>0</v>
      </c>
      <c r="I312">
        <v>20</v>
      </c>
      <c r="J312">
        <v>10</v>
      </c>
      <c r="K312">
        <v>0</v>
      </c>
      <c r="L312">
        <v>10</v>
      </c>
      <c r="M312">
        <v>40</v>
      </c>
    </row>
    <row r="313" spans="1:15" x14ac:dyDescent="0.25">
      <c r="A313" t="s">
        <v>595</v>
      </c>
      <c r="B313" t="s">
        <v>596</v>
      </c>
      <c r="C313">
        <v>166433</v>
      </c>
      <c r="D313">
        <v>166433</v>
      </c>
      <c r="E313">
        <v>30</v>
      </c>
      <c r="F313">
        <v>10</v>
      </c>
      <c r="G313">
        <v>40</v>
      </c>
      <c r="O313">
        <v>80</v>
      </c>
    </row>
    <row r="314" spans="1:15" x14ac:dyDescent="0.25">
      <c r="A314" t="s">
        <v>597</v>
      </c>
      <c r="B314" t="s">
        <v>598</v>
      </c>
      <c r="C314">
        <v>168648</v>
      </c>
      <c r="D314">
        <v>168648</v>
      </c>
      <c r="H314">
        <v>20</v>
      </c>
      <c r="I314">
        <v>40</v>
      </c>
      <c r="J314">
        <v>10</v>
      </c>
      <c r="K314">
        <v>0</v>
      </c>
      <c r="L314">
        <v>0</v>
      </c>
      <c r="M314">
        <v>70</v>
      </c>
    </row>
    <row r="315" spans="1:15" x14ac:dyDescent="0.25">
      <c r="A315" t="s">
        <v>599</v>
      </c>
      <c r="B315" t="s">
        <v>600</v>
      </c>
      <c r="C315">
        <v>168804</v>
      </c>
      <c r="D315">
        <v>168804</v>
      </c>
    </row>
    <row r="316" spans="1:15" x14ac:dyDescent="0.25">
      <c r="A316" t="s">
        <v>601</v>
      </c>
      <c r="B316" t="s">
        <v>602</v>
      </c>
      <c r="C316">
        <v>166858</v>
      </c>
      <c r="D316">
        <v>166858</v>
      </c>
    </row>
    <row r="317" spans="1:15" x14ac:dyDescent="0.25">
      <c r="A317" t="s">
        <v>603</v>
      </c>
      <c r="B317" t="s">
        <v>604</v>
      </c>
      <c r="C317">
        <v>168790</v>
      </c>
      <c r="D317">
        <v>168790</v>
      </c>
      <c r="H317">
        <v>10</v>
      </c>
      <c r="I317">
        <v>50</v>
      </c>
      <c r="J317">
        <v>20</v>
      </c>
      <c r="K317">
        <v>10</v>
      </c>
      <c r="L317">
        <v>0</v>
      </c>
      <c r="M317">
        <v>90</v>
      </c>
    </row>
    <row r="318" spans="1:15" x14ac:dyDescent="0.25">
      <c r="A318" t="s">
        <v>605</v>
      </c>
      <c r="B318" t="s">
        <v>606</v>
      </c>
      <c r="C318">
        <v>167387</v>
      </c>
      <c r="D318">
        <v>167387</v>
      </c>
    </row>
    <row r="319" spans="1:15" x14ac:dyDescent="0.25">
      <c r="A319" t="s">
        <v>607</v>
      </c>
      <c r="B319" t="s">
        <v>608</v>
      </c>
      <c r="C319">
        <v>165768</v>
      </c>
      <c r="D319">
        <v>165768</v>
      </c>
    </row>
    <row r="320" spans="1:15" x14ac:dyDescent="0.25">
      <c r="A320" t="s">
        <v>609</v>
      </c>
      <c r="B320" t="s">
        <v>610</v>
      </c>
      <c r="C320">
        <v>168027</v>
      </c>
      <c r="D320">
        <v>168027</v>
      </c>
      <c r="H320">
        <v>10</v>
      </c>
      <c r="I320">
        <v>20</v>
      </c>
      <c r="J320">
        <v>10</v>
      </c>
      <c r="K320">
        <v>10</v>
      </c>
      <c r="L320">
        <v>10</v>
      </c>
      <c r="M320">
        <v>60</v>
      </c>
    </row>
    <row r="321" spans="1:18" x14ac:dyDescent="0.25">
      <c r="A321" t="s">
        <v>611</v>
      </c>
      <c r="B321" t="s">
        <v>612</v>
      </c>
      <c r="C321">
        <v>167395</v>
      </c>
      <c r="D321">
        <v>167395</v>
      </c>
      <c r="E321">
        <v>0</v>
      </c>
      <c r="F321">
        <v>20</v>
      </c>
      <c r="G321">
        <v>10</v>
      </c>
      <c r="O321">
        <v>30</v>
      </c>
    </row>
    <row r="322" spans="1:18" x14ac:dyDescent="0.25">
      <c r="A322" t="s">
        <v>613</v>
      </c>
      <c r="B322" t="s">
        <v>614</v>
      </c>
      <c r="C322">
        <v>166864</v>
      </c>
      <c r="D322">
        <v>166864</v>
      </c>
      <c r="H322">
        <v>10</v>
      </c>
      <c r="I322">
        <v>30</v>
      </c>
      <c r="J322">
        <v>20</v>
      </c>
      <c r="K322">
        <v>10</v>
      </c>
      <c r="L322">
        <v>10</v>
      </c>
      <c r="M322">
        <v>80</v>
      </c>
      <c r="R322" t="s">
        <v>20</v>
      </c>
    </row>
    <row r="323" spans="1:18" x14ac:dyDescent="0.25">
      <c r="A323" t="s">
        <v>615</v>
      </c>
      <c r="B323" t="s">
        <v>616</v>
      </c>
      <c r="C323">
        <v>165800</v>
      </c>
      <c r="D323">
        <v>165800</v>
      </c>
      <c r="H323">
        <v>10</v>
      </c>
      <c r="I323">
        <v>50</v>
      </c>
      <c r="J323">
        <v>20</v>
      </c>
      <c r="K323">
        <v>10</v>
      </c>
      <c r="L323">
        <v>10</v>
      </c>
      <c r="M323">
        <v>100</v>
      </c>
    </row>
    <row r="324" spans="1:18" x14ac:dyDescent="0.25">
      <c r="A324" t="s">
        <v>617</v>
      </c>
      <c r="B324" t="s">
        <v>618</v>
      </c>
      <c r="C324">
        <v>168811</v>
      </c>
      <c r="D324">
        <v>168811</v>
      </c>
      <c r="H324">
        <v>0</v>
      </c>
      <c r="I324">
        <v>20</v>
      </c>
      <c r="J324">
        <v>0</v>
      </c>
      <c r="K324">
        <v>0</v>
      </c>
      <c r="L324">
        <v>0</v>
      </c>
      <c r="M324">
        <v>20</v>
      </c>
    </row>
    <row r="325" spans="1:18" x14ac:dyDescent="0.25">
      <c r="A325" t="s">
        <v>619</v>
      </c>
      <c r="B325" t="s">
        <v>620</v>
      </c>
      <c r="C325">
        <v>168634</v>
      </c>
      <c r="D325">
        <v>168634</v>
      </c>
      <c r="H325">
        <v>20</v>
      </c>
      <c r="I325">
        <v>40</v>
      </c>
      <c r="J325">
        <v>20</v>
      </c>
      <c r="K325">
        <v>10</v>
      </c>
      <c r="L325">
        <v>10</v>
      </c>
      <c r="M325">
        <v>100</v>
      </c>
    </row>
    <row r="326" spans="1:18" x14ac:dyDescent="0.25">
      <c r="A326" t="s">
        <v>621</v>
      </c>
      <c r="B326" t="s">
        <v>622</v>
      </c>
      <c r="C326">
        <v>166227</v>
      </c>
      <c r="D326">
        <v>166227</v>
      </c>
      <c r="E326">
        <v>50</v>
      </c>
      <c r="F326">
        <v>20</v>
      </c>
      <c r="G326">
        <v>30</v>
      </c>
      <c r="O326">
        <v>100</v>
      </c>
    </row>
    <row r="327" spans="1:18" x14ac:dyDescent="0.25">
      <c r="A327" t="s">
        <v>621</v>
      </c>
      <c r="B327" t="s">
        <v>623</v>
      </c>
      <c r="C327">
        <v>162875</v>
      </c>
      <c r="D327">
        <v>162875</v>
      </c>
      <c r="E327">
        <v>40</v>
      </c>
      <c r="F327">
        <v>10</v>
      </c>
      <c r="G327">
        <v>30</v>
      </c>
      <c r="O327">
        <v>80</v>
      </c>
    </row>
    <row r="328" spans="1:18" x14ac:dyDescent="0.25">
      <c r="A328" t="s">
        <v>624</v>
      </c>
      <c r="B328" t="s">
        <v>625</v>
      </c>
      <c r="C328">
        <v>168212</v>
      </c>
      <c r="D328">
        <v>168212</v>
      </c>
      <c r="E328">
        <v>0</v>
      </c>
      <c r="F328">
        <v>10</v>
      </c>
      <c r="G328">
        <v>40</v>
      </c>
      <c r="O328">
        <v>50</v>
      </c>
    </row>
    <row r="329" spans="1:18" x14ac:dyDescent="0.25">
      <c r="A329" t="s">
        <v>626</v>
      </c>
      <c r="B329" t="s">
        <v>627</v>
      </c>
      <c r="C329">
        <v>167220</v>
      </c>
      <c r="D329">
        <v>167220</v>
      </c>
      <c r="E329">
        <v>0</v>
      </c>
      <c r="F329">
        <v>20</v>
      </c>
      <c r="G329">
        <v>10</v>
      </c>
      <c r="O329">
        <v>30</v>
      </c>
    </row>
    <row r="330" spans="1:18" x14ac:dyDescent="0.25">
      <c r="A330" t="s">
        <v>628</v>
      </c>
      <c r="B330" t="s">
        <v>629</v>
      </c>
      <c r="C330">
        <v>168361</v>
      </c>
      <c r="D330">
        <v>168361</v>
      </c>
      <c r="H330">
        <v>10</v>
      </c>
      <c r="I330">
        <v>30</v>
      </c>
      <c r="J330">
        <v>0</v>
      </c>
      <c r="K330">
        <v>10</v>
      </c>
      <c r="L330">
        <v>10</v>
      </c>
      <c r="M330">
        <v>60</v>
      </c>
    </row>
    <row r="331" spans="1:18" x14ac:dyDescent="0.25">
      <c r="A331" t="s">
        <v>630</v>
      </c>
      <c r="B331" t="s">
        <v>631</v>
      </c>
      <c r="C331">
        <v>167472</v>
      </c>
      <c r="D331">
        <v>167472</v>
      </c>
      <c r="H331">
        <v>10</v>
      </c>
      <c r="I331">
        <v>50</v>
      </c>
      <c r="J331">
        <v>10</v>
      </c>
      <c r="K331">
        <v>0</v>
      </c>
      <c r="L331">
        <v>0</v>
      </c>
      <c r="M331">
        <v>70</v>
      </c>
    </row>
    <row r="332" spans="1:18" x14ac:dyDescent="0.25">
      <c r="A332" t="s">
        <v>632</v>
      </c>
      <c r="B332" t="s">
        <v>121</v>
      </c>
      <c r="C332">
        <v>164664</v>
      </c>
      <c r="D332">
        <v>164664</v>
      </c>
      <c r="H332">
        <v>0</v>
      </c>
      <c r="I332">
        <v>20</v>
      </c>
      <c r="J332">
        <v>0</v>
      </c>
      <c r="K332">
        <v>0</v>
      </c>
      <c r="L332">
        <v>0</v>
      </c>
      <c r="M332">
        <v>20</v>
      </c>
    </row>
    <row r="333" spans="1:18" x14ac:dyDescent="0.25">
      <c r="A333" t="s">
        <v>633</v>
      </c>
      <c r="B333" t="s">
        <v>634</v>
      </c>
      <c r="C333">
        <v>167089</v>
      </c>
      <c r="D333">
        <v>167089</v>
      </c>
    </row>
    <row r="334" spans="1:18" x14ac:dyDescent="0.25">
      <c r="A334" t="s">
        <v>635</v>
      </c>
      <c r="B334" t="s">
        <v>636</v>
      </c>
      <c r="C334">
        <v>162264</v>
      </c>
      <c r="D334">
        <v>162264</v>
      </c>
      <c r="E334">
        <v>50</v>
      </c>
      <c r="F334">
        <v>30</v>
      </c>
      <c r="G334">
        <v>40</v>
      </c>
      <c r="O334">
        <v>120</v>
      </c>
    </row>
    <row r="335" spans="1:18" x14ac:dyDescent="0.25">
      <c r="A335" t="s">
        <v>637</v>
      </c>
      <c r="B335" t="s">
        <v>638</v>
      </c>
      <c r="C335">
        <v>166894</v>
      </c>
      <c r="D335">
        <v>166894</v>
      </c>
      <c r="H335">
        <v>10</v>
      </c>
      <c r="I335">
        <v>50</v>
      </c>
      <c r="J335">
        <v>10</v>
      </c>
      <c r="K335">
        <v>10</v>
      </c>
      <c r="L335">
        <v>10</v>
      </c>
      <c r="M335">
        <v>90</v>
      </c>
    </row>
    <row r="336" spans="1:18" x14ac:dyDescent="0.25">
      <c r="A336" t="s">
        <v>639</v>
      </c>
      <c r="B336" t="s">
        <v>640</v>
      </c>
      <c r="C336">
        <v>167496</v>
      </c>
      <c r="D336">
        <v>167496</v>
      </c>
      <c r="H336">
        <v>0</v>
      </c>
      <c r="I336">
        <v>50</v>
      </c>
      <c r="J336">
        <v>10</v>
      </c>
      <c r="K336">
        <v>0</v>
      </c>
      <c r="L336">
        <v>10</v>
      </c>
      <c r="M336">
        <v>70</v>
      </c>
      <c r="R336" t="s">
        <v>20</v>
      </c>
    </row>
    <row r="337" spans="1:15" x14ac:dyDescent="0.25">
      <c r="A337" t="s">
        <v>641</v>
      </c>
      <c r="B337" t="s">
        <v>642</v>
      </c>
      <c r="C337">
        <v>162029</v>
      </c>
      <c r="D337">
        <v>162029</v>
      </c>
      <c r="E337">
        <v>40</v>
      </c>
      <c r="F337">
        <v>30</v>
      </c>
      <c r="G337">
        <v>10</v>
      </c>
      <c r="O337">
        <v>80</v>
      </c>
    </row>
    <row r="338" spans="1:15" x14ac:dyDescent="0.25">
      <c r="A338" t="s">
        <v>643</v>
      </c>
      <c r="B338" t="s">
        <v>644</v>
      </c>
      <c r="C338">
        <v>166341</v>
      </c>
      <c r="D338">
        <v>166341</v>
      </c>
      <c r="H338">
        <v>10</v>
      </c>
      <c r="I338">
        <v>30</v>
      </c>
      <c r="J338">
        <v>20</v>
      </c>
      <c r="K338">
        <v>10</v>
      </c>
      <c r="L338">
        <v>10</v>
      </c>
      <c r="M338">
        <v>80</v>
      </c>
    </row>
    <row r="339" spans="1:15" x14ac:dyDescent="0.25">
      <c r="A339" t="s">
        <v>645</v>
      </c>
      <c r="B339" t="s">
        <v>168</v>
      </c>
      <c r="C339">
        <v>168870</v>
      </c>
      <c r="D339">
        <v>168870</v>
      </c>
    </row>
    <row r="340" spans="1:15" x14ac:dyDescent="0.25">
      <c r="A340" t="s">
        <v>646</v>
      </c>
      <c r="B340" t="s">
        <v>393</v>
      </c>
      <c r="C340">
        <v>165826</v>
      </c>
      <c r="D340">
        <v>165826</v>
      </c>
      <c r="H340">
        <v>0</v>
      </c>
      <c r="I340">
        <v>40</v>
      </c>
      <c r="J340">
        <v>20</v>
      </c>
      <c r="K340">
        <v>0</v>
      </c>
      <c r="L340">
        <v>0</v>
      </c>
      <c r="M340">
        <v>60</v>
      </c>
    </row>
    <row r="341" spans="1:15" x14ac:dyDescent="0.25">
      <c r="A341" t="s">
        <v>647</v>
      </c>
      <c r="B341" t="s">
        <v>648</v>
      </c>
      <c r="C341">
        <v>166038</v>
      </c>
      <c r="D341">
        <v>166038</v>
      </c>
      <c r="E341">
        <v>0</v>
      </c>
      <c r="F341">
        <v>0</v>
      </c>
      <c r="G341">
        <v>0</v>
      </c>
      <c r="O341">
        <v>0</v>
      </c>
    </row>
    <row r="342" spans="1:15" x14ac:dyDescent="0.25">
      <c r="A342" t="s">
        <v>649</v>
      </c>
      <c r="B342" t="s">
        <v>650</v>
      </c>
      <c r="C342">
        <v>163699</v>
      </c>
      <c r="D342">
        <v>163699</v>
      </c>
    </row>
    <row r="343" spans="1:15" x14ac:dyDescent="0.25">
      <c r="A343" t="s">
        <v>651</v>
      </c>
      <c r="B343" t="s">
        <v>652</v>
      </c>
      <c r="C343">
        <v>168770</v>
      </c>
      <c r="D343">
        <v>168770</v>
      </c>
    </row>
    <row r="344" spans="1:15" x14ac:dyDescent="0.25">
      <c r="A344" t="s">
        <v>653</v>
      </c>
      <c r="B344" t="s">
        <v>654</v>
      </c>
      <c r="C344">
        <v>165058</v>
      </c>
      <c r="D344">
        <v>165058</v>
      </c>
      <c r="E344">
        <v>40</v>
      </c>
      <c r="F344">
        <v>40</v>
      </c>
      <c r="G344">
        <v>40</v>
      </c>
      <c r="O344">
        <v>120</v>
      </c>
    </row>
    <row r="345" spans="1:15" x14ac:dyDescent="0.25">
      <c r="A345" t="s">
        <v>655</v>
      </c>
      <c r="B345" t="s">
        <v>340</v>
      </c>
      <c r="C345">
        <v>168037</v>
      </c>
      <c r="D345">
        <v>168037</v>
      </c>
      <c r="H345">
        <v>10</v>
      </c>
      <c r="I345">
        <v>30</v>
      </c>
      <c r="J345">
        <v>10</v>
      </c>
      <c r="K345">
        <v>0</v>
      </c>
      <c r="L345">
        <v>10</v>
      </c>
      <c r="M345">
        <v>60</v>
      </c>
    </row>
    <row r="346" spans="1:15" x14ac:dyDescent="0.25">
      <c r="A346" t="s">
        <v>656</v>
      </c>
      <c r="B346" t="s">
        <v>286</v>
      </c>
      <c r="C346">
        <v>165388</v>
      </c>
      <c r="D346">
        <v>165388</v>
      </c>
      <c r="E346">
        <v>20</v>
      </c>
      <c r="F346">
        <v>30</v>
      </c>
      <c r="G346">
        <v>50</v>
      </c>
      <c r="O346">
        <v>100</v>
      </c>
    </row>
    <row r="347" spans="1:15" x14ac:dyDescent="0.25">
      <c r="A347" t="s">
        <v>657</v>
      </c>
      <c r="B347" t="s">
        <v>658</v>
      </c>
      <c r="C347">
        <v>167097</v>
      </c>
      <c r="D347">
        <v>167097</v>
      </c>
      <c r="E347">
        <v>50</v>
      </c>
      <c r="F347">
        <v>30</v>
      </c>
      <c r="G347">
        <v>50</v>
      </c>
      <c r="O347">
        <v>130</v>
      </c>
    </row>
    <row r="348" spans="1:15" x14ac:dyDescent="0.25">
      <c r="A348" t="s">
        <v>659</v>
      </c>
      <c r="B348" t="s">
        <v>457</v>
      </c>
      <c r="C348">
        <v>167187</v>
      </c>
      <c r="D348">
        <v>167187</v>
      </c>
      <c r="H348">
        <v>0</v>
      </c>
      <c r="I348">
        <v>30</v>
      </c>
      <c r="J348">
        <v>20</v>
      </c>
      <c r="K348">
        <v>10</v>
      </c>
      <c r="L348">
        <v>10</v>
      </c>
      <c r="M348">
        <v>70</v>
      </c>
    </row>
    <row r="349" spans="1:15" x14ac:dyDescent="0.25">
      <c r="A349" t="s">
        <v>660</v>
      </c>
      <c r="B349" t="s">
        <v>661</v>
      </c>
      <c r="C349">
        <v>165341</v>
      </c>
      <c r="D349">
        <v>165341</v>
      </c>
      <c r="E349">
        <v>30</v>
      </c>
      <c r="F349">
        <v>30</v>
      </c>
      <c r="G349">
        <v>30</v>
      </c>
      <c r="O349">
        <v>90</v>
      </c>
    </row>
    <row r="350" spans="1:15" x14ac:dyDescent="0.25">
      <c r="A350" t="s">
        <v>662</v>
      </c>
      <c r="B350" t="s">
        <v>663</v>
      </c>
      <c r="C350">
        <v>168547</v>
      </c>
      <c r="D350">
        <v>168547</v>
      </c>
    </row>
    <row r="351" spans="1:15" x14ac:dyDescent="0.25">
      <c r="A351" t="s">
        <v>664</v>
      </c>
      <c r="B351" t="s">
        <v>218</v>
      </c>
      <c r="C351">
        <v>166759</v>
      </c>
      <c r="D351">
        <v>166759</v>
      </c>
      <c r="H351">
        <v>10</v>
      </c>
      <c r="I351">
        <v>20</v>
      </c>
      <c r="J351">
        <v>10</v>
      </c>
      <c r="K351">
        <v>10</v>
      </c>
      <c r="L351">
        <v>0</v>
      </c>
      <c r="M351">
        <v>50</v>
      </c>
    </row>
    <row r="352" spans="1:15" x14ac:dyDescent="0.25">
      <c r="A352" t="s">
        <v>665</v>
      </c>
      <c r="B352" t="s">
        <v>666</v>
      </c>
      <c r="C352">
        <v>167153</v>
      </c>
      <c r="D352">
        <v>167153</v>
      </c>
      <c r="E352">
        <v>40</v>
      </c>
      <c r="F352">
        <v>20</v>
      </c>
      <c r="G352">
        <v>40</v>
      </c>
      <c r="O352">
        <v>100</v>
      </c>
    </row>
    <row r="353" spans="1:15" x14ac:dyDescent="0.25">
      <c r="A353" t="s">
        <v>667</v>
      </c>
      <c r="B353" t="s">
        <v>668</v>
      </c>
      <c r="C353">
        <v>168837</v>
      </c>
      <c r="D353">
        <v>168837</v>
      </c>
      <c r="E353">
        <v>40</v>
      </c>
      <c r="F353">
        <v>10</v>
      </c>
      <c r="G353">
        <v>20</v>
      </c>
      <c r="O353">
        <v>70</v>
      </c>
    </row>
    <row r="354" spans="1:15" x14ac:dyDescent="0.25">
      <c r="A354" t="s">
        <v>669</v>
      </c>
      <c r="B354" t="s">
        <v>670</v>
      </c>
      <c r="C354">
        <v>166045</v>
      </c>
      <c r="D354">
        <v>166045</v>
      </c>
      <c r="H354">
        <v>20</v>
      </c>
      <c r="I354">
        <v>50</v>
      </c>
      <c r="J354">
        <v>0</v>
      </c>
      <c r="K354">
        <v>10</v>
      </c>
      <c r="L354">
        <v>0</v>
      </c>
      <c r="M354">
        <v>80</v>
      </c>
    </row>
    <row r="355" spans="1:15" x14ac:dyDescent="0.25">
      <c r="A355" t="s">
        <v>671</v>
      </c>
      <c r="B355" t="s">
        <v>672</v>
      </c>
      <c r="C355">
        <v>166220</v>
      </c>
      <c r="D355">
        <v>166220</v>
      </c>
      <c r="H355">
        <v>10</v>
      </c>
      <c r="I355">
        <v>60</v>
      </c>
      <c r="J355">
        <v>0</v>
      </c>
      <c r="K355">
        <v>10</v>
      </c>
      <c r="L355">
        <v>0</v>
      </c>
      <c r="M355">
        <v>80</v>
      </c>
    </row>
    <row r="356" spans="1:15" x14ac:dyDescent="0.25">
      <c r="A356" t="s">
        <v>673</v>
      </c>
      <c r="B356" t="s">
        <v>674</v>
      </c>
      <c r="C356">
        <v>168485</v>
      </c>
      <c r="D356">
        <v>168485</v>
      </c>
      <c r="H356">
        <v>20</v>
      </c>
      <c r="I356">
        <v>20</v>
      </c>
      <c r="J356">
        <v>10</v>
      </c>
      <c r="K356">
        <v>0</v>
      </c>
      <c r="L356">
        <v>0</v>
      </c>
      <c r="M356">
        <v>50</v>
      </c>
    </row>
    <row r="357" spans="1:15" x14ac:dyDescent="0.25">
      <c r="A357" t="s">
        <v>675</v>
      </c>
      <c r="B357" t="s">
        <v>654</v>
      </c>
      <c r="C357">
        <v>166059</v>
      </c>
      <c r="D357">
        <v>166059</v>
      </c>
      <c r="H357">
        <v>10</v>
      </c>
      <c r="I357">
        <v>50</v>
      </c>
      <c r="J357">
        <v>10</v>
      </c>
      <c r="K357">
        <v>10</v>
      </c>
      <c r="L357">
        <v>0</v>
      </c>
      <c r="M357">
        <v>80</v>
      </c>
    </row>
    <row r="358" spans="1:15" x14ac:dyDescent="0.25">
      <c r="A358" t="s">
        <v>676</v>
      </c>
      <c r="B358" t="s">
        <v>677</v>
      </c>
      <c r="C358">
        <v>166961</v>
      </c>
      <c r="D358">
        <v>166961</v>
      </c>
      <c r="E358">
        <v>10</v>
      </c>
      <c r="F358">
        <v>30</v>
      </c>
      <c r="G358">
        <v>20</v>
      </c>
      <c r="O358">
        <v>60</v>
      </c>
    </row>
    <row r="359" spans="1:15" x14ac:dyDescent="0.25">
      <c r="A359" t="s">
        <v>678</v>
      </c>
      <c r="B359" t="s">
        <v>679</v>
      </c>
      <c r="C359">
        <v>166709</v>
      </c>
      <c r="D359">
        <v>166709</v>
      </c>
      <c r="H359">
        <v>0</v>
      </c>
      <c r="I359">
        <v>60</v>
      </c>
      <c r="J359">
        <v>20</v>
      </c>
      <c r="K359">
        <v>10</v>
      </c>
      <c r="L359">
        <v>0</v>
      </c>
      <c r="M359">
        <v>90</v>
      </c>
    </row>
    <row r="360" spans="1:15" x14ac:dyDescent="0.25">
      <c r="A360" t="s">
        <v>680</v>
      </c>
      <c r="B360" t="s">
        <v>681</v>
      </c>
      <c r="C360">
        <v>167491</v>
      </c>
      <c r="D360">
        <v>167491</v>
      </c>
      <c r="H360">
        <v>10</v>
      </c>
      <c r="I360">
        <v>50</v>
      </c>
      <c r="J360">
        <v>10</v>
      </c>
      <c r="K360">
        <v>0</v>
      </c>
      <c r="L360">
        <v>0</v>
      </c>
      <c r="M360">
        <v>70</v>
      </c>
    </row>
    <row r="361" spans="1:15" x14ac:dyDescent="0.25">
      <c r="A361" t="s">
        <v>682</v>
      </c>
      <c r="B361" t="s">
        <v>57</v>
      </c>
      <c r="C361">
        <v>168874</v>
      </c>
      <c r="D361">
        <v>168874</v>
      </c>
    </row>
    <row r="362" spans="1:15" x14ac:dyDescent="0.25">
      <c r="A362" t="s">
        <v>683</v>
      </c>
      <c r="B362" t="s">
        <v>684</v>
      </c>
      <c r="C362">
        <v>166347</v>
      </c>
      <c r="D362">
        <v>166347</v>
      </c>
      <c r="H362">
        <v>10</v>
      </c>
      <c r="I362">
        <v>50</v>
      </c>
      <c r="J362">
        <v>20</v>
      </c>
      <c r="K362">
        <v>10</v>
      </c>
      <c r="L362">
        <v>0</v>
      </c>
      <c r="M362">
        <v>90</v>
      </c>
    </row>
    <row r="363" spans="1:15" x14ac:dyDescent="0.25">
      <c r="A363" t="s">
        <v>685</v>
      </c>
      <c r="B363" t="s">
        <v>59</v>
      </c>
      <c r="C363">
        <v>167010</v>
      </c>
      <c r="D363">
        <v>167010</v>
      </c>
      <c r="H363">
        <v>20</v>
      </c>
      <c r="I363">
        <v>60</v>
      </c>
      <c r="J363">
        <v>20</v>
      </c>
      <c r="K363">
        <v>10</v>
      </c>
      <c r="L363">
        <v>10</v>
      </c>
      <c r="M363">
        <v>120</v>
      </c>
    </row>
    <row r="364" spans="1:15" x14ac:dyDescent="0.25">
      <c r="A364" t="s">
        <v>686</v>
      </c>
      <c r="B364" t="s">
        <v>687</v>
      </c>
      <c r="C364">
        <v>167686</v>
      </c>
      <c r="D364">
        <v>167686</v>
      </c>
    </row>
    <row r="365" spans="1:15" x14ac:dyDescent="0.25">
      <c r="A365" t="s">
        <v>688</v>
      </c>
      <c r="B365" t="s">
        <v>689</v>
      </c>
      <c r="C365">
        <v>168814</v>
      </c>
      <c r="D365">
        <v>168814</v>
      </c>
      <c r="H365">
        <v>0</v>
      </c>
      <c r="I365">
        <v>10</v>
      </c>
      <c r="J365">
        <v>10</v>
      </c>
      <c r="K365">
        <v>0</v>
      </c>
      <c r="L365">
        <v>0</v>
      </c>
      <c r="M365">
        <v>20</v>
      </c>
    </row>
    <row r="366" spans="1:15" x14ac:dyDescent="0.25">
      <c r="A366" t="s">
        <v>690</v>
      </c>
      <c r="B366" t="s">
        <v>691</v>
      </c>
      <c r="C366">
        <v>168854</v>
      </c>
      <c r="D366">
        <v>168854</v>
      </c>
    </row>
    <row r="367" spans="1:15" x14ac:dyDescent="0.25">
      <c r="A367" t="s">
        <v>692</v>
      </c>
      <c r="B367" t="s">
        <v>693</v>
      </c>
      <c r="C367">
        <v>164382</v>
      </c>
      <c r="D367">
        <v>164382</v>
      </c>
    </row>
    <row r="368" spans="1:15" x14ac:dyDescent="0.25">
      <c r="A368" t="s">
        <v>694</v>
      </c>
      <c r="B368" t="s">
        <v>695</v>
      </c>
      <c r="C368">
        <v>168400</v>
      </c>
      <c r="D368">
        <v>168400</v>
      </c>
      <c r="H368">
        <v>10</v>
      </c>
      <c r="I368">
        <v>40</v>
      </c>
      <c r="J368">
        <v>10</v>
      </c>
      <c r="K368">
        <v>0</v>
      </c>
      <c r="L368">
        <v>0</v>
      </c>
      <c r="M368">
        <v>60</v>
      </c>
    </row>
    <row r="369" spans="1:15" x14ac:dyDescent="0.25">
      <c r="A369" t="s">
        <v>696</v>
      </c>
      <c r="B369" t="s">
        <v>697</v>
      </c>
      <c r="C369">
        <v>162295</v>
      </c>
      <c r="D369">
        <v>162295</v>
      </c>
      <c r="E369">
        <v>50</v>
      </c>
      <c r="F369">
        <v>40</v>
      </c>
      <c r="G369">
        <v>50</v>
      </c>
      <c r="O369">
        <v>140</v>
      </c>
    </row>
    <row r="370" spans="1:15" x14ac:dyDescent="0.25">
      <c r="A370" t="s">
        <v>698</v>
      </c>
      <c r="B370" t="s">
        <v>699</v>
      </c>
      <c r="C370">
        <v>167317</v>
      </c>
      <c r="D370">
        <v>167317</v>
      </c>
      <c r="H370">
        <v>10</v>
      </c>
      <c r="I370">
        <v>30</v>
      </c>
      <c r="J370">
        <v>20</v>
      </c>
      <c r="K370">
        <v>10</v>
      </c>
      <c r="L370">
        <v>0</v>
      </c>
      <c r="M370">
        <v>70</v>
      </c>
    </row>
    <row r="371" spans="1:15" x14ac:dyDescent="0.25">
      <c r="A371" t="s">
        <v>700</v>
      </c>
      <c r="B371" t="s">
        <v>701</v>
      </c>
      <c r="C371">
        <v>166736</v>
      </c>
      <c r="D371">
        <v>166736</v>
      </c>
    </row>
    <row r="372" spans="1:15" x14ac:dyDescent="0.25">
      <c r="A372" t="s">
        <v>702</v>
      </c>
      <c r="B372" t="s">
        <v>703</v>
      </c>
      <c r="C372">
        <v>167830</v>
      </c>
      <c r="D372">
        <v>167830</v>
      </c>
      <c r="E372">
        <v>30</v>
      </c>
      <c r="F372">
        <v>20</v>
      </c>
      <c r="G372">
        <v>50</v>
      </c>
      <c r="O372">
        <v>100</v>
      </c>
    </row>
    <row r="373" spans="1:15" x14ac:dyDescent="0.25">
      <c r="A373" t="s">
        <v>704</v>
      </c>
      <c r="B373" t="s">
        <v>705</v>
      </c>
      <c r="C373">
        <v>167818</v>
      </c>
      <c r="D373">
        <v>167818</v>
      </c>
    </row>
    <row r="374" spans="1:15" x14ac:dyDescent="0.25">
      <c r="A374" t="s">
        <v>706</v>
      </c>
      <c r="B374" t="s">
        <v>707</v>
      </c>
      <c r="C374">
        <v>166859</v>
      </c>
      <c r="D374">
        <v>166859</v>
      </c>
      <c r="E374">
        <v>20</v>
      </c>
      <c r="F374">
        <v>20</v>
      </c>
      <c r="G374">
        <v>40</v>
      </c>
      <c r="O374">
        <v>80</v>
      </c>
    </row>
    <row r="375" spans="1:15" x14ac:dyDescent="0.25">
      <c r="A375" t="s">
        <v>708</v>
      </c>
      <c r="B375" t="s">
        <v>636</v>
      </c>
      <c r="C375">
        <v>156691</v>
      </c>
      <c r="D375">
        <v>156691</v>
      </c>
      <c r="E375">
        <v>30</v>
      </c>
      <c r="F375">
        <v>40</v>
      </c>
      <c r="G375">
        <v>20</v>
      </c>
      <c r="O375">
        <v>90</v>
      </c>
    </row>
    <row r="376" spans="1:15" x14ac:dyDescent="0.25">
      <c r="A376" t="s">
        <v>709</v>
      </c>
      <c r="B376" t="s">
        <v>710</v>
      </c>
      <c r="C376">
        <v>162979</v>
      </c>
      <c r="D376">
        <v>162979</v>
      </c>
      <c r="E376">
        <v>20</v>
      </c>
      <c r="F376">
        <v>40</v>
      </c>
      <c r="G376">
        <v>60</v>
      </c>
      <c r="O376">
        <v>120</v>
      </c>
    </row>
    <row r="377" spans="1:15" x14ac:dyDescent="0.25">
      <c r="A377" t="s">
        <v>711</v>
      </c>
      <c r="B377" t="s">
        <v>174</v>
      </c>
      <c r="C377">
        <v>166770</v>
      </c>
      <c r="D377">
        <v>166770</v>
      </c>
      <c r="H377">
        <v>0</v>
      </c>
      <c r="I377">
        <v>30</v>
      </c>
      <c r="J377">
        <v>10</v>
      </c>
      <c r="K377">
        <v>10</v>
      </c>
      <c r="L377">
        <v>10</v>
      </c>
      <c r="M377">
        <v>60</v>
      </c>
    </row>
    <row r="378" spans="1:15" x14ac:dyDescent="0.25">
      <c r="A378" t="s">
        <v>712</v>
      </c>
      <c r="B378" t="s">
        <v>713</v>
      </c>
      <c r="C378">
        <v>165671</v>
      </c>
      <c r="D378">
        <v>165671</v>
      </c>
      <c r="E378">
        <v>10</v>
      </c>
      <c r="F378">
        <v>20</v>
      </c>
      <c r="G378">
        <v>40</v>
      </c>
      <c r="O378">
        <v>70</v>
      </c>
    </row>
    <row r="379" spans="1:15" x14ac:dyDescent="0.25">
      <c r="A379" t="s">
        <v>714</v>
      </c>
      <c r="B379" t="s">
        <v>715</v>
      </c>
      <c r="C379">
        <v>167192</v>
      </c>
      <c r="D379">
        <v>167192</v>
      </c>
      <c r="H379">
        <v>0</v>
      </c>
      <c r="I379">
        <v>30</v>
      </c>
      <c r="J379">
        <v>20</v>
      </c>
      <c r="K379">
        <v>0</v>
      </c>
      <c r="L379">
        <v>0</v>
      </c>
      <c r="M379">
        <v>50</v>
      </c>
    </row>
    <row r="380" spans="1:15" x14ac:dyDescent="0.25">
      <c r="A380" t="s">
        <v>716</v>
      </c>
      <c r="B380" t="s">
        <v>717</v>
      </c>
      <c r="C380">
        <v>165691</v>
      </c>
      <c r="D380">
        <v>165691</v>
      </c>
      <c r="E380">
        <v>20</v>
      </c>
      <c r="F380">
        <v>20</v>
      </c>
      <c r="G380">
        <v>10</v>
      </c>
      <c r="O380">
        <v>50</v>
      </c>
    </row>
    <row r="381" spans="1:15" x14ac:dyDescent="0.25">
      <c r="A381" t="s">
        <v>718</v>
      </c>
      <c r="B381" t="s">
        <v>486</v>
      </c>
      <c r="C381">
        <v>166729</v>
      </c>
      <c r="D381">
        <v>166729</v>
      </c>
      <c r="E381">
        <v>20</v>
      </c>
      <c r="F381">
        <v>30</v>
      </c>
      <c r="G381">
        <v>10</v>
      </c>
      <c r="O381">
        <v>60</v>
      </c>
    </row>
    <row r="382" spans="1:15" x14ac:dyDescent="0.25">
      <c r="A382" t="s">
        <v>719</v>
      </c>
      <c r="B382" t="s">
        <v>720</v>
      </c>
      <c r="C382">
        <v>165301</v>
      </c>
      <c r="D382">
        <v>165301</v>
      </c>
      <c r="E382">
        <v>30</v>
      </c>
      <c r="F382">
        <v>20</v>
      </c>
      <c r="G382">
        <v>0</v>
      </c>
      <c r="O382">
        <v>50</v>
      </c>
    </row>
    <row r="383" spans="1:15" x14ac:dyDescent="0.25">
      <c r="A383" t="s">
        <v>721</v>
      </c>
      <c r="B383" t="s">
        <v>722</v>
      </c>
      <c r="C383">
        <v>166760</v>
      </c>
      <c r="D383">
        <v>166760</v>
      </c>
      <c r="E383">
        <v>30</v>
      </c>
      <c r="F383">
        <v>0</v>
      </c>
      <c r="G383">
        <v>20</v>
      </c>
      <c r="O383">
        <v>50</v>
      </c>
    </row>
    <row r="384" spans="1:15" x14ac:dyDescent="0.25">
      <c r="A384" t="s">
        <v>723</v>
      </c>
      <c r="B384" t="s">
        <v>270</v>
      </c>
      <c r="C384">
        <v>166167</v>
      </c>
      <c r="D384">
        <v>166167</v>
      </c>
    </row>
    <row r="385" spans="1:18" x14ac:dyDescent="0.25">
      <c r="A385" t="s">
        <v>724</v>
      </c>
      <c r="B385" t="s">
        <v>725</v>
      </c>
      <c r="C385">
        <v>164604</v>
      </c>
      <c r="D385">
        <v>164604</v>
      </c>
    </row>
    <row r="386" spans="1:18" x14ac:dyDescent="0.25">
      <c r="A386" t="s">
        <v>726</v>
      </c>
      <c r="B386" t="s">
        <v>727</v>
      </c>
      <c r="C386">
        <v>167319</v>
      </c>
      <c r="D386">
        <v>167319</v>
      </c>
      <c r="H386">
        <v>20</v>
      </c>
      <c r="I386">
        <v>40</v>
      </c>
      <c r="J386">
        <v>20</v>
      </c>
      <c r="K386">
        <v>0</v>
      </c>
      <c r="L386">
        <v>0</v>
      </c>
      <c r="M386">
        <v>80</v>
      </c>
    </row>
    <row r="387" spans="1:18" x14ac:dyDescent="0.25">
      <c r="A387" t="s">
        <v>728</v>
      </c>
      <c r="B387" t="s">
        <v>729</v>
      </c>
      <c r="C387">
        <v>166330</v>
      </c>
      <c r="D387">
        <v>166330</v>
      </c>
      <c r="E387">
        <v>20</v>
      </c>
      <c r="F387">
        <v>10</v>
      </c>
      <c r="G387">
        <v>30</v>
      </c>
      <c r="O387">
        <v>60</v>
      </c>
    </row>
    <row r="388" spans="1:18" x14ac:dyDescent="0.25">
      <c r="A388" t="s">
        <v>730</v>
      </c>
      <c r="B388" t="s">
        <v>49</v>
      </c>
      <c r="C388">
        <v>167349</v>
      </c>
      <c r="D388">
        <v>167349</v>
      </c>
      <c r="H388">
        <v>10</v>
      </c>
      <c r="I388">
        <v>50</v>
      </c>
      <c r="J388">
        <v>20</v>
      </c>
      <c r="K388">
        <v>0</v>
      </c>
      <c r="L388">
        <v>10</v>
      </c>
      <c r="M388">
        <v>90</v>
      </c>
    </row>
    <row r="389" spans="1:18" x14ac:dyDescent="0.25">
      <c r="A389" t="s">
        <v>731</v>
      </c>
      <c r="B389" t="s">
        <v>286</v>
      </c>
      <c r="C389">
        <v>165738</v>
      </c>
      <c r="D389">
        <v>165738</v>
      </c>
      <c r="R389">
        <v>10</v>
      </c>
    </row>
    <row r="390" spans="1:18" x14ac:dyDescent="0.25">
      <c r="A390" t="s">
        <v>732</v>
      </c>
      <c r="B390" t="s">
        <v>733</v>
      </c>
      <c r="C390">
        <v>167169</v>
      </c>
      <c r="D390">
        <v>167169</v>
      </c>
    </row>
    <row r="391" spans="1:18" x14ac:dyDescent="0.25">
      <c r="A391" t="s">
        <v>734</v>
      </c>
      <c r="B391" t="s">
        <v>735</v>
      </c>
      <c r="C391">
        <v>167582</v>
      </c>
      <c r="D391">
        <v>167582</v>
      </c>
      <c r="H391">
        <v>20</v>
      </c>
      <c r="I391">
        <v>50</v>
      </c>
      <c r="J391">
        <v>10</v>
      </c>
      <c r="K391">
        <v>10</v>
      </c>
      <c r="L391">
        <v>0</v>
      </c>
      <c r="M391">
        <v>90</v>
      </c>
    </row>
    <row r="392" spans="1:18" x14ac:dyDescent="0.25">
      <c r="A392" t="s">
        <v>736</v>
      </c>
      <c r="B392" t="s">
        <v>737</v>
      </c>
      <c r="C392">
        <v>167831</v>
      </c>
      <c r="D392">
        <v>167831</v>
      </c>
      <c r="H392">
        <v>10</v>
      </c>
      <c r="I392">
        <v>50</v>
      </c>
      <c r="J392">
        <v>10</v>
      </c>
      <c r="K392">
        <v>0</v>
      </c>
      <c r="L392">
        <v>10</v>
      </c>
      <c r="M392">
        <v>80</v>
      </c>
    </row>
    <row r="393" spans="1:18" x14ac:dyDescent="0.25">
      <c r="A393" t="s">
        <v>738</v>
      </c>
      <c r="B393" t="s">
        <v>739</v>
      </c>
      <c r="C393">
        <v>167067</v>
      </c>
      <c r="D393">
        <v>167067</v>
      </c>
    </row>
    <row r="394" spans="1:18" x14ac:dyDescent="0.25">
      <c r="A394" t="s">
        <v>740</v>
      </c>
      <c r="B394" t="s">
        <v>741</v>
      </c>
      <c r="C394">
        <v>166993</v>
      </c>
      <c r="D394">
        <v>166993</v>
      </c>
      <c r="H394">
        <v>10</v>
      </c>
      <c r="I394">
        <v>20</v>
      </c>
      <c r="J394">
        <v>20</v>
      </c>
      <c r="K394">
        <v>10</v>
      </c>
      <c r="L394">
        <v>0</v>
      </c>
      <c r="M394">
        <v>60</v>
      </c>
    </row>
    <row r="395" spans="1:18" x14ac:dyDescent="0.25">
      <c r="A395" t="s">
        <v>742</v>
      </c>
      <c r="B395" t="s">
        <v>130</v>
      </c>
      <c r="C395">
        <v>168865</v>
      </c>
      <c r="D395">
        <v>168865</v>
      </c>
      <c r="E395">
        <v>40</v>
      </c>
      <c r="F395">
        <v>20</v>
      </c>
      <c r="G395">
        <v>50</v>
      </c>
      <c r="O395">
        <v>110</v>
      </c>
    </row>
    <row r="396" spans="1:18" x14ac:dyDescent="0.25">
      <c r="A396" t="s">
        <v>743</v>
      </c>
      <c r="B396" t="s">
        <v>744</v>
      </c>
      <c r="C396">
        <v>168140</v>
      </c>
      <c r="D396">
        <v>168140</v>
      </c>
    </row>
    <row r="397" spans="1:18" x14ac:dyDescent="0.25">
      <c r="A397" t="s">
        <v>745</v>
      </c>
      <c r="B397" t="s">
        <v>746</v>
      </c>
      <c r="C397">
        <v>168739</v>
      </c>
      <c r="D397">
        <v>168739</v>
      </c>
    </row>
    <row r="398" spans="1:18" x14ac:dyDescent="0.25">
      <c r="A398" t="s">
        <v>747</v>
      </c>
      <c r="B398" t="s">
        <v>748</v>
      </c>
      <c r="C398">
        <v>166895</v>
      </c>
      <c r="D398">
        <v>166895</v>
      </c>
      <c r="E398">
        <v>10</v>
      </c>
      <c r="F398">
        <v>30</v>
      </c>
      <c r="G398">
        <v>30</v>
      </c>
      <c r="O398">
        <v>70</v>
      </c>
    </row>
    <row r="399" spans="1:18" x14ac:dyDescent="0.25">
      <c r="A399" t="s">
        <v>749</v>
      </c>
      <c r="B399" t="s">
        <v>750</v>
      </c>
      <c r="C399">
        <v>167652</v>
      </c>
      <c r="D399">
        <v>167652</v>
      </c>
      <c r="H399">
        <v>20</v>
      </c>
      <c r="I399">
        <v>40</v>
      </c>
      <c r="J399">
        <v>10</v>
      </c>
      <c r="K399">
        <v>10</v>
      </c>
      <c r="L399">
        <v>10</v>
      </c>
      <c r="M399">
        <v>90</v>
      </c>
    </row>
    <row r="400" spans="1:18" x14ac:dyDescent="0.25">
      <c r="A400" t="s">
        <v>751</v>
      </c>
      <c r="B400" t="s">
        <v>508</v>
      </c>
      <c r="C400">
        <v>162763</v>
      </c>
      <c r="D400">
        <v>162763</v>
      </c>
      <c r="E400">
        <v>20</v>
      </c>
      <c r="F400">
        <v>0</v>
      </c>
      <c r="G400">
        <v>10</v>
      </c>
      <c r="O400">
        <v>30</v>
      </c>
    </row>
    <row r="401" spans="1:15" x14ac:dyDescent="0.25">
      <c r="A401" t="s">
        <v>752</v>
      </c>
      <c r="B401" t="s">
        <v>753</v>
      </c>
      <c r="C401">
        <v>166713</v>
      </c>
      <c r="D401">
        <v>166713</v>
      </c>
      <c r="H401">
        <v>10</v>
      </c>
      <c r="I401">
        <v>40</v>
      </c>
      <c r="J401">
        <v>10</v>
      </c>
      <c r="K401">
        <v>0</v>
      </c>
      <c r="L401">
        <v>0</v>
      </c>
      <c r="M401">
        <v>60</v>
      </c>
    </row>
    <row r="402" spans="1:15" x14ac:dyDescent="0.25">
      <c r="A402" t="s">
        <v>754</v>
      </c>
      <c r="B402" t="s">
        <v>755</v>
      </c>
      <c r="C402">
        <v>168877</v>
      </c>
      <c r="D402">
        <v>168877</v>
      </c>
      <c r="H402">
        <v>10</v>
      </c>
      <c r="I402">
        <v>0</v>
      </c>
      <c r="J402">
        <v>0</v>
      </c>
      <c r="M402">
        <v>10</v>
      </c>
    </row>
    <row r="403" spans="1:15" x14ac:dyDescent="0.25">
      <c r="A403" t="s">
        <v>756</v>
      </c>
      <c r="B403" t="s">
        <v>757</v>
      </c>
      <c r="C403">
        <v>168444</v>
      </c>
      <c r="D403">
        <v>168444</v>
      </c>
      <c r="E403">
        <v>40</v>
      </c>
      <c r="F403">
        <v>20</v>
      </c>
      <c r="G403">
        <v>40</v>
      </c>
      <c r="O403">
        <v>100</v>
      </c>
    </row>
    <row r="404" spans="1:15" x14ac:dyDescent="0.25">
      <c r="A404" t="s">
        <v>758</v>
      </c>
      <c r="B404" t="s">
        <v>759</v>
      </c>
      <c r="C404">
        <v>167135</v>
      </c>
      <c r="D404">
        <v>167135</v>
      </c>
      <c r="E404">
        <v>20</v>
      </c>
      <c r="F404">
        <v>30</v>
      </c>
      <c r="G404">
        <v>40</v>
      </c>
      <c r="O404">
        <v>90</v>
      </c>
    </row>
    <row r="405" spans="1:15" x14ac:dyDescent="0.25">
      <c r="A405" t="s">
        <v>760</v>
      </c>
      <c r="B405" t="s">
        <v>761</v>
      </c>
      <c r="C405">
        <v>168148</v>
      </c>
      <c r="D405">
        <v>168148</v>
      </c>
      <c r="H405">
        <v>0</v>
      </c>
      <c r="I405" t="s">
        <v>20</v>
      </c>
      <c r="J405">
        <v>10</v>
      </c>
      <c r="M405">
        <v>10</v>
      </c>
    </row>
    <row r="406" spans="1:15" x14ac:dyDescent="0.25">
      <c r="A406" t="s">
        <v>762</v>
      </c>
      <c r="B406" t="s">
        <v>650</v>
      </c>
      <c r="C406">
        <v>165852</v>
      </c>
      <c r="D406">
        <v>165852</v>
      </c>
    </row>
    <row r="407" spans="1:15" x14ac:dyDescent="0.25">
      <c r="A407" t="s">
        <v>763</v>
      </c>
      <c r="B407" t="s">
        <v>764</v>
      </c>
      <c r="C407">
        <v>166290</v>
      </c>
      <c r="D407">
        <v>166290</v>
      </c>
      <c r="H407">
        <v>20</v>
      </c>
      <c r="I407">
        <v>40</v>
      </c>
      <c r="J407">
        <v>10</v>
      </c>
      <c r="M407">
        <v>70</v>
      </c>
    </row>
    <row r="408" spans="1:15" x14ac:dyDescent="0.25">
      <c r="A408" t="s">
        <v>765</v>
      </c>
      <c r="B408" t="s">
        <v>766</v>
      </c>
      <c r="C408">
        <v>168270</v>
      </c>
      <c r="D408">
        <v>168270</v>
      </c>
      <c r="E408">
        <v>0</v>
      </c>
      <c r="F408">
        <v>20</v>
      </c>
      <c r="G408">
        <v>40</v>
      </c>
      <c r="O408">
        <v>60</v>
      </c>
    </row>
    <row r="409" spans="1:15" x14ac:dyDescent="0.25">
      <c r="A409" t="s">
        <v>767</v>
      </c>
      <c r="B409" t="s">
        <v>768</v>
      </c>
      <c r="C409">
        <v>166233</v>
      </c>
      <c r="D409">
        <v>166233</v>
      </c>
      <c r="H409">
        <v>10</v>
      </c>
      <c r="I409">
        <v>20</v>
      </c>
      <c r="J409">
        <v>0</v>
      </c>
      <c r="K409">
        <v>0</v>
      </c>
      <c r="L409">
        <v>0</v>
      </c>
      <c r="M409">
        <v>30</v>
      </c>
    </row>
    <row r="410" spans="1:15" x14ac:dyDescent="0.25">
      <c r="A410" t="s">
        <v>769</v>
      </c>
      <c r="B410" t="s">
        <v>770</v>
      </c>
      <c r="C410">
        <v>167359</v>
      </c>
      <c r="D410">
        <v>167359</v>
      </c>
    </row>
    <row r="411" spans="1:15" x14ac:dyDescent="0.25">
      <c r="A411" t="s">
        <v>771</v>
      </c>
      <c r="B411" t="s">
        <v>772</v>
      </c>
      <c r="C411">
        <v>168661</v>
      </c>
      <c r="D411">
        <v>168661</v>
      </c>
      <c r="H411">
        <v>20</v>
      </c>
      <c r="I411">
        <v>40</v>
      </c>
      <c r="J411">
        <v>10</v>
      </c>
      <c r="K411">
        <v>10</v>
      </c>
      <c r="L411">
        <v>0</v>
      </c>
      <c r="M411">
        <v>80</v>
      </c>
    </row>
    <row r="412" spans="1:15" x14ac:dyDescent="0.25">
      <c r="A412" t="s">
        <v>773</v>
      </c>
      <c r="B412" t="s">
        <v>774</v>
      </c>
      <c r="C412">
        <v>165555</v>
      </c>
      <c r="D412">
        <v>165555</v>
      </c>
      <c r="H412">
        <v>20</v>
      </c>
      <c r="I412">
        <v>30</v>
      </c>
      <c r="J412">
        <v>20</v>
      </c>
      <c r="M412">
        <v>70</v>
      </c>
    </row>
    <row r="413" spans="1:15" x14ac:dyDescent="0.25">
      <c r="A413" t="s">
        <v>775</v>
      </c>
      <c r="B413" t="s">
        <v>396</v>
      </c>
      <c r="C413">
        <v>168524</v>
      </c>
      <c r="D413">
        <v>168524</v>
      </c>
      <c r="E413">
        <v>20</v>
      </c>
      <c r="F413">
        <v>20</v>
      </c>
      <c r="G413">
        <v>60</v>
      </c>
      <c r="O413">
        <v>100</v>
      </c>
    </row>
    <row r="414" spans="1:15" x14ac:dyDescent="0.25">
      <c r="A414" t="s">
        <v>776</v>
      </c>
      <c r="B414" t="s">
        <v>777</v>
      </c>
      <c r="C414">
        <v>167448</v>
      </c>
      <c r="D414">
        <v>167448</v>
      </c>
      <c r="H414">
        <v>0</v>
      </c>
      <c r="I414">
        <v>30</v>
      </c>
      <c r="J414">
        <v>20</v>
      </c>
      <c r="K414">
        <v>0</v>
      </c>
      <c r="L414">
        <v>0</v>
      </c>
      <c r="M414">
        <v>50</v>
      </c>
    </row>
    <row r="415" spans="1:15" x14ac:dyDescent="0.25">
      <c r="A415" t="s">
        <v>778</v>
      </c>
      <c r="B415" t="s">
        <v>779</v>
      </c>
      <c r="C415">
        <v>168535</v>
      </c>
      <c r="D415">
        <v>168535</v>
      </c>
      <c r="H415">
        <v>10</v>
      </c>
      <c r="I415">
        <v>20</v>
      </c>
      <c r="J415">
        <v>0</v>
      </c>
      <c r="K415">
        <v>0</v>
      </c>
      <c r="L415">
        <v>10</v>
      </c>
      <c r="M415">
        <v>40</v>
      </c>
    </row>
    <row r="416" spans="1:15" x14ac:dyDescent="0.25">
      <c r="A416" t="s">
        <v>780</v>
      </c>
      <c r="B416" t="s">
        <v>781</v>
      </c>
      <c r="C416">
        <v>168743</v>
      </c>
      <c r="D416">
        <v>168743</v>
      </c>
      <c r="H416">
        <v>0</v>
      </c>
      <c r="I416">
        <v>10</v>
      </c>
      <c r="J416">
        <v>10</v>
      </c>
      <c r="K416">
        <v>0</v>
      </c>
      <c r="L416">
        <v>0</v>
      </c>
      <c r="M416">
        <v>20</v>
      </c>
    </row>
    <row r="417" spans="1:18" x14ac:dyDescent="0.25">
      <c r="A417" t="s">
        <v>782</v>
      </c>
      <c r="B417" t="s">
        <v>577</v>
      </c>
      <c r="C417">
        <v>166471</v>
      </c>
      <c r="D417">
        <v>166471</v>
      </c>
      <c r="H417">
        <v>20</v>
      </c>
      <c r="I417">
        <v>40</v>
      </c>
      <c r="J417">
        <v>20</v>
      </c>
      <c r="K417">
        <v>10</v>
      </c>
      <c r="L417">
        <v>0</v>
      </c>
      <c r="M417">
        <v>90</v>
      </c>
    </row>
    <row r="418" spans="1:18" x14ac:dyDescent="0.25">
      <c r="A418" t="s">
        <v>783</v>
      </c>
      <c r="B418" t="s">
        <v>784</v>
      </c>
      <c r="C418">
        <v>166201</v>
      </c>
      <c r="D418">
        <v>166201</v>
      </c>
    </row>
    <row r="419" spans="1:18" x14ac:dyDescent="0.25">
      <c r="A419" t="s">
        <v>785</v>
      </c>
      <c r="B419" t="s">
        <v>761</v>
      </c>
      <c r="C419">
        <v>144321</v>
      </c>
      <c r="D419">
        <v>144321</v>
      </c>
    </row>
    <row r="420" spans="1:18" x14ac:dyDescent="0.25">
      <c r="A420" t="s">
        <v>786</v>
      </c>
      <c r="B420" t="s">
        <v>787</v>
      </c>
      <c r="C420">
        <v>168620</v>
      </c>
      <c r="D420">
        <v>168620</v>
      </c>
      <c r="R420">
        <v>10</v>
      </c>
    </row>
    <row r="421" spans="1:18" x14ac:dyDescent="0.25">
      <c r="A421" t="s">
        <v>788</v>
      </c>
      <c r="B421" t="s">
        <v>789</v>
      </c>
      <c r="C421">
        <v>168221</v>
      </c>
      <c r="D421">
        <v>168221</v>
      </c>
      <c r="H421">
        <v>0</v>
      </c>
      <c r="I421">
        <v>30</v>
      </c>
      <c r="J421">
        <v>0</v>
      </c>
      <c r="K421">
        <v>0</v>
      </c>
      <c r="L421">
        <v>10</v>
      </c>
      <c r="M421">
        <v>40</v>
      </c>
    </row>
    <row r="422" spans="1:18" x14ac:dyDescent="0.25">
      <c r="A422" t="s">
        <v>790</v>
      </c>
      <c r="B422" t="s">
        <v>791</v>
      </c>
      <c r="C422">
        <v>164871</v>
      </c>
      <c r="D422">
        <v>164871</v>
      </c>
    </row>
    <row r="423" spans="1:18" x14ac:dyDescent="0.25">
      <c r="A423" t="s">
        <v>792</v>
      </c>
      <c r="B423" t="s">
        <v>793</v>
      </c>
      <c r="C423">
        <v>166777</v>
      </c>
      <c r="D423">
        <v>166777</v>
      </c>
      <c r="H423">
        <v>0</v>
      </c>
      <c r="I423">
        <v>30</v>
      </c>
      <c r="J423">
        <v>20</v>
      </c>
      <c r="K423">
        <v>10</v>
      </c>
      <c r="L423">
        <v>0</v>
      </c>
      <c r="M423">
        <v>60</v>
      </c>
    </row>
    <row r="424" spans="1:18" x14ac:dyDescent="0.25">
      <c r="A424" t="s">
        <v>794</v>
      </c>
      <c r="B424" t="s">
        <v>795</v>
      </c>
      <c r="C424">
        <v>167140</v>
      </c>
      <c r="D424">
        <v>167140</v>
      </c>
      <c r="H424">
        <v>20</v>
      </c>
      <c r="I424">
        <v>20</v>
      </c>
      <c r="J424">
        <v>10</v>
      </c>
      <c r="K424">
        <v>0</v>
      </c>
      <c r="L424">
        <v>10</v>
      </c>
      <c r="M424">
        <v>60</v>
      </c>
    </row>
    <row r="425" spans="1:18" x14ac:dyDescent="0.25">
      <c r="A425" t="s">
        <v>796</v>
      </c>
      <c r="B425" t="s">
        <v>797</v>
      </c>
      <c r="C425">
        <v>162575</v>
      </c>
      <c r="D425">
        <v>162575</v>
      </c>
    </row>
    <row r="426" spans="1:18" x14ac:dyDescent="0.25">
      <c r="A426" t="s">
        <v>798</v>
      </c>
      <c r="B426" t="s">
        <v>799</v>
      </c>
      <c r="C426">
        <v>166432</v>
      </c>
      <c r="D426">
        <v>166432</v>
      </c>
      <c r="H426">
        <v>20</v>
      </c>
      <c r="I426">
        <v>50</v>
      </c>
      <c r="J426">
        <v>10</v>
      </c>
      <c r="K426">
        <v>10</v>
      </c>
      <c r="L426">
        <v>0</v>
      </c>
      <c r="M426">
        <v>90</v>
      </c>
    </row>
    <row r="427" spans="1:18" x14ac:dyDescent="0.25">
      <c r="A427" t="s">
        <v>800</v>
      </c>
      <c r="B427" t="s">
        <v>512</v>
      </c>
      <c r="C427">
        <v>168567</v>
      </c>
      <c r="D427">
        <v>168567</v>
      </c>
    </row>
    <row r="428" spans="1:18" x14ac:dyDescent="0.25">
      <c r="A428" t="s">
        <v>801</v>
      </c>
      <c r="B428" t="s">
        <v>802</v>
      </c>
      <c r="C428">
        <v>163045</v>
      </c>
      <c r="D428">
        <v>163045</v>
      </c>
    </row>
    <row r="429" spans="1:18" x14ac:dyDescent="0.25">
      <c r="A429" t="s">
        <v>803</v>
      </c>
      <c r="B429" t="s">
        <v>804</v>
      </c>
      <c r="C429">
        <v>168624</v>
      </c>
      <c r="D429">
        <v>168624</v>
      </c>
      <c r="E429" t="s">
        <v>20</v>
      </c>
    </row>
    <row r="430" spans="1:18" x14ac:dyDescent="0.25">
      <c r="A430" t="s">
        <v>805</v>
      </c>
      <c r="B430" t="s">
        <v>806</v>
      </c>
      <c r="C430">
        <v>166845</v>
      </c>
      <c r="D430">
        <v>166845</v>
      </c>
      <c r="E430">
        <v>10</v>
      </c>
      <c r="F430">
        <v>10</v>
      </c>
      <c r="G430">
        <v>40</v>
      </c>
      <c r="O430">
        <v>60</v>
      </c>
    </row>
    <row r="431" spans="1:18" x14ac:dyDescent="0.25">
      <c r="A431" t="s">
        <v>807</v>
      </c>
      <c r="B431" t="s">
        <v>808</v>
      </c>
      <c r="C431">
        <v>168476</v>
      </c>
      <c r="D431">
        <v>168476</v>
      </c>
      <c r="H431">
        <v>20</v>
      </c>
      <c r="I431">
        <v>30</v>
      </c>
      <c r="J431">
        <v>10</v>
      </c>
      <c r="K431">
        <v>0</v>
      </c>
      <c r="L431">
        <v>10</v>
      </c>
      <c r="M431">
        <v>70</v>
      </c>
    </row>
    <row r="432" spans="1:18" x14ac:dyDescent="0.25">
      <c r="A432" t="s">
        <v>809</v>
      </c>
      <c r="B432" t="s">
        <v>99</v>
      </c>
      <c r="C432">
        <v>167540</v>
      </c>
      <c r="D432">
        <v>167540</v>
      </c>
      <c r="E432">
        <v>0</v>
      </c>
      <c r="F432">
        <v>10</v>
      </c>
      <c r="G432">
        <v>30</v>
      </c>
      <c r="O432">
        <v>40</v>
      </c>
    </row>
    <row r="433" spans="1:18" x14ac:dyDescent="0.25">
      <c r="A433" t="s">
        <v>810</v>
      </c>
      <c r="B433" t="s">
        <v>811</v>
      </c>
      <c r="C433">
        <v>166700</v>
      </c>
      <c r="D433">
        <v>166700</v>
      </c>
      <c r="H433">
        <v>0</v>
      </c>
      <c r="I433">
        <v>20</v>
      </c>
      <c r="J433">
        <v>0</v>
      </c>
      <c r="K433">
        <v>10</v>
      </c>
      <c r="L433">
        <v>10</v>
      </c>
      <c r="M433">
        <v>40</v>
      </c>
    </row>
    <row r="434" spans="1:18" x14ac:dyDescent="0.25">
      <c r="A434" t="s">
        <v>812</v>
      </c>
      <c r="B434" t="s">
        <v>813</v>
      </c>
      <c r="C434">
        <v>166179</v>
      </c>
      <c r="D434">
        <v>166179</v>
      </c>
    </row>
    <row r="435" spans="1:18" x14ac:dyDescent="0.25">
      <c r="A435" t="s">
        <v>814</v>
      </c>
      <c r="B435" t="s">
        <v>197</v>
      </c>
      <c r="C435">
        <v>165936</v>
      </c>
      <c r="D435">
        <v>165936</v>
      </c>
      <c r="E435">
        <v>40</v>
      </c>
      <c r="F435">
        <v>20</v>
      </c>
      <c r="G435">
        <v>30</v>
      </c>
      <c r="O435">
        <v>90</v>
      </c>
    </row>
    <row r="436" spans="1:18" x14ac:dyDescent="0.25">
      <c r="A436" t="s">
        <v>815</v>
      </c>
      <c r="B436" t="s">
        <v>45</v>
      </c>
      <c r="C436">
        <v>165972</v>
      </c>
      <c r="D436">
        <v>165972</v>
      </c>
      <c r="H436">
        <v>20</v>
      </c>
      <c r="I436">
        <v>20</v>
      </c>
      <c r="J436">
        <v>20</v>
      </c>
      <c r="K436">
        <v>10</v>
      </c>
      <c r="L436">
        <v>0</v>
      </c>
      <c r="M436">
        <v>70</v>
      </c>
    </row>
    <row r="437" spans="1:18" x14ac:dyDescent="0.25">
      <c r="A437" t="s">
        <v>816</v>
      </c>
      <c r="B437" t="s">
        <v>340</v>
      </c>
      <c r="C437">
        <v>167836</v>
      </c>
      <c r="D437">
        <v>167836</v>
      </c>
      <c r="E437">
        <v>0</v>
      </c>
      <c r="F437">
        <v>20</v>
      </c>
      <c r="G437">
        <v>40</v>
      </c>
      <c r="O437">
        <v>60</v>
      </c>
    </row>
    <row r="438" spans="1:18" x14ac:dyDescent="0.25">
      <c r="A438" t="s">
        <v>817</v>
      </c>
      <c r="B438" t="s">
        <v>818</v>
      </c>
      <c r="C438">
        <v>165391</v>
      </c>
      <c r="D438">
        <v>165391</v>
      </c>
      <c r="H438">
        <v>10</v>
      </c>
      <c r="I438">
        <v>60</v>
      </c>
      <c r="J438">
        <v>20</v>
      </c>
      <c r="K438">
        <v>10</v>
      </c>
      <c r="L438">
        <v>0</v>
      </c>
      <c r="M438">
        <v>100</v>
      </c>
    </row>
    <row r="439" spans="1:18" x14ac:dyDescent="0.25">
      <c r="A439" t="s">
        <v>819</v>
      </c>
      <c r="B439" t="s">
        <v>510</v>
      </c>
      <c r="C439">
        <v>166916</v>
      </c>
      <c r="D439">
        <v>166916</v>
      </c>
      <c r="H439">
        <v>10</v>
      </c>
      <c r="I439">
        <v>20</v>
      </c>
      <c r="J439">
        <v>10</v>
      </c>
      <c r="M439">
        <v>40</v>
      </c>
    </row>
    <row r="440" spans="1:18" x14ac:dyDescent="0.25">
      <c r="A440" t="s">
        <v>820</v>
      </c>
      <c r="B440" t="s">
        <v>821</v>
      </c>
      <c r="C440">
        <v>168410</v>
      </c>
      <c r="D440">
        <v>168410</v>
      </c>
      <c r="E440">
        <v>20</v>
      </c>
      <c r="F440">
        <v>0</v>
      </c>
      <c r="G440">
        <v>10</v>
      </c>
      <c r="O440">
        <v>30</v>
      </c>
      <c r="R440" t="s">
        <v>20</v>
      </c>
    </row>
    <row r="441" spans="1:18" x14ac:dyDescent="0.25">
      <c r="A441" t="s">
        <v>822</v>
      </c>
      <c r="B441" t="s">
        <v>158</v>
      </c>
      <c r="C441">
        <v>166158</v>
      </c>
      <c r="D441">
        <v>166158</v>
      </c>
      <c r="E441">
        <v>40</v>
      </c>
      <c r="F441">
        <v>30</v>
      </c>
      <c r="G441">
        <v>30</v>
      </c>
      <c r="O441">
        <v>100</v>
      </c>
    </row>
    <row r="442" spans="1:18" x14ac:dyDescent="0.25">
      <c r="A442" t="s">
        <v>823</v>
      </c>
      <c r="B442" t="s">
        <v>824</v>
      </c>
      <c r="C442">
        <v>163339</v>
      </c>
      <c r="D442">
        <v>163339</v>
      </c>
    </row>
    <row r="443" spans="1:18" x14ac:dyDescent="0.25">
      <c r="A443" t="s">
        <v>825</v>
      </c>
      <c r="B443" t="s">
        <v>826</v>
      </c>
      <c r="C443">
        <v>166924</v>
      </c>
      <c r="D443">
        <v>166924</v>
      </c>
      <c r="E443">
        <v>50</v>
      </c>
      <c r="F443">
        <v>20</v>
      </c>
      <c r="G443">
        <v>50</v>
      </c>
      <c r="O443">
        <v>120</v>
      </c>
      <c r="R443">
        <v>10</v>
      </c>
    </row>
    <row r="444" spans="1:18" x14ac:dyDescent="0.25">
      <c r="A444" t="s">
        <v>827</v>
      </c>
      <c r="B444" t="s">
        <v>828</v>
      </c>
      <c r="C444">
        <v>164993</v>
      </c>
      <c r="D444">
        <v>164993</v>
      </c>
      <c r="E444">
        <v>30</v>
      </c>
      <c r="F444">
        <v>40</v>
      </c>
      <c r="G444">
        <v>20</v>
      </c>
      <c r="O444">
        <v>90</v>
      </c>
    </row>
    <row r="445" spans="1:18" x14ac:dyDescent="0.25">
      <c r="A445" t="s">
        <v>827</v>
      </c>
      <c r="B445" t="s">
        <v>367</v>
      </c>
      <c r="C445">
        <v>168517</v>
      </c>
      <c r="D445">
        <v>168517</v>
      </c>
    </row>
    <row r="446" spans="1:18" x14ac:dyDescent="0.25">
      <c r="A446" t="s">
        <v>829</v>
      </c>
      <c r="B446" t="s">
        <v>830</v>
      </c>
      <c r="C446">
        <v>168291</v>
      </c>
      <c r="D446">
        <v>168291</v>
      </c>
      <c r="H446">
        <v>0</v>
      </c>
      <c r="I446">
        <v>30</v>
      </c>
      <c r="J446">
        <v>20</v>
      </c>
      <c r="K446">
        <v>10</v>
      </c>
      <c r="L446">
        <v>10</v>
      </c>
      <c r="M446">
        <v>70</v>
      </c>
    </row>
    <row r="447" spans="1:18" x14ac:dyDescent="0.25">
      <c r="A447" t="s">
        <v>831</v>
      </c>
      <c r="B447" t="s">
        <v>832</v>
      </c>
      <c r="C447">
        <v>159357</v>
      </c>
      <c r="D447">
        <v>159357</v>
      </c>
      <c r="E447">
        <v>40</v>
      </c>
      <c r="F447">
        <v>30</v>
      </c>
      <c r="G447">
        <v>50</v>
      </c>
      <c r="O447">
        <v>120</v>
      </c>
    </row>
    <row r="448" spans="1:18" x14ac:dyDescent="0.25">
      <c r="A448" t="s">
        <v>833</v>
      </c>
      <c r="B448" t="s">
        <v>834</v>
      </c>
      <c r="C448">
        <v>164461</v>
      </c>
      <c r="D448">
        <v>164461</v>
      </c>
    </row>
    <row r="449" spans="1:15" x14ac:dyDescent="0.25">
      <c r="A449" t="s">
        <v>835</v>
      </c>
      <c r="B449" t="s">
        <v>836</v>
      </c>
      <c r="C449">
        <v>167051</v>
      </c>
      <c r="D449">
        <v>167051</v>
      </c>
    </row>
    <row r="450" spans="1:15" x14ac:dyDescent="0.25">
      <c r="A450" t="s">
        <v>837</v>
      </c>
      <c r="B450" t="s">
        <v>209</v>
      </c>
      <c r="C450">
        <v>168425</v>
      </c>
      <c r="D450">
        <v>168425</v>
      </c>
      <c r="E450">
        <v>10</v>
      </c>
      <c r="F450">
        <v>10</v>
      </c>
      <c r="G450">
        <v>30</v>
      </c>
      <c r="O450">
        <v>50</v>
      </c>
    </row>
    <row r="451" spans="1:15" x14ac:dyDescent="0.25">
      <c r="A451" t="s">
        <v>838</v>
      </c>
      <c r="B451" t="s">
        <v>839</v>
      </c>
      <c r="C451">
        <v>167343</v>
      </c>
      <c r="D451">
        <v>167343</v>
      </c>
      <c r="H451">
        <v>20</v>
      </c>
      <c r="I451">
        <v>40</v>
      </c>
      <c r="J451">
        <v>10</v>
      </c>
      <c r="K451">
        <v>10</v>
      </c>
      <c r="L451">
        <v>0</v>
      </c>
      <c r="M451">
        <v>80</v>
      </c>
    </row>
    <row r="452" spans="1:15" x14ac:dyDescent="0.25">
      <c r="A452" t="s">
        <v>840</v>
      </c>
      <c r="B452" t="s">
        <v>841</v>
      </c>
      <c r="C452">
        <v>167852</v>
      </c>
      <c r="D452">
        <v>167852</v>
      </c>
      <c r="E452">
        <v>20</v>
      </c>
      <c r="F452">
        <v>30</v>
      </c>
      <c r="G452">
        <v>40</v>
      </c>
      <c r="O452">
        <v>90</v>
      </c>
    </row>
    <row r="453" spans="1:15" x14ac:dyDescent="0.25">
      <c r="A453" t="s">
        <v>842</v>
      </c>
      <c r="B453" t="s">
        <v>843</v>
      </c>
      <c r="C453">
        <v>166295</v>
      </c>
      <c r="D453">
        <v>166295</v>
      </c>
      <c r="E453">
        <v>20</v>
      </c>
      <c r="F453">
        <v>30</v>
      </c>
      <c r="G453">
        <v>0</v>
      </c>
      <c r="O453">
        <v>50</v>
      </c>
    </row>
    <row r="454" spans="1:15" x14ac:dyDescent="0.25">
      <c r="A454" t="s">
        <v>844</v>
      </c>
      <c r="B454" t="s">
        <v>45</v>
      </c>
      <c r="C454">
        <v>168810</v>
      </c>
      <c r="D454">
        <v>168810</v>
      </c>
    </row>
    <row r="455" spans="1:15" x14ac:dyDescent="0.25">
      <c r="A455" t="s">
        <v>845</v>
      </c>
      <c r="B455" t="s">
        <v>846</v>
      </c>
      <c r="C455" t="s">
        <v>847</v>
      </c>
    </row>
    <row r="456" spans="1:15" x14ac:dyDescent="0.25">
      <c r="A456" t="s">
        <v>848</v>
      </c>
      <c r="B456" t="s">
        <v>486</v>
      </c>
      <c r="C456">
        <v>168635</v>
      </c>
      <c r="D456">
        <v>168635</v>
      </c>
      <c r="E456">
        <v>30</v>
      </c>
      <c r="F456">
        <v>20</v>
      </c>
      <c r="G456">
        <v>30</v>
      </c>
      <c r="O456">
        <v>80</v>
      </c>
    </row>
    <row r="457" spans="1:15" x14ac:dyDescent="0.25">
      <c r="A457" t="s">
        <v>849</v>
      </c>
      <c r="B457" t="s">
        <v>850</v>
      </c>
      <c r="C457">
        <v>167888</v>
      </c>
      <c r="D457">
        <v>167888</v>
      </c>
      <c r="E457">
        <v>20</v>
      </c>
      <c r="F457">
        <v>20</v>
      </c>
      <c r="G457">
        <v>30</v>
      </c>
      <c r="O457">
        <v>70</v>
      </c>
    </row>
    <row r="458" spans="1:15" x14ac:dyDescent="0.25">
      <c r="A458" t="s">
        <v>851</v>
      </c>
      <c r="B458" t="s">
        <v>577</v>
      </c>
      <c r="C458">
        <v>166584</v>
      </c>
      <c r="D458">
        <v>166584</v>
      </c>
      <c r="E458">
        <v>40</v>
      </c>
      <c r="F458">
        <v>20</v>
      </c>
      <c r="G458">
        <v>50</v>
      </c>
      <c r="O458">
        <v>110</v>
      </c>
    </row>
    <row r="459" spans="1:15" x14ac:dyDescent="0.25">
      <c r="A459" t="s">
        <v>852</v>
      </c>
      <c r="B459" t="s">
        <v>218</v>
      </c>
      <c r="C459">
        <v>167363</v>
      </c>
      <c r="D459">
        <v>167363</v>
      </c>
      <c r="E459">
        <v>30</v>
      </c>
      <c r="F459">
        <v>10</v>
      </c>
      <c r="G459">
        <v>20</v>
      </c>
      <c r="O459">
        <v>60</v>
      </c>
    </row>
    <row r="460" spans="1:15" x14ac:dyDescent="0.25">
      <c r="A460" t="s">
        <v>853</v>
      </c>
      <c r="B460" t="s">
        <v>45</v>
      </c>
      <c r="C460">
        <v>167293</v>
      </c>
      <c r="D460">
        <v>167293</v>
      </c>
      <c r="E460">
        <v>10</v>
      </c>
      <c r="F460">
        <v>10</v>
      </c>
      <c r="G460">
        <v>20</v>
      </c>
      <c r="O460">
        <v>40</v>
      </c>
    </row>
    <row r="461" spans="1:15" x14ac:dyDescent="0.25">
      <c r="A461" t="s">
        <v>854</v>
      </c>
      <c r="B461" t="s">
        <v>55</v>
      </c>
      <c r="C461">
        <v>167194</v>
      </c>
      <c r="D461">
        <v>167194</v>
      </c>
    </row>
    <row r="462" spans="1:15" x14ac:dyDescent="0.25">
      <c r="A462" t="s">
        <v>855</v>
      </c>
      <c r="B462" t="s">
        <v>49</v>
      </c>
      <c r="C462">
        <v>165909</v>
      </c>
      <c r="D462">
        <v>165909</v>
      </c>
    </row>
    <row r="463" spans="1:15" x14ac:dyDescent="0.25">
      <c r="A463" t="s">
        <v>856</v>
      </c>
      <c r="B463" t="s">
        <v>857</v>
      </c>
      <c r="C463">
        <v>164272</v>
      </c>
      <c r="D463">
        <v>164272</v>
      </c>
      <c r="E463">
        <v>20</v>
      </c>
      <c r="F463">
        <v>30</v>
      </c>
      <c r="G463">
        <v>30</v>
      </c>
      <c r="O463">
        <v>80</v>
      </c>
    </row>
    <row r="464" spans="1:15" x14ac:dyDescent="0.25">
      <c r="A464" t="s">
        <v>858</v>
      </c>
      <c r="B464" t="s">
        <v>859</v>
      </c>
      <c r="C464">
        <v>167690</v>
      </c>
      <c r="D464">
        <v>167690</v>
      </c>
      <c r="E464">
        <v>20</v>
      </c>
      <c r="F464">
        <v>30</v>
      </c>
      <c r="G464">
        <v>40</v>
      </c>
      <c r="O464">
        <v>90</v>
      </c>
    </row>
    <row r="465" spans="1:18" x14ac:dyDescent="0.25">
      <c r="A465" t="s">
        <v>860</v>
      </c>
      <c r="B465" t="s">
        <v>861</v>
      </c>
      <c r="C465">
        <v>166372</v>
      </c>
      <c r="D465">
        <v>166372</v>
      </c>
      <c r="E465">
        <v>30</v>
      </c>
      <c r="F465">
        <v>20</v>
      </c>
      <c r="G465">
        <v>0</v>
      </c>
      <c r="O465">
        <v>50</v>
      </c>
    </row>
    <row r="466" spans="1:18" x14ac:dyDescent="0.25">
      <c r="A466" t="s">
        <v>862</v>
      </c>
      <c r="B466" t="s">
        <v>176</v>
      </c>
      <c r="C466">
        <v>167438</v>
      </c>
      <c r="D466">
        <v>167438</v>
      </c>
      <c r="H466">
        <v>10</v>
      </c>
      <c r="I466">
        <v>20</v>
      </c>
      <c r="J466">
        <v>10</v>
      </c>
      <c r="K466">
        <v>0</v>
      </c>
      <c r="L466">
        <v>0</v>
      </c>
      <c r="M466">
        <v>40</v>
      </c>
    </row>
    <row r="467" spans="1:18" x14ac:dyDescent="0.25">
      <c r="A467" t="s">
        <v>863</v>
      </c>
      <c r="B467" t="s">
        <v>636</v>
      </c>
      <c r="C467">
        <v>166875</v>
      </c>
      <c r="D467">
        <v>166875</v>
      </c>
      <c r="H467">
        <v>0</v>
      </c>
      <c r="I467">
        <v>10</v>
      </c>
      <c r="J467">
        <v>20</v>
      </c>
      <c r="K467">
        <v>0</v>
      </c>
      <c r="L467">
        <v>10</v>
      </c>
      <c r="M467">
        <v>40</v>
      </c>
    </row>
    <row r="468" spans="1:18" x14ac:dyDescent="0.25">
      <c r="A468" t="s">
        <v>864</v>
      </c>
      <c r="B468" t="s">
        <v>865</v>
      </c>
      <c r="C468">
        <v>167151</v>
      </c>
      <c r="D468">
        <v>167151</v>
      </c>
      <c r="E468">
        <v>10</v>
      </c>
      <c r="F468">
        <v>10</v>
      </c>
      <c r="G468">
        <v>50</v>
      </c>
      <c r="O468">
        <v>70</v>
      </c>
    </row>
    <row r="469" spans="1:18" x14ac:dyDescent="0.25">
      <c r="A469" t="s">
        <v>866</v>
      </c>
      <c r="B469" t="s">
        <v>228</v>
      </c>
      <c r="C469">
        <v>165953</v>
      </c>
      <c r="D469">
        <v>165953</v>
      </c>
      <c r="E469">
        <v>30</v>
      </c>
      <c r="F469">
        <v>30</v>
      </c>
      <c r="G469">
        <v>30</v>
      </c>
      <c r="O469">
        <v>90</v>
      </c>
    </row>
    <row r="470" spans="1:18" x14ac:dyDescent="0.25">
      <c r="A470" t="s">
        <v>867</v>
      </c>
      <c r="B470" t="s">
        <v>868</v>
      </c>
      <c r="C470">
        <v>166256</v>
      </c>
      <c r="D470">
        <v>166256</v>
      </c>
      <c r="H470">
        <v>0</v>
      </c>
      <c r="I470">
        <v>20</v>
      </c>
      <c r="J470">
        <v>10</v>
      </c>
      <c r="K470">
        <v>10</v>
      </c>
      <c r="L470">
        <v>0</v>
      </c>
      <c r="M470">
        <v>40</v>
      </c>
      <c r="R470">
        <v>10</v>
      </c>
    </row>
    <row r="471" spans="1:18" x14ac:dyDescent="0.25">
      <c r="A471" t="s">
        <v>869</v>
      </c>
      <c r="B471" t="s">
        <v>870</v>
      </c>
      <c r="C471">
        <v>167125</v>
      </c>
      <c r="D471">
        <v>167125</v>
      </c>
      <c r="H471">
        <v>20</v>
      </c>
      <c r="I471">
        <v>40</v>
      </c>
      <c r="J471">
        <v>10</v>
      </c>
      <c r="K471">
        <v>10</v>
      </c>
      <c r="L471">
        <v>10</v>
      </c>
      <c r="M471">
        <v>90</v>
      </c>
    </row>
    <row r="472" spans="1:18" x14ac:dyDescent="0.25">
      <c r="A472" t="s">
        <v>871</v>
      </c>
      <c r="B472" t="s">
        <v>872</v>
      </c>
      <c r="C472">
        <v>161997</v>
      </c>
      <c r="D472">
        <v>161997</v>
      </c>
    </row>
    <row r="473" spans="1:18" x14ac:dyDescent="0.25">
      <c r="A473" t="s">
        <v>873</v>
      </c>
      <c r="B473" t="s">
        <v>874</v>
      </c>
      <c r="C473">
        <v>168461</v>
      </c>
      <c r="D473">
        <v>168461</v>
      </c>
      <c r="H473">
        <v>10</v>
      </c>
      <c r="I473">
        <v>40</v>
      </c>
      <c r="J473">
        <v>20</v>
      </c>
      <c r="K473">
        <v>10</v>
      </c>
      <c r="L473">
        <v>10</v>
      </c>
      <c r="M473">
        <v>90</v>
      </c>
    </row>
    <row r="474" spans="1:18" x14ac:dyDescent="0.25">
      <c r="A474" t="s">
        <v>875</v>
      </c>
      <c r="B474" t="s">
        <v>876</v>
      </c>
      <c r="C474">
        <v>166876</v>
      </c>
      <c r="D474">
        <v>166876</v>
      </c>
      <c r="H474">
        <v>0</v>
      </c>
      <c r="I474">
        <v>20</v>
      </c>
      <c r="J474">
        <v>10</v>
      </c>
      <c r="K474">
        <v>0</v>
      </c>
      <c r="L474">
        <v>0</v>
      </c>
      <c r="M474">
        <v>30</v>
      </c>
    </row>
    <row r="475" spans="1:18" x14ac:dyDescent="0.25">
      <c r="A475" t="s">
        <v>877</v>
      </c>
      <c r="B475" t="s">
        <v>510</v>
      </c>
      <c r="C475">
        <v>167785</v>
      </c>
      <c r="D475">
        <v>167785</v>
      </c>
      <c r="E475">
        <v>30</v>
      </c>
      <c r="F475">
        <v>30</v>
      </c>
      <c r="G475">
        <v>20</v>
      </c>
      <c r="O475">
        <v>80</v>
      </c>
    </row>
    <row r="476" spans="1:18" x14ac:dyDescent="0.25">
      <c r="A476" t="s">
        <v>878</v>
      </c>
      <c r="B476" t="s">
        <v>117</v>
      </c>
      <c r="C476">
        <v>167444</v>
      </c>
      <c r="D476">
        <v>167444</v>
      </c>
      <c r="H476">
        <v>20</v>
      </c>
      <c r="I476">
        <v>60</v>
      </c>
      <c r="J476">
        <v>20</v>
      </c>
      <c r="K476">
        <v>10</v>
      </c>
      <c r="L476">
        <v>0</v>
      </c>
      <c r="M476">
        <v>110</v>
      </c>
    </row>
    <row r="477" spans="1:18" x14ac:dyDescent="0.25">
      <c r="A477" t="s">
        <v>879</v>
      </c>
      <c r="B477" t="s">
        <v>880</v>
      </c>
      <c r="C477">
        <v>167248</v>
      </c>
      <c r="D477">
        <v>167248</v>
      </c>
      <c r="H477">
        <v>20</v>
      </c>
      <c r="I477">
        <v>30</v>
      </c>
      <c r="J477">
        <v>10</v>
      </c>
      <c r="K477">
        <v>10</v>
      </c>
      <c r="L477">
        <v>10</v>
      </c>
      <c r="M477">
        <v>80</v>
      </c>
    </row>
    <row r="478" spans="1:18" x14ac:dyDescent="0.25">
      <c r="A478" t="s">
        <v>881</v>
      </c>
      <c r="B478" t="s">
        <v>882</v>
      </c>
      <c r="C478">
        <v>166037</v>
      </c>
      <c r="D478">
        <v>166037</v>
      </c>
      <c r="E478">
        <v>10</v>
      </c>
      <c r="F478">
        <v>0</v>
      </c>
      <c r="G478">
        <v>30</v>
      </c>
      <c r="O478">
        <v>40</v>
      </c>
    </row>
    <row r="479" spans="1:18" x14ac:dyDescent="0.25">
      <c r="A479" t="s">
        <v>883</v>
      </c>
      <c r="B479" t="s">
        <v>508</v>
      </c>
      <c r="C479">
        <v>156267</v>
      </c>
      <c r="D479">
        <v>156267</v>
      </c>
      <c r="E479">
        <v>10</v>
      </c>
      <c r="F479">
        <v>0</v>
      </c>
      <c r="O479">
        <v>10</v>
      </c>
    </row>
    <row r="480" spans="1:18" x14ac:dyDescent="0.25">
      <c r="A480" t="s">
        <v>884</v>
      </c>
      <c r="B480" t="s">
        <v>885</v>
      </c>
      <c r="C480">
        <v>166808</v>
      </c>
      <c r="D480">
        <v>166808</v>
      </c>
      <c r="H480">
        <v>10</v>
      </c>
      <c r="I480">
        <v>30</v>
      </c>
      <c r="J480">
        <v>20</v>
      </c>
      <c r="K480">
        <v>0</v>
      </c>
      <c r="L480">
        <v>0</v>
      </c>
      <c r="M480">
        <v>60</v>
      </c>
    </row>
    <row r="481" spans="1:15" x14ac:dyDescent="0.25">
      <c r="A481" t="s">
        <v>886</v>
      </c>
      <c r="B481" t="s">
        <v>887</v>
      </c>
      <c r="C481">
        <v>166505</v>
      </c>
      <c r="D481">
        <v>166505</v>
      </c>
    </row>
    <row r="482" spans="1:15" x14ac:dyDescent="0.25">
      <c r="A482" t="s">
        <v>888</v>
      </c>
      <c r="B482" t="s">
        <v>166</v>
      </c>
      <c r="C482">
        <v>165579</v>
      </c>
      <c r="D482">
        <v>165579</v>
      </c>
      <c r="H482">
        <v>20</v>
      </c>
      <c r="I482">
        <v>40</v>
      </c>
      <c r="J482">
        <v>20</v>
      </c>
      <c r="K482">
        <v>10</v>
      </c>
      <c r="L482">
        <v>10</v>
      </c>
      <c r="M482">
        <v>100</v>
      </c>
    </row>
    <row r="483" spans="1:15" x14ac:dyDescent="0.25">
      <c r="A483" t="s">
        <v>889</v>
      </c>
      <c r="B483" t="s">
        <v>890</v>
      </c>
      <c r="C483">
        <v>167234</v>
      </c>
      <c r="D483">
        <v>167234</v>
      </c>
      <c r="E483">
        <v>40</v>
      </c>
      <c r="F483">
        <v>20</v>
      </c>
      <c r="G483">
        <v>50</v>
      </c>
      <c r="O483">
        <v>110</v>
      </c>
    </row>
    <row r="484" spans="1:15" x14ac:dyDescent="0.25">
      <c r="A484" t="s">
        <v>891</v>
      </c>
      <c r="B484" t="s">
        <v>892</v>
      </c>
      <c r="C484">
        <v>165016</v>
      </c>
      <c r="D484">
        <v>165016</v>
      </c>
      <c r="H484">
        <v>10</v>
      </c>
      <c r="I484">
        <v>20</v>
      </c>
      <c r="J484">
        <v>10</v>
      </c>
      <c r="K484">
        <v>0</v>
      </c>
      <c r="L484">
        <v>0</v>
      </c>
      <c r="M484">
        <v>40</v>
      </c>
      <c r="N484" t="s">
        <v>20</v>
      </c>
    </row>
    <row r="485" spans="1:15" x14ac:dyDescent="0.25">
      <c r="A485" t="s">
        <v>893</v>
      </c>
      <c r="B485" t="s">
        <v>894</v>
      </c>
      <c r="C485">
        <v>162984</v>
      </c>
      <c r="D485">
        <v>162984</v>
      </c>
      <c r="E485">
        <v>20</v>
      </c>
      <c r="F485">
        <v>30</v>
      </c>
      <c r="G485">
        <v>10</v>
      </c>
      <c r="O485">
        <v>60</v>
      </c>
    </row>
    <row r="486" spans="1:15" x14ac:dyDescent="0.25">
      <c r="A486" t="s">
        <v>895</v>
      </c>
      <c r="B486" t="s">
        <v>896</v>
      </c>
      <c r="C486">
        <v>167094</v>
      </c>
      <c r="D486">
        <v>167094</v>
      </c>
      <c r="E486">
        <v>30</v>
      </c>
      <c r="F486">
        <v>0</v>
      </c>
      <c r="G486">
        <v>20</v>
      </c>
      <c r="O486">
        <v>50</v>
      </c>
    </row>
    <row r="487" spans="1:15" x14ac:dyDescent="0.25">
      <c r="A487" t="s">
        <v>897</v>
      </c>
      <c r="B487" t="s">
        <v>898</v>
      </c>
      <c r="C487">
        <v>166191</v>
      </c>
      <c r="D487">
        <v>166191</v>
      </c>
      <c r="H487">
        <v>0</v>
      </c>
      <c r="I487">
        <v>40</v>
      </c>
      <c r="J487">
        <v>0</v>
      </c>
      <c r="K487">
        <v>10</v>
      </c>
      <c r="L487">
        <v>0</v>
      </c>
      <c r="M487">
        <v>50</v>
      </c>
    </row>
    <row r="488" spans="1:15" x14ac:dyDescent="0.25">
      <c r="A488" t="s">
        <v>899</v>
      </c>
      <c r="B488" t="s">
        <v>201</v>
      </c>
      <c r="C488">
        <v>166149</v>
      </c>
      <c r="D488">
        <v>166149</v>
      </c>
      <c r="H488">
        <v>20</v>
      </c>
      <c r="I488">
        <v>40</v>
      </c>
      <c r="J488">
        <v>10</v>
      </c>
      <c r="K488">
        <v>0</v>
      </c>
      <c r="L488">
        <v>10</v>
      </c>
      <c r="M488">
        <v>80</v>
      </c>
    </row>
    <row r="489" spans="1:15" x14ac:dyDescent="0.25">
      <c r="A489" t="s">
        <v>900</v>
      </c>
      <c r="B489" t="s">
        <v>901</v>
      </c>
      <c r="C489">
        <v>165502</v>
      </c>
      <c r="D489">
        <v>165502</v>
      </c>
      <c r="E489">
        <v>0</v>
      </c>
      <c r="F489">
        <v>10</v>
      </c>
      <c r="G489">
        <v>30</v>
      </c>
      <c r="O489">
        <v>40</v>
      </c>
    </row>
    <row r="490" spans="1:15" x14ac:dyDescent="0.25">
      <c r="A490" t="s">
        <v>902</v>
      </c>
      <c r="B490" t="s">
        <v>577</v>
      </c>
      <c r="C490">
        <v>168018</v>
      </c>
      <c r="D490">
        <v>168018</v>
      </c>
      <c r="H490">
        <v>10</v>
      </c>
      <c r="I490">
        <v>40</v>
      </c>
      <c r="J490">
        <v>20</v>
      </c>
      <c r="K490">
        <v>10</v>
      </c>
      <c r="L490">
        <v>10</v>
      </c>
      <c r="M490">
        <v>90</v>
      </c>
    </row>
    <row r="491" spans="1:15" x14ac:dyDescent="0.25">
      <c r="A491" t="s">
        <v>903</v>
      </c>
      <c r="B491" t="s">
        <v>904</v>
      </c>
      <c r="C491">
        <v>164530</v>
      </c>
      <c r="D491">
        <v>164530</v>
      </c>
      <c r="E491">
        <v>20</v>
      </c>
      <c r="F491">
        <v>10</v>
      </c>
      <c r="G491">
        <v>30</v>
      </c>
      <c r="O491">
        <v>60</v>
      </c>
    </row>
    <row r="492" spans="1:15" x14ac:dyDescent="0.25">
      <c r="A492" t="s">
        <v>905</v>
      </c>
      <c r="B492" t="s">
        <v>906</v>
      </c>
      <c r="C492">
        <v>161684</v>
      </c>
      <c r="D492">
        <v>161684</v>
      </c>
      <c r="E492">
        <v>0</v>
      </c>
      <c r="F492">
        <v>10</v>
      </c>
      <c r="G492">
        <v>30</v>
      </c>
      <c r="O492">
        <v>40</v>
      </c>
    </row>
    <row r="493" spans="1:15" x14ac:dyDescent="0.25">
      <c r="A493" t="s">
        <v>907</v>
      </c>
      <c r="B493" t="s">
        <v>908</v>
      </c>
      <c r="C493">
        <v>168312</v>
      </c>
      <c r="D493">
        <v>168312</v>
      </c>
    </row>
    <row r="494" spans="1:15" x14ac:dyDescent="0.25">
      <c r="A494" t="s">
        <v>909</v>
      </c>
      <c r="B494" t="s">
        <v>910</v>
      </c>
      <c r="C494">
        <v>167334</v>
      </c>
      <c r="D494">
        <v>167334</v>
      </c>
    </row>
    <row r="495" spans="1:15" x14ac:dyDescent="0.25">
      <c r="A495" t="s">
        <v>911</v>
      </c>
      <c r="B495" t="s">
        <v>912</v>
      </c>
      <c r="C495">
        <v>168834</v>
      </c>
      <c r="D495">
        <v>168834</v>
      </c>
    </row>
    <row r="496" spans="1:15" x14ac:dyDescent="0.25">
      <c r="A496" t="s">
        <v>913</v>
      </c>
      <c r="B496" t="s">
        <v>512</v>
      </c>
      <c r="C496">
        <v>168375</v>
      </c>
      <c r="D496">
        <v>168375</v>
      </c>
      <c r="H496">
        <v>10</v>
      </c>
      <c r="I496">
        <v>40</v>
      </c>
      <c r="J496">
        <v>10</v>
      </c>
      <c r="K496">
        <v>10</v>
      </c>
      <c r="L496">
        <v>0</v>
      </c>
      <c r="M496">
        <v>70</v>
      </c>
    </row>
    <row r="497" spans="1:15" x14ac:dyDescent="0.25">
      <c r="A497" t="s">
        <v>914</v>
      </c>
      <c r="B497" t="s">
        <v>915</v>
      </c>
      <c r="C497">
        <v>168807</v>
      </c>
      <c r="D497">
        <v>168807</v>
      </c>
    </row>
    <row r="498" spans="1:15" x14ac:dyDescent="0.25">
      <c r="A498" t="s">
        <v>916</v>
      </c>
      <c r="B498" t="s">
        <v>917</v>
      </c>
      <c r="C498">
        <v>163534</v>
      </c>
      <c r="D498">
        <v>163534</v>
      </c>
    </row>
    <row r="499" spans="1:15" x14ac:dyDescent="0.25">
      <c r="A499" t="s">
        <v>918</v>
      </c>
      <c r="B499" t="s">
        <v>584</v>
      </c>
      <c r="C499">
        <v>166546</v>
      </c>
      <c r="D499">
        <v>166546</v>
      </c>
      <c r="E499">
        <v>50</v>
      </c>
      <c r="F499">
        <v>20</v>
      </c>
      <c r="G499">
        <v>50</v>
      </c>
      <c r="O499">
        <v>120</v>
      </c>
    </row>
    <row r="500" spans="1:15" x14ac:dyDescent="0.25">
      <c r="A500" t="s">
        <v>919</v>
      </c>
      <c r="B500" t="s">
        <v>920</v>
      </c>
      <c r="C500">
        <v>162927</v>
      </c>
      <c r="D500">
        <v>162927</v>
      </c>
      <c r="N500" t="s">
        <v>549</v>
      </c>
    </row>
    <row r="501" spans="1:15" x14ac:dyDescent="0.25">
      <c r="A501" t="s">
        <v>921</v>
      </c>
      <c r="B501" t="s">
        <v>922</v>
      </c>
      <c r="C501">
        <v>166846</v>
      </c>
      <c r="D501">
        <v>166846</v>
      </c>
      <c r="E501">
        <v>40</v>
      </c>
      <c r="F501">
        <v>20</v>
      </c>
      <c r="G501">
        <v>40</v>
      </c>
      <c r="O501">
        <v>100</v>
      </c>
    </row>
    <row r="502" spans="1:15" x14ac:dyDescent="0.25">
      <c r="A502" t="s">
        <v>923</v>
      </c>
      <c r="B502" t="s">
        <v>924</v>
      </c>
      <c r="C502">
        <v>167108</v>
      </c>
      <c r="D502">
        <v>167108</v>
      </c>
      <c r="E502">
        <v>40</v>
      </c>
      <c r="F502">
        <v>30</v>
      </c>
      <c r="G502">
        <v>50</v>
      </c>
      <c r="O502">
        <v>120</v>
      </c>
    </row>
    <row r="503" spans="1:15" x14ac:dyDescent="0.25">
      <c r="A503" t="s">
        <v>925</v>
      </c>
      <c r="B503" t="s">
        <v>636</v>
      </c>
      <c r="C503">
        <v>163479</v>
      </c>
      <c r="D503">
        <v>163479</v>
      </c>
      <c r="E503">
        <v>50</v>
      </c>
      <c r="F503">
        <v>30</v>
      </c>
      <c r="G503">
        <v>20</v>
      </c>
      <c r="O503">
        <v>100</v>
      </c>
    </row>
    <row r="504" spans="1:15" x14ac:dyDescent="0.25">
      <c r="A504" t="s">
        <v>926</v>
      </c>
      <c r="B504" t="s">
        <v>927</v>
      </c>
      <c r="C504">
        <v>163303</v>
      </c>
      <c r="D504">
        <v>163303</v>
      </c>
      <c r="E504">
        <v>40</v>
      </c>
      <c r="F504">
        <v>10</v>
      </c>
      <c r="G504">
        <v>20</v>
      </c>
      <c r="O504">
        <v>70</v>
      </c>
    </row>
    <row r="505" spans="1:15" x14ac:dyDescent="0.25">
      <c r="A505" t="s">
        <v>928</v>
      </c>
      <c r="B505" t="s">
        <v>929</v>
      </c>
      <c r="C505">
        <v>165469</v>
      </c>
      <c r="D505">
        <v>165469</v>
      </c>
    </row>
    <row r="506" spans="1:15" x14ac:dyDescent="0.25">
      <c r="A506" t="s">
        <v>930</v>
      </c>
      <c r="B506" t="s">
        <v>931</v>
      </c>
      <c r="C506">
        <v>163614</v>
      </c>
      <c r="D506">
        <v>163614</v>
      </c>
    </row>
    <row r="507" spans="1:15" x14ac:dyDescent="0.25">
      <c r="A507" t="s">
        <v>932</v>
      </c>
      <c r="B507" t="s">
        <v>197</v>
      </c>
      <c r="C507">
        <v>166306</v>
      </c>
      <c r="D507">
        <v>166306</v>
      </c>
      <c r="E507">
        <v>30</v>
      </c>
      <c r="F507">
        <v>40</v>
      </c>
      <c r="G507">
        <v>40</v>
      </c>
      <c r="O507">
        <v>110</v>
      </c>
    </row>
    <row r="508" spans="1:15" x14ac:dyDescent="0.25">
      <c r="A508" t="s">
        <v>933</v>
      </c>
      <c r="B508" t="s">
        <v>150</v>
      </c>
      <c r="C508">
        <v>165927</v>
      </c>
      <c r="D508">
        <v>165927</v>
      </c>
      <c r="E508">
        <v>50</v>
      </c>
      <c r="F508">
        <v>30</v>
      </c>
      <c r="G508">
        <v>50</v>
      </c>
      <c r="O508">
        <v>130</v>
      </c>
    </row>
    <row r="509" spans="1:15" x14ac:dyDescent="0.25">
      <c r="A509" t="s">
        <v>934</v>
      </c>
      <c r="B509" t="s">
        <v>935</v>
      </c>
      <c r="C509">
        <v>166342</v>
      </c>
      <c r="D509">
        <v>166342</v>
      </c>
    </row>
    <row r="510" spans="1:15" x14ac:dyDescent="0.25">
      <c r="A510" t="s">
        <v>936</v>
      </c>
      <c r="B510" t="s">
        <v>937</v>
      </c>
      <c r="C510">
        <v>167215</v>
      </c>
      <c r="D510">
        <v>167215</v>
      </c>
      <c r="E510">
        <v>40</v>
      </c>
      <c r="F510">
        <v>20</v>
      </c>
      <c r="G510">
        <v>20</v>
      </c>
      <c r="O510">
        <v>80</v>
      </c>
    </row>
    <row r="511" spans="1:15" x14ac:dyDescent="0.25">
      <c r="A511" t="s">
        <v>938</v>
      </c>
      <c r="B511" t="s">
        <v>753</v>
      </c>
      <c r="C511">
        <v>166303</v>
      </c>
      <c r="D511">
        <v>166303</v>
      </c>
      <c r="E511">
        <v>30</v>
      </c>
      <c r="F511">
        <v>30</v>
      </c>
      <c r="G511">
        <v>30</v>
      </c>
      <c r="O511">
        <v>90</v>
      </c>
    </row>
    <row r="512" spans="1:15" x14ac:dyDescent="0.25">
      <c r="A512" t="s">
        <v>939</v>
      </c>
      <c r="B512" t="s">
        <v>57</v>
      </c>
      <c r="C512">
        <v>165605</v>
      </c>
      <c r="D512">
        <v>165605</v>
      </c>
      <c r="H512">
        <v>10</v>
      </c>
      <c r="I512">
        <v>30</v>
      </c>
      <c r="J512">
        <v>10</v>
      </c>
      <c r="K512">
        <v>0</v>
      </c>
      <c r="L512">
        <v>10</v>
      </c>
      <c r="M512">
        <v>60</v>
      </c>
    </row>
    <row r="513" spans="1:15" x14ac:dyDescent="0.25">
      <c r="A513" t="s">
        <v>940</v>
      </c>
      <c r="B513" t="s">
        <v>830</v>
      </c>
      <c r="C513">
        <v>166435</v>
      </c>
      <c r="D513">
        <v>166435</v>
      </c>
      <c r="H513">
        <v>0</v>
      </c>
      <c r="I513">
        <v>50</v>
      </c>
      <c r="J513">
        <v>10</v>
      </c>
      <c r="K513">
        <v>0</v>
      </c>
      <c r="L513">
        <v>0</v>
      </c>
      <c r="M513">
        <v>60</v>
      </c>
      <c r="N513" t="s">
        <v>20</v>
      </c>
    </row>
    <row r="514" spans="1:15" x14ac:dyDescent="0.25">
      <c r="A514" t="s">
        <v>941</v>
      </c>
      <c r="B514" t="s">
        <v>942</v>
      </c>
      <c r="C514">
        <v>166157</v>
      </c>
      <c r="D514">
        <v>166157</v>
      </c>
      <c r="E514">
        <v>30</v>
      </c>
      <c r="F514">
        <v>30</v>
      </c>
      <c r="G514">
        <v>40</v>
      </c>
      <c r="O514">
        <v>100</v>
      </c>
    </row>
    <row r="515" spans="1:15" x14ac:dyDescent="0.25">
      <c r="A515" t="s">
        <v>943</v>
      </c>
      <c r="B515" t="s">
        <v>944</v>
      </c>
      <c r="C515">
        <v>168360</v>
      </c>
      <c r="D515">
        <v>168360</v>
      </c>
      <c r="H515">
        <v>10</v>
      </c>
      <c r="J515" t="s">
        <v>20</v>
      </c>
      <c r="M515">
        <v>10</v>
      </c>
    </row>
    <row r="516" spans="1:15" x14ac:dyDescent="0.25">
      <c r="A516" t="s">
        <v>945</v>
      </c>
      <c r="B516" t="s">
        <v>946</v>
      </c>
      <c r="C516">
        <v>167806</v>
      </c>
      <c r="D516">
        <v>167806</v>
      </c>
    </row>
    <row r="517" spans="1:15" x14ac:dyDescent="0.25">
      <c r="A517" t="s">
        <v>947</v>
      </c>
      <c r="B517" t="s">
        <v>948</v>
      </c>
      <c r="C517">
        <v>166463</v>
      </c>
      <c r="D517">
        <v>166463</v>
      </c>
      <c r="E517">
        <v>30</v>
      </c>
      <c r="F517">
        <v>20</v>
      </c>
      <c r="G517">
        <v>40</v>
      </c>
      <c r="O517">
        <v>90</v>
      </c>
    </row>
    <row r="518" spans="1:15" x14ac:dyDescent="0.25">
      <c r="A518" t="s">
        <v>949</v>
      </c>
      <c r="B518" t="s">
        <v>950</v>
      </c>
      <c r="C518">
        <v>167792</v>
      </c>
      <c r="D518">
        <v>167792</v>
      </c>
      <c r="E518">
        <v>20</v>
      </c>
      <c r="F518">
        <v>40</v>
      </c>
      <c r="G518" t="s">
        <v>20</v>
      </c>
      <c r="O518">
        <v>60</v>
      </c>
    </row>
    <row r="519" spans="1:15" x14ac:dyDescent="0.25">
      <c r="A519" t="s">
        <v>951</v>
      </c>
      <c r="B519" t="s">
        <v>286</v>
      </c>
      <c r="C519">
        <v>166129</v>
      </c>
      <c r="D519">
        <v>166129</v>
      </c>
      <c r="H519">
        <v>20</v>
      </c>
      <c r="I519">
        <v>20</v>
      </c>
      <c r="J519">
        <v>10</v>
      </c>
      <c r="K519">
        <v>0</v>
      </c>
      <c r="L519">
        <v>0</v>
      </c>
      <c r="M519">
        <v>50</v>
      </c>
    </row>
    <row r="520" spans="1:15" x14ac:dyDescent="0.25">
      <c r="A520" t="s">
        <v>952</v>
      </c>
      <c r="B520" t="s">
        <v>953</v>
      </c>
      <c r="C520">
        <v>166831</v>
      </c>
      <c r="D520">
        <v>166831</v>
      </c>
      <c r="H520">
        <v>20</v>
      </c>
      <c r="I520">
        <v>40</v>
      </c>
      <c r="J520">
        <v>10</v>
      </c>
      <c r="K520">
        <v>10</v>
      </c>
      <c r="L520">
        <v>10</v>
      </c>
      <c r="M520">
        <v>90</v>
      </c>
    </row>
    <row r="521" spans="1:15" x14ac:dyDescent="0.25">
      <c r="A521" t="s">
        <v>954</v>
      </c>
      <c r="B521" t="s">
        <v>410</v>
      </c>
      <c r="C521">
        <v>162781</v>
      </c>
      <c r="D521">
        <v>162781</v>
      </c>
    </row>
    <row r="522" spans="1:15" x14ac:dyDescent="0.25">
      <c r="A522" t="s">
        <v>955</v>
      </c>
      <c r="B522" t="s">
        <v>956</v>
      </c>
      <c r="C522">
        <v>166969</v>
      </c>
      <c r="D522">
        <v>166969</v>
      </c>
    </row>
    <row r="523" spans="1:15" x14ac:dyDescent="0.25">
      <c r="A523" t="s">
        <v>957</v>
      </c>
      <c r="B523" t="s">
        <v>958</v>
      </c>
      <c r="C523">
        <v>167209</v>
      </c>
      <c r="D523">
        <v>167209</v>
      </c>
      <c r="E523">
        <v>50</v>
      </c>
      <c r="F523">
        <v>40</v>
      </c>
      <c r="G523">
        <v>50</v>
      </c>
      <c r="O523">
        <v>140</v>
      </c>
    </row>
    <row r="524" spans="1:15" x14ac:dyDescent="0.25">
      <c r="A524" t="s">
        <v>959</v>
      </c>
      <c r="B524" t="s">
        <v>868</v>
      </c>
      <c r="C524">
        <v>167337</v>
      </c>
      <c r="D524">
        <v>167337</v>
      </c>
      <c r="E524">
        <v>0</v>
      </c>
      <c r="F524">
        <v>10</v>
      </c>
      <c r="G524">
        <v>50</v>
      </c>
      <c r="O524">
        <v>60</v>
      </c>
    </row>
    <row r="525" spans="1:15" x14ac:dyDescent="0.25">
      <c r="A525" t="s">
        <v>960</v>
      </c>
      <c r="B525" t="s">
        <v>961</v>
      </c>
      <c r="C525">
        <v>164517</v>
      </c>
      <c r="D525">
        <v>164517</v>
      </c>
    </row>
    <row r="526" spans="1:15" x14ac:dyDescent="0.25">
      <c r="A526" t="s">
        <v>962</v>
      </c>
      <c r="B526" t="s">
        <v>963</v>
      </c>
      <c r="C526">
        <v>168321</v>
      </c>
      <c r="D526">
        <v>168321</v>
      </c>
      <c r="E526">
        <v>0</v>
      </c>
      <c r="F526">
        <v>30</v>
      </c>
      <c r="G526">
        <v>20</v>
      </c>
      <c r="O526">
        <v>50</v>
      </c>
    </row>
    <row r="527" spans="1:15" x14ac:dyDescent="0.25">
      <c r="A527" t="s">
        <v>964</v>
      </c>
      <c r="B527" t="s">
        <v>965</v>
      </c>
      <c r="C527">
        <v>166411</v>
      </c>
      <c r="D527">
        <v>166411</v>
      </c>
    </row>
    <row r="528" spans="1:15" x14ac:dyDescent="0.25">
      <c r="A528" t="s">
        <v>966</v>
      </c>
      <c r="B528" t="s">
        <v>967</v>
      </c>
      <c r="C528">
        <v>145028</v>
      </c>
      <c r="D528">
        <v>145028</v>
      </c>
      <c r="E528">
        <v>20</v>
      </c>
      <c r="F528">
        <v>10</v>
      </c>
      <c r="G528">
        <v>30</v>
      </c>
      <c r="O528">
        <v>60</v>
      </c>
    </row>
    <row r="529" spans="1:15" x14ac:dyDescent="0.25">
      <c r="A529" t="s">
        <v>968</v>
      </c>
      <c r="B529" t="s">
        <v>969</v>
      </c>
      <c r="C529">
        <v>168019</v>
      </c>
      <c r="D529">
        <v>168019</v>
      </c>
      <c r="H529">
        <v>0</v>
      </c>
      <c r="I529">
        <v>40</v>
      </c>
      <c r="J529">
        <v>0</v>
      </c>
      <c r="K529">
        <v>0</v>
      </c>
      <c r="L529">
        <v>10</v>
      </c>
      <c r="M529">
        <v>50</v>
      </c>
    </row>
    <row r="530" spans="1:15" x14ac:dyDescent="0.25">
      <c r="A530" t="s">
        <v>970</v>
      </c>
      <c r="B530" t="s">
        <v>971</v>
      </c>
      <c r="C530">
        <v>165874</v>
      </c>
      <c r="D530">
        <v>165874</v>
      </c>
    </row>
    <row r="531" spans="1:15" x14ac:dyDescent="0.25">
      <c r="A531" t="s">
        <v>972</v>
      </c>
      <c r="B531" t="s">
        <v>93</v>
      </c>
      <c r="C531">
        <v>165889</v>
      </c>
      <c r="D531">
        <v>165889</v>
      </c>
      <c r="E531">
        <v>0</v>
      </c>
      <c r="F531">
        <v>10</v>
      </c>
      <c r="G531">
        <v>20</v>
      </c>
      <c r="O531">
        <v>30</v>
      </c>
    </row>
    <row r="532" spans="1:15" x14ac:dyDescent="0.25">
      <c r="A532" t="s">
        <v>973</v>
      </c>
      <c r="B532" t="s">
        <v>130</v>
      </c>
      <c r="C532">
        <v>166281</v>
      </c>
      <c r="D532">
        <v>166281</v>
      </c>
      <c r="E532">
        <v>50</v>
      </c>
      <c r="F532">
        <v>40</v>
      </c>
      <c r="G532">
        <v>40</v>
      </c>
      <c r="O532">
        <v>130</v>
      </c>
    </row>
    <row r="533" spans="1:15" x14ac:dyDescent="0.25">
      <c r="A533" t="s">
        <v>974</v>
      </c>
      <c r="B533" t="s">
        <v>975</v>
      </c>
      <c r="C533">
        <v>168596</v>
      </c>
      <c r="D533">
        <v>168596</v>
      </c>
      <c r="E533">
        <v>10</v>
      </c>
      <c r="F533">
        <v>20</v>
      </c>
      <c r="G533">
        <v>50</v>
      </c>
      <c r="O533">
        <v>80</v>
      </c>
    </row>
    <row r="534" spans="1:15" x14ac:dyDescent="0.25">
      <c r="A534" t="s">
        <v>976</v>
      </c>
      <c r="B534" t="s">
        <v>367</v>
      </c>
      <c r="C534">
        <v>165066</v>
      </c>
      <c r="D534">
        <v>165066</v>
      </c>
      <c r="H534">
        <v>10</v>
      </c>
      <c r="I534">
        <v>50</v>
      </c>
      <c r="J534">
        <v>10</v>
      </c>
      <c r="K534">
        <v>10</v>
      </c>
      <c r="L534">
        <v>0</v>
      </c>
      <c r="M534">
        <v>80</v>
      </c>
    </row>
    <row r="535" spans="1:15" x14ac:dyDescent="0.25">
      <c r="A535" t="s">
        <v>977</v>
      </c>
      <c r="B535" t="s">
        <v>978</v>
      </c>
      <c r="C535">
        <v>165262</v>
      </c>
      <c r="D535">
        <v>165262</v>
      </c>
    </row>
    <row r="536" spans="1:15" x14ac:dyDescent="0.25">
      <c r="A536" t="s">
        <v>979</v>
      </c>
      <c r="B536" t="s">
        <v>980</v>
      </c>
      <c r="C536">
        <v>168194</v>
      </c>
      <c r="D536">
        <v>168194</v>
      </c>
    </row>
    <row r="537" spans="1:15" x14ac:dyDescent="0.25">
      <c r="A537" t="s">
        <v>981</v>
      </c>
      <c r="B537" t="s">
        <v>982</v>
      </c>
      <c r="C537">
        <v>167041</v>
      </c>
      <c r="D537">
        <v>167041</v>
      </c>
      <c r="E537">
        <v>30</v>
      </c>
      <c r="F537">
        <v>30</v>
      </c>
      <c r="G537">
        <v>30</v>
      </c>
      <c r="O537">
        <v>90</v>
      </c>
    </row>
    <row r="538" spans="1:15" x14ac:dyDescent="0.25">
      <c r="A538" t="s">
        <v>983</v>
      </c>
      <c r="B538" t="s">
        <v>460</v>
      </c>
      <c r="C538">
        <v>167420</v>
      </c>
      <c r="D538">
        <v>167420</v>
      </c>
      <c r="H538">
        <v>10</v>
      </c>
      <c r="I538">
        <v>30</v>
      </c>
      <c r="J538">
        <v>20</v>
      </c>
      <c r="K538">
        <v>10</v>
      </c>
      <c r="L538">
        <v>0</v>
      </c>
      <c r="M538">
        <v>70</v>
      </c>
    </row>
    <row r="539" spans="1:15" x14ac:dyDescent="0.25">
      <c r="A539" t="s">
        <v>984</v>
      </c>
      <c r="B539" t="s">
        <v>344</v>
      </c>
      <c r="C539">
        <v>168393</v>
      </c>
      <c r="D539">
        <v>168393</v>
      </c>
      <c r="H539">
        <v>20</v>
      </c>
      <c r="I539">
        <v>60</v>
      </c>
      <c r="J539">
        <v>10</v>
      </c>
      <c r="K539">
        <v>10</v>
      </c>
      <c r="L539">
        <v>10</v>
      </c>
      <c r="M539">
        <v>110</v>
      </c>
    </row>
    <row r="540" spans="1:15" x14ac:dyDescent="0.25">
      <c r="A540" t="s">
        <v>985</v>
      </c>
      <c r="B540" t="s">
        <v>725</v>
      </c>
      <c r="C540">
        <v>166127</v>
      </c>
      <c r="D540">
        <v>166127</v>
      </c>
      <c r="E540">
        <v>40</v>
      </c>
      <c r="F540">
        <v>20</v>
      </c>
      <c r="G540">
        <v>50</v>
      </c>
      <c r="O540">
        <v>110</v>
      </c>
    </row>
    <row r="541" spans="1:15" x14ac:dyDescent="0.25">
      <c r="A541" t="s">
        <v>986</v>
      </c>
      <c r="B541" t="s">
        <v>987</v>
      </c>
      <c r="C541">
        <v>166221</v>
      </c>
      <c r="D541">
        <v>166221</v>
      </c>
      <c r="H541">
        <v>10</v>
      </c>
      <c r="I541">
        <v>10</v>
      </c>
      <c r="J541">
        <v>10</v>
      </c>
      <c r="K541">
        <v>10</v>
      </c>
      <c r="L541">
        <v>0</v>
      </c>
      <c r="M541">
        <v>40</v>
      </c>
    </row>
    <row r="542" spans="1:15" x14ac:dyDescent="0.25">
      <c r="A542" t="s">
        <v>988</v>
      </c>
      <c r="B542" t="s">
        <v>989</v>
      </c>
      <c r="C542">
        <v>168771</v>
      </c>
      <c r="D542">
        <v>168771</v>
      </c>
      <c r="E542">
        <v>10</v>
      </c>
      <c r="F542">
        <v>20</v>
      </c>
      <c r="G542">
        <v>20</v>
      </c>
      <c r="O542">
        <v>50</v>
      </c>
    </row>
    <row r="543" spans="1:15" x14ac:dyDescent="0.25">
      <c r="A543" t="s">
        <v>990</v>
      </c>
      <c r="B543" t="s">
        <v>548</v>
      </c>
      <c r="C543">
        <v>162687</v>
      </c>
      <c r="D543">
        <v>162687</v>
      </c>
      <c r="E543">
        <v>40</v>
      </c>
      <c r="F543">
        <v>40</v>
      </c>
      <c r="G543">
        <v>50</v>
      </c>
      <c r="O543">
        <v>130</v>
      </c>
    </row>
    <row r="544" spans="1:15" x14ac:dyDescent="0.25">
      <c r="A544" t="s">
        <v>991</v>
      </c>
      <c r="B544" t="s">
        <v>992</v>
      </c>
      <c r="C544">
        <v>167025</v>
      </c>
      <c r="D544">
        <v>167025</v>
      </c>
    </row>
    <row r="545" spans="1:15" x14ac:dyDescent="0.25">
      <c r="A545" t="s">
        <v>993</v>
      </c>
      <c r="B545" t="s">
        <v>546</v>
      </c>
      <c r="C545">
        <v>166280</v>
      </c>
      <c r="D545">
        <v>166280</v>
      </c>
      <c r="H545">
        <v>10</v>
      </c>
      <c r="I545">
        <v>30</v>
      </c>
      <c r="J545">
        <v>10</v>
      </c>
      <c r="K545">
        <v>0</v>
      </c>
      <c r="L545">
        <v>10</v>
      </c>
      <c r="M545">
        <v>60</v>
      </c>
    </row>
    <row r="546" spans="1:15" x14ac:dyDescent="0.25">
      <c r="A546" t="s">
        <v>994</v>
      </c>
      <c r="B546" t="s">
        <v>995</v>
      </c>
      <c r="C546">
        <v>167124</v>
      </c>
      <c r="D546">
        <v>167124</v>
      </c>
      <c r="E546">
        <v>0</v>
      </c>
      <c r="F546">
        <v>20</v>
      </c>
      <c r="G546">
        <v>40</v>
      </c>
      <c r="O546">
        <v>60</v>
      </c>
    </row>
    <row r="547" spans="1:15" x14ac:dyDescent="0.25">
      <c r="A547" t="s">
        <v>994</v>
      </c>
      <c r="B547" t="s">
        <v>266</v>
      </c>
      <c r="C547">
        <v>166474</v>
      </c>
      <c r="D547">
        <v>166474</v>
      </c>
      <c r="E547">
        <v>50</v>
      </c>
      <c r="F547">
        <v>10</v>
      </c>
      <c r="G547">
        <v>20</v>
      </c>
      <c r="O547">
        <v>80</v>
      </c>
    </row>
    <row r="548" spans="1:15" x14ac:dyDescent="0.25">
      <c r="A548" t="s">
        <v>996</v>
      </c>
      <c r="B548" t="s">
        <v>166</v>
      </c>
      <c r="C548">
        <v>165570</v>
      </c>
      <c r="D548">
        <v>165570</v>
      </c>
      <c r="H548">
        <v>10</v>
      </c>
      <c r="I548">
        <v>40</v>
      </c>
      <c r="J548">
        <v>10</v>
      </c>
      <c r="K548">
        <v>10</v>
      </c>
      <c r="L548">
        <v>10</v>
      </c>
      <c r="M548">
        <v>80</v>
      </c>
    </row>
    <row r="549" spans="1:15" x14ac:dyDescent="0.25">
      <c r="A549" t="s">
        <v>997</v>
      </c>
      <c r="B549" t="s">
        <v>998</v>
      </c>
      <c r="C549">
        <v>168738</v>
      </c>
      <c r="D549">
        <v>168738</v>
      </c>
      <c r="E549">
        <v>10</v>
      </c>
      <c r="F549">
        <v>30</v>
      </c>
      <c r="G549">
        <v>40</v>
      </c>
      <c r="O549">
        <v>80</v>
      </c>
    </row>
    <row r="550" spans="1:15" x14ac:dyDescent="0.25">
      <c r="A550" t="s">
        <v>999</v>
      </c>
      <c r="B550" t="s">
        <v>1000</v>
      </c>
      <c r="C550">
        <v>166998</v>
      </c>
      <c r="D550">
        <v>166998</v>
      </c>
      <c r="H550">
        <v>10</v>
      </c>
      <c r="I550">
        <v>20</v>
      </c>
      <c r="J550">
        <v>10</v>
      </c>
      <c r="K550">
        <v>0</v>
      </c>
      <c r="L550">
        <v>10</v>
      </c>
      <c r="M550">
        <v>50</v>
      </c>
    </row>
    <row r="551" spans="1:15" x14ac:dyDescent="0.25">
      <c r="A551" t="s">
        <v>1001</v>
      </c>
      <c r="B551" t="s">
        <v>1002</v>
      </c>
      <c r="C551">
        <v>165029</v>
      </c>
      <c r="D551">
        <v>165029</v>
      </c>
      <c r="E551">
        <v>10</v>
      </c>
      <c r="F551">
        <v>20</v>
      </c>
      <c r="G551">
        <v>30</v>
      </c>
      <c r="O551">
        <v>60</v>
      </c>
    </row>
    <row r="552" spans="1:15" x14ac:dyDescent="0.25">
      <c r="A552" t="s">
        <v>1003</v>
      </c>
      <c r="B552" t="s">
        <v>1004</v>
      </c>
      <c r="C552">
        <v>165709</v>
      </c>
      <c r="D552">
        <v>165709</v>
      </c>
      <c r="E552">
        <v>30</v>
      </c>
      <c r="F552">
        <v>30</v>
      </c>
      <c r="G552">
        <v>10</v>
      </c>
      <c r="O552">
        <v>70</v>
      </c>
    </row>
    <row r="553" spans="1:15" x14ac:dyDescent="0.25">
      <c r="A553" t="s">
        <v>1005</v>
      </c>
      <c r="B553" t="s">
        <v>1006</v>
      </c>
      <c r="C553">
        <v>166856</v>
      </c>
      <c r="D553">
        <v>166856</v>
      </c>
      <c r="H553">
        <v>20</v>
      </c>
      <c r="I553">
        <v>40</v>
      </c>
      <c r="J553">
        <v>10</v>
      </c>
      <c r="K553">
        <v>10</v>
      </c>
      <c r="L553">
        <v>0</v>
      </c>
      <c r="M553">
        <v>80</v>
      </c>
    </row>
    <row r="554" spans="1:15" x14ac:dyDescent="0.25">
      <c r="A554" t="s">
        <v>1007</v>
      </c>
      <c r="B554" t="s">
        <v>1008</v>
      </c>
      <c r="C554">
        <v>168383</v>
      </c>
      <c r="D554">
        <v>168383</v>
      </c>
      <c r="E554">
        <v>20</v>
      </c>
      <c r="F554">
        <v>10</v>
      </c>
      <c r="G554">
        <v>0</v>
      </c>
      <c r="O554">
        <v>30</v>
      </c>
    </row>
    <row r="555" spans="1:15" x14ac:dyDescent="0.25">
      <c r="A555" t="s">
        <v>1009</v>
      </c>
      <c r="B555" t="s">
        <v>1010</v>
      </c>
      <c r="C555">
        <v>165946</v>
      </c>
      <c r="D555">
        <v>165946</v>
      </c>
      <c r="E555">
        <v>30</v>
      </c>
      <c r="F555">
        <v>30</v>
      </c>
      <c r="G555">
        <v>30</v>
      </c>
      <c r="O555">
        <v>90</v>
      </c>
    </row>
    <row r="556" spans="1:15" x14ac:dyDescent="0.25">
      <c r="A556" t="s">
        <v>1011</v>
      </c>
      <c r="B556" t="s">
        <v>1012</v>
      </c>
      <c r="C556">
        <v>167430</v>
      </c>
      <c r="D556">
        <v>167430</v>
      </c>
      <c r="H556">
        <v>0</v>
      </c>
      <c r="I556">
        <v>40</v>
      </c>
      <c r="J556">
        <v>0</v>
      </c>
      <c r="K556">
        <v>10</v>
      </c>
      <c r="L556">
        <v>10</v>
      </c>
      <c r="M556">
        <v>60</v>
      </c>
    </row>
    <row r="557" spans="1:15" x14ac:dyDescent="0.25">
      <c r="A557" t="s">
        <v>1013</v>
      </c>
      <c r="B557" t="s">
        <v>1014</v>
      </c>
      <c r="C557">
        <v>167074</v>
      </c>
      <c r="D557">
        <v>167074</v>
      </c>
      <c r="E557">
        <v>20</v>
      </c>
      <c r="F557">
        <v>10</v>
      </c>
      <c r="G557">
        <v>20</v>
      </c>
      <c r="O557">
        <v>50</v>
      </c>
    </row>
    <row r="558" spans="1:15" x14ac:dyDescent="0.25">
      <c r="A558" t="s">
        <v>1015</v>
      </c>
      <c r="B558" t="s">
        <v>1016</v>
      </c>
      <c r="C558">
        <v>166383</v>
      </c>
      <c r="D558">
        <v>166383</v>
      </c>
      <c r="E558">
        <v>20</v>
      </c>
      <c r="F558">
        <v>20</v>
      </c>
      <c r="G558">
        <v>50</v>
      </c>
      <c r="O558">
        <v>90</v>
      </c>
    </row>
    <row r="559" spans="1:15" x14ac:dyDescent="0.25">
      <c r="A559" t="s">
        <v>1017</v>
      </c>
      <c r="B559" t="s">
        <v>49</v>
      </c>
      <c r="C559">
        <v>166716</v>
      </c>
      <c r="D559">
        <v>166716</v>
      </c>
      <c r="H559">
        <v>0</v>
      </c>
      <c r="I559">
        <v>20</v>
      </c>
      <c r="J559">
        <v>10</v>
      </c>
      <c r="K559">
        <v>0</v>
      </c>
      <c r="L559">
        <v>0</v>
      </c>
      <c r="M559">
        <v>30</v>
      </c>
    </row>
    <row r="560" spans="1:15" x14ac:dyDescent="0.25">
      <c r="A560" t="s">
        <v>1018</v>
      </c>
      <c r="B560" t="s">
        <v>1019</v>
      </c>
      <c r="C560">
        <v>168439</v>
      </c>
      <c r="D560">
        <v>168439</v>
      </c>
      <c r="H560">
        <v>10</v>
      </c>
      <c r="I560">
        <v>10</v>
      </c>
      <c r="J560">
        <v>10</v>
      </c>
      <c r="K560">
        <v>0</v>
      </c>
      <c r="L560">
        <v>0</v>
      </c>
      <c r="M560">
        <v>30</v>
      </c>
    </row>
    <row r="561" spans="1:15" x14ac:dyDescent="0.25">
      <c r="A561" t="s">
        <v>1020</v>
      </c>
      <c r="B561" t="s">
        <v>1021</v>
      </c>
      <c r="C561">
        <v>168164</v>
      </c>
      <c r="D561">
        <v>168164</v>
      </c>
      <c r="E561">
        <v>40</v>
      </c>
      <c r="F561">
        <v>30</v>
      </c>
      <c r="G561">
        <v>40</v>
      </c>
      <c r="O561">
        <v>110</v>
      </c>
    </row>
    <row r="562" spans="1:15" x14ac:dyDescent="0.25">
      <c r="A562" t="s">
        <v>1022</v>
      </c>
      <c r="B562" t="s">
        <v>1023</v>
      </c>
      <c r="C562">
        <v>168253</v>
      </c>
      <c r="D562">
        <v>168253</v>
      </c>
      <c r="H562">
        <v>20</v>
      </c>
      <c r="I562">
        <v>40</v>
      </c>
      <c r="J562">
        <v>0</v>
      </c>
      <c r="K562">
        <v>0</v>
      </c>
      <c r="L562">
        <v>10</v>
      </c>
      <c r="M562">
        <v>70</v>
      </c>
    </row>
    <row r="563" spans="1:15" x14ac:dyDescent="0.25">
      <c r="A563" t="s">
        <v>1024</v>
      </c>
      <c r="B563" t="s">
        <v>1025</v>
      </c>
      <c r="C563">
        <v>168502</v>
      </c>
      <c r="D563">
        <v>168502</v>
      </c>
      <c r="E563">
        <v>50</v>
      </c>
      <c r="F563">
        <v>40</v>
      </c>
      <c r="G563">
        <v>50</v>
      </c>
      <c r="O563">
        <v>140</v>
      </c>
    </row>
    <row r="564" spans="1:15" x14ac:dyDescent="0.25">
      <c r="A564" t="s">
        <v>1026</v>
      </c>
      <c r="B564" t="s">
        <v>1027</v>
      </c>
      <c r="C564">
        <v>165712</v>
      </c>
      <c r="D564">
        <v>165712</v>
      </c>
      <c r="H564">
        <v>10</v>
      </c>
      <c r="I564">
        <v>40</v>
      </c>
      <c r="J564">
        <v>10</v>
      </c>
      <c r="K564">
        <v>10</v>
      </c>
      <c r="L564">
        <v>10</v>
      </c>
      <c r="M564">
        <v>80</v>
      </c>
    </row>
    <row r="565" spans="1:15" x14ac:dyDescent="0.25">
      <c r="A565" t="s">
        <v>1028</v>
      </c>
      <c r="B565" t="s">
        <v>197</v>
      </c>
      <c r="C565">
        <v>168045</v>
      </c>
      <c r="D565">
        <v>168045</v>
      </c>
      <c r="E565">
        <v>40</v>
      </c>
      <c r="F565">
        <v>20</v>
      </c>
      <c r="G565">
        <v>20</v>
      </c>
      <c r="O565">
        <v>80</v>
      </c>
    </row>
    <row r="566" spans="1:15" x14ac:dyDescent="0.25">
      <c r="A566" t="s">
        <v>1029</v>
      </c>
      <c r="B566" t="s">
        <v>764</v>
      </c>
      <c r="C566">
        <v>167669</v>
      </c>
      <c r="D566">
        <v>167669</v>
      </c>
      <c r="E566">
        <v>20</v>
      </c>
      <c r="F566">
        <v>40</v>
      </c>
      <c r="G566">
        <v>40</v>
      </c>
      <c r="O566">
        <v>100</v>
      </c>
    </row>
    <row r="567" spans="1:15" x14ac:dyDescent="0.25">
      <c r="A567" t="s">
        <v>1030</v>
      </c>
      <c r="B567" t="s">
        <v>1031</v>
      </c>
      <c r="C567">
        <v>168432</v>
      </c>
      <c r="D567">
        <v>168432</v>
      </c>
      <c r="H567">
        <v>0</v>
      </c>
      <c r="I567">
        <v>60</v>
      </c>
      <c r="J567">
        <v>0</v>
      </c>
      <c r="K567">
        <v>0</v>
      </c>
      <c r="L567">
        <v>0</v>
      </c>
      <c r="M567">
        <v>60</v>
      </c>
    </row>
    <row r="568" spans="1:15" x14ac:dyDescent="0.25">
      <c r="A568" t="s">
        <v>1032</v>
      </c>
      <c r="B568" t="s">
        <v>1033</v>
      </c>
      <c r="C568">
        <v>167563</v>
      </c>
      <c r="D568">
        <v>167563</v>
      </c>
      <c r="E568">
        <v>20</v>
      </c>
      <c r="F568">
        <v>10</v>
      </c>
      <c r="G568">
        <v>20</v>
      </c>
      <c r="O568">
        <v>50</v>
      </c>
    </row>
    <row r="569" spans="1:15" x14ac:dyDescent="0.25">
      <c r="A569" t="s">
        <v>1034</v>
      </c>
      <c r="B569" t="s">
        <v>950</v>
      </c>
      <c r="C569">
        <v>167820</v>
      </c>
      <c r="D569">
        <v>167820</v>
      </c>
      <c r="E569">
        <v>10</v>
      </c>
      <c r="F569">
        <v>10</v>
      </c>
      <c r="G569">
        <v>20</v>
      </c>
      <c r="O569">
        <v>40</v>
      </c>
    </row>
    <row r="570" spans="1:15" x14ac:dyDescent="0.25">
      <c r="A570" t="s">
        <v>1035</v>
      </c>
      <c r="B570" t="s">
        <v>636</v>
      </c>
      <c r="C570">
        <v>157727</v>
      </c>
      <c r="D570">
        <v>157727</v>
      </c>
      <c r="E570">
        <v>10</v>
      </c>
      <c r="F570">
        <v>20</v>
      </c>
      <c r="G570">
        <v>30</v>
      </c>
      <c r="O570">
        <v>60</v>
      </c>
    </row>
    <row r="571" spans="1:15" x14ac:dyDescent="0.25">
      <c r="A571" t="s">
        <v>1036</v>
      </c>
      <c r="B571" t="s">
        <v>1037</v>
      </c>
      <c r="C571">
        <v>168503</v>
      </c>
      <c r="D571">
        <v>168503</v>
      </c>
      <c r="E571">
        <v>20</v>
      </c>
      <c r="F571">
        <v>10</v>
      </c>
      <c r="G571">
        <v>10</v>
      </c>
      <c r="O571">
        <v>40</v>
      </c>
    </row>
    <row r="572" spans="1:15" x14ac:dyDescent="0.25">
      <c r="A572" t="s">
        <v>1038</v>
      </c>
      <c r="B572" t="s">
        <v>1039</v>
      </c>
      <c r="C572">
        <v>168647</v>
      </c>
      <c r="D572">
        <v>168647</v>
      </c>
      <c r="H572">
        <v>10</v>
      </c>
      <c r="I572">
        <v>10</v>
      </c>
      <c r="J572">
        <v>10</v>
      </c>
      <c r="K572">
        <v>0</v>
      </c>
      <c r="L572">
        <v>10</v>
      </c>
      <c r="M572">
        <v>40</v>
      </c>
    </row>
    <row r="573" spans="1:15" x14ac:dyDescent="0.25">
      <c r="A573" t="s">
        <v>1040</v>
      </c>
      <c r="B573" t="s">
        <v>1041</v>
      </c>
      <c r="C573">
        <v>168065</v>
      </c>
      <c r="D573">
        <v>168065</v>
      </c>
      <c r="H573">
        <v>10</v>
      </c>
      <c r="I573">
        <v>10</v>
      </c>
      <c r="J573">
        <v>10</v>
      </c>
      <c r="K573">
        <v>10</v>
      </c>
      <c r="L573">
        <v>0</v>
      </c>
      <c r="M573">
        <v>40</v>
      </c>
    </row>
    <row r="574" spans="1:15" x14ac:dyDescent="0.25">
      <c r="A574" t="s">
        <v>1042</v>
      </c>
      <c r="B574" t="s">
        <v>1043</v>
      </c>
      <c r="C574">
        <v>168450</v>
      </c>
      <c r="D574">
        <v>168450</v>
      </c>
      <c r="E574">
        <v>20</v>
      </c>
      <c r="F574">
        <v>10</v>
      </c>
      <c r="G574">
        <v>50</v>
      </c>
      <c r="O574">
        <v>80</v>
      </c>
    </row>
    <row r="575" spans="1:15" x14ac:dyDescent="0.25">
      <c r="A575" t="s">
        <v>1044</v>
      </c>
      <c r="B575" t="s">
        <v>1045</v>
      </c>
      <c r="C575">
        <v>168470</v>
      </c>
      <c r="D575">
        <v>168470</v>
      </c>
      <c r="E575">
        <v>50</v>
      </c>
      <c r="F575">
        <v>0</v>
      </c>
      <c r="G575">
        <v>20</v>
      </c>
      <c r="O575">
        <v>70</v>
      </c>
    </row>
    <row r="576" spans="1:15" x14ac:dyDescent="0.25">
      <c r="A576" t="s">
        <v>1046</v>
      </c>
      <c r="B576" t="s">
        <v>1047</v>
      </c>
      <c r="C576">
        <v>166363</v>
      </c>
      <c r="D576">
        <v>166363</v>
      </c>
      <c r="E576">
        <v>50</v>
      </c>
      <c r="F576">
        <v>40</v>
      </c>
      <c r="G576">
        <v>60</v>
      </c>
      <c r="O576">
        <v>150</v>
      </c>
    </row>
    <row r="577" spans="1:15" x14ac:dyDescent="0.25">
      <c r="A577" t="s">
        <v>1048</v>
      </c>
      <c r="B577" t="s">
        <v>486</v>
      </c>
      <c r="C577">
        <v>165451</v>
      </c>
      <c r="D577">
        <v>165451</v>
      </c>
      <c r="E577">
        <v>50</v>
      </c>
      <c r="F577">
        <v>30</v>
      </c>
      <c r="G577">
        <v>20</v>
      </c>
      <c r="O577">
        <v>100</v>
      </c>
    </row>
    <row r="578" spans="1:15" x14ac:dyDescent="0.25">
      <c r="A578" t="s">
        <v>1049</v>
      </c>
      <c r="B578" t="s">
        <v>1050</v>
      </c>
      <c r="C578">
        <v>165110</v>
      </c>
      <c r="D578">
        <v>165110</v>
      </c>
      <c r="H578">
        <v>0</v>
      </c>
      <c r="I578">
        <v>30</v>
      </c>
      <c r="J578">
        <v>20</v>
      </c>
      <c r="K578">
        <v>10</v>
      </c>
      <c r="L578">
        <v>0</v>
      </c>
      <c r="M578">
        <v>60</v>
      </c>
    </row>
    <row r="579" spans="1:15" x14ac:dyDescent="0.25">
      <c r="A579" t="s">
        <v>1051</v>
      </c>
      <c r="B579" t="s">
        <v>1052</v>
      </c>
      <c r="C579">
        <v>166885</v>
      </c>
      <c r="D579">
        <v>166885</v>
      </c>
      <c r="E579">
        <v>20</v>
      </c>
      <c r="F579">
        <v>20</v>
      </c>
      <c r="G579">
        <v>50</v>
      </c>
      <c r="O579">
        <v>90</v>
      </c>
    </row>
    <row r="580" spans="1:15" x14ac:dyDescent="0.25">
      <c r="A580" t="s">
        <v>1053</v>
      </c>
      <c r="B580" t="s">
        <v>93</v>
      </c>
      <c r="C580">
        <v>168511</v>
      </c>
      <c r="D580">
        <v>168511</v>
      </c>
      <c r="H580">
        <v>10</v>
      </c>
      <c r="I580">
        <v>40</v>
      </c>
      <c r="J580">
        <v>20</v>
      </c>
      <c r="K580">
        <v>10</v>
      </c>
      <c r="L580">
        <v>10</v>
      </c>
      <c r="M580">
        <v>90</v>
      </c>
    </row>
    <row r="581" spans="1:15" x14ac:dyDescent="0.25">
      <c r="A581" t="s">
        <v>1054</v>
      </c>
      <c r="B581" t="s">
        <v>1055</v>
      </c>
      <c r="C581">
        <v>168548</v>
      </c>
      <c r="D581">
        <v>168548</v>
      </c>
      <c r="H581">
        <v>10</v>
      </c>
      <c r="I581">
        <v>30</v>
      </c>
      <c r="J581">
        <v>20</v>
      </c>
      <c r="K581">
        <v>0</v>
      </c>
      <c r="L581">
        <v>0</v>
      </c>
      <c r="M581">
        <v>60</v>
      </c>
    </row>
    <row r="582" spans="1:15" x14ac:dyDescent="0.25">
      <c r="A582" t="s">
        <v>1056</v>
      </c>
      <c r="B582" t="s">
        <v>1057</v>
      </c>
      <c r="C582">
        <v>154609</v>
      </c>
      <c r="D582">
        <v>154609</v>
      </c>
      <c r="E582">
        <v>20</v>
      </c>
      <c r="F582">
        <v>20</v>
      </c>
      <c r="G582">
        <v>10</v>
      </c>
      <c r="O582">
        <v>50</v>
      </c>
    </row>
    <row r="583" spans="1:15" x14ac:dyDescent="0.25">
      <c r="A583" t="s">
        <v>1058</v>
      </c>
      <c r="B583" t="s">
        <v>1059</v>
      </c>
      <c r="C583">
        <v>168871</v>
      </c>
      <c r="D583">
        <v>168871</v>
      </c>
      <c r="H583">
        <v>20</v>
      </c>
      <c r="I583">
        <v>50</v>
      </c>
      <c r="J583">
        <v>20</v>
      </c>
      <c r="K583">
        <v>10</v>
      </c>
      <c r="L583">
        <v>0</v>
      </c>
      <c r="M583">
        <v>100</v>
      </c>
    </row>
    <row r="584" spans="1:15" x14ac:dyDescent="0.25">
      <c r="A584" t="s">
        <v>1060</v>
      </c>
      <c r="B584" t="s">
        <v>486</v>
      </c>
      <c r="C584">
        <v>168093</v>
      </c>
      <c r="D584">
        <v>168093</v>
      </c>
    </row>
    <row r="585" spans="1:15" x14ac:dyDescent="0.25">
      <c r="A585" t="s">
        <v>1061</v>
      </c>
      <c r="B585" t="s">
        <v>1043</v>
      </c>
      <c r="C585">
        <v>166321</v>
      </c>
      <c r="D585">
        <v>166321</v>
      </c>
      <c r="H585">
        <v>0</v>
      </c>
      <c r="I585">
        <v>40</v>
      </c>
      <c r="J585">
        <v>20</v>
      </c>
      <c r="K585">
        <v>0</v>
      </c>
      <c r="L585">
        <v>0</v>
      </c>
      <c r="M585">
        <v>60</v>
      </c>
    </row>
    <row r="586" spans="1:15" x14ac:dyDescent="0.25">
      <c r="A586" t="s">
        <v>1062</v>
      </c>
      <c r="B586" t="s">
        <v>1063</v>
      </c>
      <c r="C586">
        <v>164551</v>
      </c>
      <c r="D586">
        <v>164551</v>
      </c>
    </row>
    <row r="587" spans="1:15" x14ac:dyDescent="0.25">
      <c r="A587" t="s">
        <v>1064</v>
      </c>
      <c r="B587" t="s">
        <v>1065</v>
      </c>
      <c r="C587">
        <v>168100</v>
      </c>
      <c r="D587">
        <v>168100</v>
      </c>
      <c r="E587">
        <v>10</v>
      </c>
      <c r="F587">
        <v>20</v>
      </c>
      <c r="G587">
        <v>30</v>
      </c>
      <c r="O587">
        <v>60</v>
      </c>
    </row>
    <row r="588" spans="1:15" x14ac:dyDescent="0.25">
      <c r="A588" t="s">
        <v>1064</v>
      </c>
      <c r="B588" t="s">
        <v>1066</v>
      </c>
      <c r="C588">
        <v>164647</v>
      </c>
      <c r="D588">
        <v>164647</v>
      </c>
      <c r="E588">
        <v>40</v>
      </c>
      <c r="O588">
        <v>40</v>
      </c>
    </row>
    <row r="589" spans="1:15" x14ac:dyDescent="0.25">
      <c r="A589" t="s">
        <v>1067</v>
      </c>
      <c r="B589" t="s">
        <v>1068</v>
      </c>
      <c r="C589">
        <v>166540</v>
      </c>
      <c r="D589">
        <v>166540</v>
      </c>
      <c r="H589">
        <v>10</v>
      </c>
      <c r="I589">
        <v>50</v>
      </c>
      <c r="J589">
        <v>10</v>
      </c>
      <c r="K589">
        <v>0</v>
      </c>
      <c r="L589">
        <v>0</v>
      </c>
      <c r="M589">
        <v>70</v>
      </c>
    </row>
    <row r="590" spans="1:15" x14ac:dyDescent="0.25">
      <c r="A590" t="s">
        <v>1069</v>
      </c>
      <c r="B590" t="s">
        <v>1070</v>
      </c>
      <c r="C590">
        <v>162900</v>
      </c>
      <c r="D590">
        <v>162900</v>
      </c>
    </row>
    <row r="591" spans="1:15" x14ac:dyDescent="0.25">
      <c r="A591" t="s">
        <v>1071</v>
      </c>
      <c r="B591" t="s">
        <v>228</v>
      </c>
      <c r="C591">
        <v>168827</v>
      </c>
      <c r="D591">
        <v>168827</v>
      </c>
      <c r="H591">
        <v>0</v>
      </c>
      <c r="I591">
        <v>20</v>
      </c>
      <c r="J591">
        <v>20</v>
      </c>
      <c r="K591">
        <v>10</v>
      </c>
      <c r="L591">
        <v>0</v>
      </c>
      <c r="M591">
        <v>50</v>
      </c>
    </row>
    <row r="592" spans="1:15" x14ac:dyDescent="0.25">
      <c r="A592" t="s">
        <v>1071</v>
      </c>
      <c r="B592" t="s">
        <v>1072</v>
      </c>
      <c r="C592">
        <v>168905</v>
      </c>
      <c r="D592">
        <v>168905</v>
      </c>
      <c r="H592">
        <v>10</v>
      </c>
      <c r="I592">
        <v>50</v>
      </c>
      <c r="J592">
        <v>10</v>
      </c>
      <c r="K592">
        <v>10</v>
      </c>
      <c r="L592">
        <v>10</v>
      </c>
      <c r="M592">
        <v>90</v>
      </c>
    </row>
    <row r="593" spans="1:15" x14ac:dyDescent="0.25">
      <c r="A593" t="s">
        <v>1073</v>
      </c>
      <c r="B593" t="s">
        <v>830</v>
      </c>
      <c r="C593">
        <v>168308</v>
      </c>
      <c r="D593">
        <v>168308</v>
      </c>
      <c r="H593">
        <v>0</v>
      </c>
      <c r="I593">
        <v>50</v>
      </c>
      <c r="J593">
        <v>0</v>
      </c>
      <c r="K593">
        <v>0</v>
      </c>
      <c r="L593">
        <v>10</v>
      </c>
      <c r="M593">
        <v>60</v>
      </c>
    </row>
    <row r="594" spans="1:15" x14ac:dyDescent="0.25">
      <c r="A594" t="s">
        <v>1074</v>
      </c>
      <c r="B594" t="s">
        <v>1075</v>
      </c>
      <c r="C594">
        <v>164862</v>
      </c>
      <c r="D594">
        <v>164862</v>
      </c>
      <c r="E594">
        <v>10</v>
      </c>
      <c r="F594">
        <v>10</v>
      </c>
      <c r="G594">
        <v>10</v>
      </c>
      <c r="O594">
        <v>30</v>
      </c>
    </row>
    <row r="595" spans="1:15" x14ac:dyDescent="0.25">
      <c r="A595" t="s">
        <v>1076</v>
      </c>
      <c r="B595" t="s">
        <v>270</v>
      </c>
      <c r="C595">
        <v>167454</v>
      </c>
      <c r="D595">
        <v>167454</v>
      </c>
      <c r="H595">
        <v>0</v>
      </c>
      <c r="I595">
        <v>20</v>
      </c>
      <c r="J595">
        <v>20</v>
      </c>
      <c r="K595">
        <v>0</v>
      </c>
      <c r="L595">
        <v>10</v>
      </c>
      <c r="M595">
        <v>50</v>
      </c>
    </row>
    <row r="596" spans="1:15" x14ac:dyDescent="0.25">
      <c r="A596" t="s">
        <v>1077</v>
      </c>
      <c r="B596" t="s">
        <v>1078</v>
      </c>
      <c r="C596">
        <v>165979</v>
      </c>
      <c r="D596">
        <v>165979</v>
      </c>
      <c r="E596">
        <v>20</v>
      </c>
      <c r="F596">
        <v>20</v>
      </c>
      <c r="G596">
        <v>10</v>
      </c>
      <c r="O596">
        <v>50</v>
      </c>
    </row>
    <row r="597" spans="1:15" x14ac:dyDescent="0.25">
      <c r="A597" t="s">
        <v>1079</v>
      </c>
      <c r="B597" t="s">
        <v>1080</v>
      </c>
      <c r="C597">
        <v>168672</v>
      </c>
      <c r="D597">
        <v>168672</v>
      </c>
    </row>
    <row r="598" spans="1:15" x14ac:dyDescent="0.25">
      <c r="A598" t="s">
        <v>1081</v>
      </c>
      <c r="B598" t="s">
        <v>1082</v>
      </c>
      <c r="C598">
        <v>167311</v>
      </c>
      <c r="D598">
        <v>167311</v>
      </c>
      <c r="H598">
        <v>10</v>
      </c>
      <c r="I598">
        <v>30</v>
      </c>
      <c r="J598">
        <v>10</v>
      </c>
      <c r="K598">
        <v>10</v>
      </c>
      <c r="L598">
        <v>10</v>
      </c>
      <c r="M598">
        <v>70</v>
      </c>
    </row>
    <row r="599" spans="1:15" x14ac:dyDescent="0.25">
      <c r="A599" t="s">
        <v>1083</v>
      </c>
      <c r="B599" t="s">
        <v>197</v>
      </c>
      <c r="C599">
        <v>168060</v>
      </c>
      <c r="D599">
        <v>168060</v>
      </c>
      <c r="E599">
        <v>30</v>
      </c>
      <c r="F599">
        <v>20</v>
      </c>
      <c r="G599">
        <v>40</v>
      </c>
      <c r="O599">
        <v>90</v>
      </c>
    </row>
    <row r="600" spans="1:15" x14ac:dyDescent="0.25">
      <c r="A600" t="s">
        <v>1084</v>
      </c>
      <c r="B600" t="s">
        <v>1085</v>
      </c>
      <c r="C600">
        <v>158448</v>
      </c>
      <c r="D600">
        <v>158448</v>
      </c>
      <c r="E600">
        <v>10</v>
      </c>
      <c r="F600">
        <v>0</v>
      </c>
      <c r="G600">
        <v>40</v>
      </c>
      <c r="O600">
        <v>50</v>
      </c>
    </row>
    <row r="601" spans="1:15" x14ac:dyDescent="0.25">
      <c r="A601" t="s">
        <v>1086</v>
      </c>
      <c r="B601" t="s">
        <v>1087</v>
      </c>
      <c r="C601">
        <v>168797</v>
      </c>
      <c r="D601">
        <v>168797</v>
      </c>
      <c r="E601">
        <v>20</v>
      </c>
      <c r="F601">
        <v>30</v>
      </c>
      <c r="G601">
        <v>40</v>
      </c>
      <c r="O601">
        <v>90</v>
      </c>
    </row>
    <row r="602" spans="1:15" x14ac:dyDescent="0.25">
      <c r="A602" t="s">
        <v>1088</v>
      </c>
      <c r="B602" t="s">
        <v>1089</v>
      </c>
      <c r="C602">
        <v>166022</v>
      </c>
      <c r="D602">
        <v>166022</v>
      </c>
    </row>
    <row r="603" spans="1:15" x14ac:dyDescent="0.25">
      <c r="A603" t="s">
        <v>1090</v>
      </c>
      <c r="B603" t="s">
        <v>1091</v>
      </c>
      <c r="C603">
        <v>166020</v>
      </c>
      <c r="D603">
        <v>166020</v>
      </c>
      <c r="H603">
        <v>20</v>
      </c>
      <c r="I603">
        <v>20</v>
      </c>
      <c r="J603">
        <v>20</v>
      </c>
      <c r="K603">
        <v>10</v>
      </c>
      <c r="L603">
        <v>10</v>
      </c>
      <c r="M603">
        <v>80</v>
      </c>
    </row>
    <row r="604" spans="1:15" x14ac:dyDescent="0.25">
      <c r="A604" t="s">
        <v>1092</v>
      </c>
      <c r="B604" t="s">
        <v>1093</v>
      </c>
      <c r="C604">
        <v>167757</v>
      </c>
      <c r="D604">
        <v>167757</v>
      </c>
      <c r="E604">
        <v>20</v>
      </c>
      <c r="F604">
        <v>10</v>
      </c>
      <c r="G604">
        <v>30</v>
      </c>
      <c r="O604">
        <v>60</v>
      </c>
    </row>
    <row r="605" spans="1:15" x14ac:dyDescent="0.25">
      <c r="A605" t="s">
        <v>1094</v>
      </c>
      <c r="B605" t="s">
        <v>1095</v>
      </c>
      <c r="C605">
        <v>168353</v>
      </c>
      <c r="D605">
        <v>168353</v>
      </c>
      <c r="E605">
        <v>30</v>
      </c>
      <c r="F605">
        <v>20</v>
      </c>
      <c r="G605">
        <v>50</v>
      </c>
      <c r="O605">
        <v>100</v>
      </c>
    </row>
    <row r="606" spans="1:15" x14ac:dyDescent="0.25">
      <c r="A606" t="s">
        <v>1096</v>
      </c>
      <c r="B606" t="s">
        <v>286</v>
      </c>
      <c r="C606">
        <v>167510</v>
      </c>
      <c r="D606">
        <v>167510</v>
      </c>
      <c r="H606">
        <v>20</v>
      </c>
      <c r="I606">
        <v>30</v>
      </c>
      <c r="J606">
        <v>20</v>
      </c>
      <c r="K606">
        <v>0</v>
      </c>
      <c r="L606">
        <v>10</v>
      </c>
      <c r="M606">
        <v>80</v>
      </c>
    </row>
    <row r="607" spans="1:15" x14ac:dyDescent="0.25">
      <c r="A607" t="s">
        <v>1097</v>
      </c>
      <c r="B607" t="s">
        <v>1098</v>
      </c>
      <c r="C607">
        <v>168319</v>
      </c>
      <c r="D607">
        <v>168319</v>
      </c>
      <c r="E607">
        <v>20</v>
      </c>
      <c r="F607">
        <v>0</v>
      </c>
      <c r="G607">
        <v>20</v>
      </c>
      <c r="O607">
        <v>40</v>
      </c>
    </row>
    <row r="608" spans="1:15" x14ac:dyDescent="0.25">
      <c r="A608" t="s">
        <v>1099</v>
      </c>
      <c r="B608" t="s">
        <v>286</v>
      </c>
      <c r="C608">
        <v>168443</v>
      </c>
      <c r="D608">
        <v>168443</v>
      </c>
      <c r="H608">
        <v>10</v>
      </c>
      <c r="I608">
        <v>40</v>
      </c>
      <c r="J608">
        <v>10</v>
      </c>
      <c r="K608">
        <v>10</v>
      </c>
      <c r="L608">
        <v>0</v>
      </c>
      <c r="M608">
        <v>70</v>
      </c>
    </row>
    <row r="609" spans="1:15" x14ac:dyDescent="0.25">
      <c r="A609" t="s">
        <v>1100</v>
      </c>
      <c r="B609" t="s">
        <v>1101</v>
      </c>
      <c r="C609">
        <v>168579</v>
      </c>
      <c r="D609">
        <v>168579</v>
      </c>
      <c r="E609">
        <v>10</v>
      </c>
      <c r="F609">
        <v>10</v>
      </c>
      <c r="G609">
        <v>10</v>
      </c>
      <c r="O609">
        <v>30</v>
      </c>
    </row>
    <row r="610" spans="1:15" x14ac:dyDescent="0.25">
      <c r="A610" t="s">
        <v>1102</v>
      </c>
      <c r="B610" t="s">
        <v>1103</v>
      </c>
      <c r="C610">
        <v>164012</v>
      </c>
      <c r="D610">
        <v>164012</v>
      </c>
      <c r="E610">
        <v>20</v>
      </c>
      <c r="F610">
        <v>20</v>
      </c>
      <c r="G610">
        <v>50</v>
      </c>
      <c r="O610">
        <v>90</v>
      </c>
    </row>
    <row r="611" spans="1:15" x14ac:dyDescent="0.25">
      <c r="A611" t="s">
        <v>1104</v>
      </c>
      <c r="B611" t="s">
        <v>270</v>
      </c>
      <c r="C611">
        <v>166417</v>
      </c>
      <c r="D611">
        <v>166417</v>
      </c>
      <c r="E611">
        <v>20</v>
      </c>
      <c r="F611">
        <v>10</v>
      </c>
      <c r="G611">
        <v>20</v>
      </c>
      <c r="O611">
        <v>50</v>
      </c>
    </row>
    <row r="612" spans="1:15" x14ac:dyDescent="0.25">
      <c r="A612" t="s">
        <v>1105</v>
      </c>
      <c r="B612" t="s">
        <v>1106</v>
      </c>
      <c r="C612">
        <v>168079</v>
      </c>
      <c r="D612">
        <v>168079</v>
      </c>
      <c r="E612">
        <v>50</v>
      </c>
      <c r="F612">
        <v>30</v>
      </c>
      <c r="G612">
        <v>50</v>
      </c>
      <c r="O612">
        <v>130</v>
      </c>
    </row>
    <row r="613" spans="1:15" x14ac:dyDescent="0.25">
      <c r="A613" t="s">
        <v>1107</v>
      </c>
      <c r="B613" t="s">
        <v>1108</v>
      </c>
      <c r="C613">
        <v>166166</v>
      </c>
      <c r="D613">
        <v>166166</v>
      </c>
    </row>
    <row r="614" spans="1:15" x14ac:dyDescent="0.25">
      <c r="A614" t="s">
        <v>1109</v>
      </c>
      <c r="B614" t="s">
        <v>1110</v>
      </c>
      <c r="C614">
        <v>166172</v>
      </c>
      <c r="D614">
        <v>166172</v>
      </c>
      <c r="E614">
        <v>50</v>
      </c>
      <c r="F614">
        <v>20</v>
      </c>
      <c r="G614">
        <v>40</v>
      </c>
      <c r="O614">
        <v>110</v>
      </c>
    </row>
    <row r="615" spans="1:15" x14ac:dyDescent="0.25">
      <c r="A615" t="s">
        <v>1111</v>
      </c>
      <c r="B615" t="s">
        <v>890</v>
      </c>
      <c r="C615">
        <v>165283</v>
      </c>
      <c r="D615">
        <v>165283</v>
      </c>
      <c r="E615">
        <v>10</v>
      </c>
      <c r="F615">
        <v>10</v>
      </c>
      <c r="G615">
        <v>10</v>
      </c>
      <c r="O615">
        <v>30</v>
      </c>
    </row>
    <row r="616" spans="1:15" x14ac:dyDescent="0.25">
      <c r="A616" t="s">
        <v>1112</v>
      </c>
      <c r="B616" t="s">
        <v>1113</v>
      </c>
      <c r="C616">
        <v>166120</v>
      </c>
      <c r="D616">
        <v>166120</v>
      </c>
      <c r="E616">
        <v>20</v>
      </c>
      <c r="F616">
        <v>0</v>
      </c>
      <c r="G616">
        <v>10</v>
      </c>
      <c r="O616">
        <v>30</v>
      </c>
    </row>
    <row r="617" spans="1:15" x14ac:dyDescent="0.25">
      <c r="A617" t="s">
        <v>1114</v>
      </c>
      <c r="B617" t="s">
        <v>1115</v>
      </c>
      <c r="C617">
        <v>167019</v>
      </c>
      <c r="D617">
        <v>167019</v>
      </c>
    </row>
    <row r="618" spans="1:15" x14ac:dyDescent="0.25">
      <c r="A618" t="s">
        <v>1116</v>
      </c>
      <c r="B618" t="s">
        <v>1117</v>
      </c>
      <c r="C618">
        <v>168143</v>
      </c>
      <c r="D618">
        <v>168143</v>
      </c>
      <c r="H618">
        <v>0</v>
      </c>
      <c r="I618">
        <v>30</v>
      </c>
      <c r="J618">
        <v>10</v>
      </c>
      <c r="K618">
        <v>10</v>
      </c>
      <c r="L618">
        <v>0</v>
      </c>
      <c r="M618">
        <v>50</v>
      </c>
    </row>
    <row r="619" spans="1:15" x14ac:dyDescent="0.25">
      <c r="A619" t="s">
        <v>1118</v>
      </c>
      <c r="B619" t="s">
        <v>1119</v>
      </c>
      <c r="C619">
        <v>160058</v>
      </c>
      <c r="D619">
        <v>160058</v>
      </c>
      <c r="N619" t="s">
        <v>549</v>
      </c>
    </row>
    <row r="620" spans="1:15" x14ac:dyDescent="0.25">
      <c r="A620" t="s">
        <v>1120</v>
      </c>
      <c r="B620" t="s">
        <v>839</v>
      </c>
      <c r="C620">
        <v>167464</v>
      </c>
      <c r="D620">
        <v>167464</v>
      </c>
      <c r="H620">
        <v>20</v>
      </c>
      <c r="I620">
        <v>50</v>
      </c>
      <c r="J620">
        <v>20</v>
      </c>
      <c r="K620">
        <v>10</v>
      </c>
      <c r="L620">
        <v>0</v>
      </c>
      <c r="M620">
        <v>100</v>
      </c>
    </row>
    <row r="621" spans="1:15" x14ac:dyDescent="0.25">
      <c r="A621" t="s">
        <v>1121</v>
      </c>
      <c r="B621" t="s">
        <v>577</v>
      </c>
      <c r="C621">
        <v>167407</v>
      </c>
      <c r="D621">
        <v>167407</v>
      </c>
      <c r="E621">
        <v>50</v>
      </c>
      <c r="F621">
        <v>40</v>
      </c>
      <c r="G621">
        <v>40</v>
      </c>
      <c r="O621">
        <v>130</v>
      </c>
    </row>
    <row r="622" spans="1:15" x14ac:dyDescent="0.25">
      <c r="A622" t="s">
        <v>1122</v>
      </c>
      <c r="B622" t="s">
        <v>510</v>
      </c>
      <c r="C622">
        <v>166062</v>
      </c>
      <c r="D622">
        <v>166062</v>
      </c>
      <c r="H622">
        <v>0</v>
      </c>
      <c r="I622">
        <v>30</v>
      </c>
      <c r="J622">
        <v>10</v>
      </c>
      <c r="K622">
        <v>0</v>
      </c>
      <c r="L622">
        <v>0</v>
      </c>
      <c r="M622">
        <v>40</v>
      </c>
    </row>
    <row r="623" spans="1:15" x14ac:dyDescent="0.25">
      <c r="A623" t="s">
        <v>1123</v>
      </c>
      <c r="B623" t="s">
        <v>1124</v>
      </c>
      <c r="C623">
        <v>165395</v>
      </c>
      <c r="D623">
        <v>165395</v>
      </c>
      <c r="E623">
        <v>10</v>
      </c>
      <c r="F623">
        <v>30</v>
      </c>
      <c r="G623">
        <v>40</v>
      </c>
      <c r="O623">
        <v>80</v>
      </c>
    </row>
    <row r="624" spans="1:15" x14ac:dyDescent="0.25">
      <c r="A624" t="s">
        <v>1125</v>
      </c>
      <c r="B624" t="s">
        <v>1126</v>
      </c>
      <c r="C624">
        <v>168440</v>
      </c>
      <c r="D624">
        <v>168440</v>
      </c>
      <c r="H624">
        <v>10</v>
      </c>
      <c r="I624">
        <v>40</v>
      </c>
      <c r="J624">
        <v>10</v>
      </c>
      <c r="K624">
        <v>10</v>
      </c>
      <c r="L624">
        <v>10</v>
      </c>
      <c r="M624">
        <v>80</v>
      </c>
    </row>
    <row r="625" spans="1:15" x14ac:dyDescent="0.25">
      <c r="A625" t="s">
        <v>1127</v>
      </c>
      <c r="B625" t="s">
        <v>1128</v>
      </c>
      <c r="C625">
        <v>168658</v>
      </c>
      <c r="D625">
        <v>168658</v>
      </c>
      <c r="H625">
        <v>20</v>
      </c>
      <c r="I625">
        <v>40</v>
      </c>
      <c r="J625">
        <v>20</v>
      </c>
      <c r="K625">
        <v>10</v>
      </c>
      <c r="L625">
        <v>0</v>
      </c>
      <c r="M625">
        <v>90</v>
      </c>
    </row>
    <row r="626" spans="1:15" x14ac:dyDescent="0.25">
      <c r="A626" t="s">
        <v>1129</v>
      </c>
      <c r="B626" t="s">
        <v>1130</v>
      </c>
      <c r="C626">
        <v>167513</v>
      </c>
      <c r="D626">
        <v>167513</v>
      </c>
      <c r="E626">
        <v>20</v>
      </c>
      <c r="F626">
        <v>40</v>
      </c>
      <c r="G626">
        <v>20</v>
      </c>
      <c r="O626">
        <v>80</v>
      </c>
    </row>
    <row r="627" spans="1:15" x14ac:dyDescent="0.25">
      <c r="A627" t="s">
        <v>1131</v>
      </c>
      <c r="B627" t="s">
        <v>1132</v>
      </c>
      <c r="C627">
        <v>167723</v>
      </c>
      <c r="D627">
        <v>167723</v>
      </c>
      <c r="H627">
        <v>20</v>
      </c>
      <c r="I627">
        <v>40</v>
      </c>
      <c r="J627">
        <v>20</v>
      </c>
      <c r="K627">
        <v>10</v>
      </c>
      <c r="L627">
        <v>0</v>
      </c>
      <c r="M627">
        <v>90</v>
      </c>
    </row>
    <row r="628" spans="1:15" x14ac:dyDescent="0.25">
      <c r="A628" t="s">
        <v>1133</v>
      </c>
      <c r="B628" t="s">
        <v>1134</v>
      </c>
      <c r="C628">
        <v>167202</v>
      </c>
      <c r="D628">
        <v>167202</v>
      </c>
      <c r="E628">
        <v>10</v>
      </c>
      <c r="F628">
        <v>30</v>
      </c>
      <c r="G628">
        <v>40</v>
      </c>
      <c r="O628">
        <v>80</v>
      </c>
    </row>
    <row r="629" spans="1:15" x14ac:dyDescent="0.25">
      <c r="A629" t="s">
        <v>1135</v>
      </c>
      <c r="B629" t="s">
        <v>614</v>
      </c>
      <c r="C629">
        <v>166259</v>
      </c>
      <c r="D629">
        <v>166259</v>
      </c>
      <c r="H629">
        <v>20</v>
      </c>
      <c r="I629">
        <v>50</v>
      </c>
      <c r="J629">
        <v>20</v>
      </c>
      <c r="K629">
        <v>10</v>
      </c>
      <c r="L629">
        <v>0</v>
      </c>
      <c r="M629">
        <v>100</v>
      </c>
    </row>
    <row r="630" spans="1:15" x14ac:dyDescent="0.25">
      <c r="A630" t="s">
        <v>1136</v>
      </c>
      <c r="B630" t="s">
        <v>1137</v>
      </c>
      <c r="C630">
        <v>168128</v>
      </c>
      <c r="D630">
        <v>168128</v>
      </c>
      <c r="E630">
        <v>40</v>
      </c>
      <c r="F630">
        <v>0</v>
      </c>
      <c r="G630">
        <v>40</v>
      </c>
      <c r="O630">
        <v>80</v>
      </c>
    </row>
    <row r="631" spans="1:15" x14ac:dyDescent="0.25">
      <c r="A631" t="s">
        <v>1138</v>
      </c>
      <c r="B631" t="s">
        <v>67</v>
      </c>
      <c r="C631">
        <v>166066</v>
      </c>
      <c r="D631">
        <v>166066</v>
      </c>
      <c r="E631">
        <v>30</v>
      </c>
      <c r="F631">
        <v>30</v>
      </c>
      <c r="G631">
        <v>40</v>
      </c>
      <c r="O631">
        <v>100</v>
      </c>
    </row>
    <row r="632" spans="1:15" x14ac:dyDescent="0.25">
      <c r="A632" t="s">
        <v>1139</v>
      </c>
      <c r="B632" t="s">
        <v>1140</v>
      </c>
      <c r="C632">
        <v>166587</v>
      </c>
      <c r="D632">
        <v>166587</v>
      </c>
      <c r="E632">
        <v>40</v>
      </c>
      <c r="F632">
        <v>40</v>
      </c>
      <c r="G632">
        <v>40</v>
      </c>
      <c r="O632">
        <v>120</v>
      </c>
    </row>
    <row r="633" spans="1:15" x14ac:dyDescent="0.25">
      <c r="A633" t="s">
        <v>1141</v>
      </c>
      <c r="B633" t="s">
        <v>1142</v>
      </c>
      <c r="C633">
        <v>165945</v>
      </c>
      <c r="D633">
        <v>165945</v>
      </c>
      <c r="E633">
        <v>20</v>
      </c>
      <c r="F633">
        <v>10</v>
      </c>
      <c r="G633">
        <v>40</v>
      </c>
      <c r="O633">
        <v>70</v>
      </c>
    </row>
    <row r="634" spans="1:15" x14ac:dyDescent="0.25">
      <c r="A634" t="s">
        <v>1143</v>
      </c>
      <c r="B634" t="s">
        <v>1144</v>
      </c>
      <c r="C634">
        <v>167226</v>
      </c>
      <c r="D634">
        <v>167226</v>
      </c>
      <c r="H634">
        <v>10</v>
      </c>
      <c r="I634">
        <v>50</v>
      </c>
      <c r="J634">
        <v>20</v>
      </c>
      <c r="K634">
        <v>10</v>
      </c>
      <c r="L634">
        <v>0</v>
      </c>
      <c r="M634">
        <v>90</v>
      </c>
    </row>
    <row r="635" spans="1:15" x14ac:dyDescent="0.25">
      <c r="A635" t="s">
        <v>1145</v>
      </c>
      <c r="B635" t="s">
        <v>1146</v>
      </c>
      <c r="C635">
        <v>168296</v>
      </c>
      <c r="D635">
        <v>168296</v>
      </c>
      <c r="E635">
        <v>10</v>
      </c>
      <c r="F635">
        <v>30</v>
      </c>
      <c r="G635">
        <v>40</v>
      </c>
      <c r="O635">
        <v>80</v>
      </c>
    </row>
    <row r="636" spans="1:15" x14ac:dyDescent="0.25">
      <c r="A636" t="s">
        <v>1147</v>
      </c>
      <c r="B636" t="s">
        <v>1148</v>
      </c>
      <c r="C636">
        <v>166789</v>
      </c>
      <c r="D636">
        <v>166789</v>
      </c>
      <c r="E636">
        <v>10</v>
      </c>
      <c r="F636">
        <v>20</v>
      </c>
      <c r="G636">
        <v>30</v>
      </c>
      <c r="O636">
        <v>60</v>
      </c>
    </row>
    <row r="637" spans="1:15" x14ac:dyDescent="0.25">
      <c r="A637" t="s">
        <v>1149</v>
      </c>
      <c r="B637" t="s">
        <v>1150</v>
      </c>
      <c r="C637">
        <v>166104</v>
      </c>
      <c r="D637">
        <v>166104</v>
      </c>
      <c r="E637">
        <v>20</v>
      </c>
      <c r="F637">
        <v>10</v>
      </c>
      <c r="G637">
        <v>50</v>
      </c>
      <c r="O637">
        <v>80</v>
      </c>
    </row>
    <row r="638" spans="1:15" x14ac:dyDescent="0.25">
      <c r="A638" t="s">
        <v>1151</v>
      </c>
      <c r="B638" t="s">
        <v>1152</v>
      </c>
      <c r="C638">
        <v>168891</v>
      </c>
      <c r="D638">
        <v>168891</v>
      </c>
      <c r="H638">
        <v>10</v>
      </c>
      <c r="I638">
        <v>10</v>
      </c>
      <c r="J638">
        <v>10</v>
      </c>
      <c r="K638">
        <v>10</v>
      </c>
      <c r="L638">
        <v>0</v>
      </c>
      <c r="M638">
        <v>40</v>
      </c>
    </row>
    <row r="639" spans="1:15" x14ac:dyDescent="0.25">
      <c r="A639" t="s">
        <v>1153</v>
      </c>
      <c r="B639" t="s">
        <v>1154</v>
      </c>
      <c r="C639">
        <v>166590</v>
      </c>
      <c r="D639">
        <v>166590</v>
      </c>
      <c r="H639">
        <v>10</v>
      </c>
      <c r="I639">
        <v>20</v>
      </c>
      <c r="J639">
        <v>10</v>
      </c>
      <c r="K639">
        <v>0</v>
      </c>
      <c r="L639">
        <v>10</v>
      </c>
      <c r="M639">
        <v>50</v>
      </c>
    </row>
    <row r="640" spans="1:15" x14ac:dyDescent="0.25">
      <c r="A640" t="s">
        <v>1155</v>
      </c>
      <c r="B640" t="s">
        <v>1156</v>
      </c>
      <c r="C640">
        <v>166753</v>
      </c>
      <c r="D640">
        <v>166753</v>
      </c>
      <c r="H640">
        <v>20</v>
      </c>
      <c r="I640">
        <v>60</v>
      </c>
      <c r="J640">
        <v>20</v>
      </c>
      <c r="K640">
        <v>10</v>
      </c>
      <c r="L640">
        <v>0</v>
      </c>
      <c r="M640">
        <v>110</v>
      </c>
    </row>
    <row r="641" spans="1:15" x14ac:dyDescent="0.25">
      <c r="A641" t="s">
        <v>1157</v>
      </c>
      <c r="B641" t="s">
        <v>1158</v>
      </c>
      <c r="C641">
        <v>166776</v>
      </c>
      <c r="D641">
        <v>166776</v>
      </c>
      <c r="E641">
        <v>30</v>
      </c>
      <c r="F641">
        <v>40</v>
      </c>
      <c r="G641">
        <v>60</v>
      </c>
      <c r="O641">
        <v>130</v>
      </c>
    </row>
    <row r="642" spans="1:15" x14ac:dyDescent="0.25">
      <c r="A642" t="s">
        <v>1159</v>
      </c>
      <c r="B642" t="s">
        <v>1160</v>
      </c>
      <c r="C642">
        <v>166586</v>
      </c>
      <c r="D642">
        <v>166586</v>
      </c>
      <c r="H642">
        <v>10</v>
      </c>
      <c r="I642">
        <v>40</v>
      </c>
      <c r="J642">
        <v>20</v>
      </c>
      <c r="K642">
        <v>10</v>
      </c>
      <c r="L642">
        <v>10</v>
      </c>
      <c r="M642">
        <v>90</v>
      </c>
    </row>
    <row r="643" spans="1:15" x14ac:dyDescent="0.25">
      <c r="A643" t="s">
        <v>1161</v>
      </c>
      <c r="B643" t="s">
        <v>677</v>
      </c>
      <c r="C643">
        <v>167875</v>
      </c>
      <c r="D643">
        <v>167875</v>
      </c>
      <c r="H643">
        <v>0</v>
      </c>
      <c r="I643">
        <v>40</v>
      </c>
      <c r="J643">
        <v>0</v>
      </c>
      <c r="K643">
        <v>10</v>
      </c>
      <c r="L643">
        <v>10</v>
      </c>
      <c r="M643">
        <v>60</v>
      </c>
    </row>
    <row r="644" spans="1:15" x14ac:dyDescent="0.25">
      <c r="A644" t="s">
        <v>1162</v>
      </c>
      <c r="B644" t="s">
        <v>1163</v>
      </c>
      <c r="C644">
        <v>165308</v>
      </c>
      <c r="D644">
        <v>165308</v>
      </c>
    </row>
    <row r="645" spans="1:15" x14ac:dyDescent="0.25">
      <c r="A645" t="s">
        <v>1164</v>
      </c>
      <c r="B645" t="s">
        <v>1165</v>
      </c>
      <c r="C645">
        <v>163710</v>
      </c>
      <c r="D645">
        <v>163710</v>
      </c>
      <c r="E645">
        <v>10</v>
      </c>
      <c r="F645">
        <v>20</v>
      </c>
      <c r="G645">
        <v>40</v>
      </c>
      <c r="O645">
        <v>70</v>
      </c>
    </row>
    <row r="646" spans="1:15" x14ac:dyDescent="0.25">
      <c r="A646" t="s">
        <v>1166</v>
      </c>
      <c r="B646" t="s">
        <v>1167</v>
      </c>
      <c r="C646">
        <v>167170</v>
      </c>
      <c r="D646">
        <v>167170</v>
      </c>
      <c r="H646">
        <v>20</v>
      </c>
      <c r="I646">
        <v>50</v>
      </c>
      <c r="J646">
        <v>10</v>
      </c>
      <c r="K646">
        <v>10</v>
      </c>
      <c r="L646">
        <v>0</v>
      </c>
      <c r="M646">
        <v>90</v>
      </c>
    </row>
    <row r="647" spans="1:15" x14ac:dyDescent="0.25">
      <c r="A647" t="s">
        <v>1168</v>
      </c>
      <c r="B647" t="s">
        <v>1169</v>
      </c>
      <c r="C647">
        <v>168605</v>
      </c>
      <c r="D647">
        <v>168605</v>
      </c>
    </row>
    <row r="648" spans="1:15" x14ac:dyDescent="0.25">
      <c r="A648" t="s">
        <v>1170</v>
      </c>
      <c r="B648" t="s">
        <v>1171</v>
      </c>
      <c r="C648">
        <v>168728</v>
      </c>
      <c r="D648">
        <v>168728</v>
      </c>
      <c r="E648">
        <v>10</v>
      </c>
      <c r="F648">
        <v>10</v>
      </c>
      <c r="G648">
        <v>10</v>
      </c>
      <c r="O648">
        <v>30</v>
      </c>
    </row>
    <row r="649" spans="1:15" x14ac:dyDescent="0.25">
      <c r="A649" t="s">
        <v>1172</v>
      </c>
      <c r="B649" t="s">
        <v>725</v>
      </c>
      <c r="C649">
        <v>165744</v>
      </c>
      <c r="D649">
        <v>165744</v>
      </c>
      <c r="H649">
        <v>20</v>
      </c>
      <c r="I649">
        <v>60</v>
      </c>
      <c r="J649">
        <v>20</v>
      </c>
      <c r="K649">
        <v>10</v>
      </c>
      <c r="L649">
        <v>10</v>
      </c>
      <c r="M649">
        <v>120</v>
      </c>
    </row>
    <row r="650" spans="1:15" x14ac:dyDescent="0.25">
      <c r="A650" t="s">
        <v>1173</v>
      </c>
      <c r="B650" t="s">
        <v>1174</v>
      </c>
      <c r="C650">
        <v>166840</v>
      </c>
      <c r="D650">
        <v>166840</v>
      </c>
      <c r="H650">
        <v>0</v>
      </c>
      <c r="I650">
        <v>40</v>
      </c>
      <c r="J650">
        <v>10</v>
      </c>
      <c r="K650">
        <v>10</v>
      </c>
      <c r="L650">
        <v>0</v>
      </c>
      <c r="M650">
        <v>60</v>
      </c>
    </row>
    <row r="651" spans="1:15" x14ac:dyDescent="0.25">
      <c r="A651" t="s">
        <v>1175</v>
      </c>
      <c r="B651" t="s">
        <v>577</v>
      </c>
      <c r="C651">
        <v>166263</v>
      </c>
      <c r="D651">
        <v>166263</v>
      </c>
      <c r="E651">
        <v>10</v>
      </c>
      <c r="F651">
        <v>20</v>
      </c>
      <c r="G651">
        <v>30</v>
      </c>
      <c r="O651">
        <v>60</v>
      </c>
    </row>
    <row r="652" spans="1:15" x14ac:dyDescent="0.25">
      <c r="A652" t="s">
        <v>1176</v>
      </c>
      <c r="B652" t="s">
        <v>1177</v>
      </c>
      <c r="C652">
        <v>165577</v>
      </c>
      <c r="D652">
        <v>165577</v>
      </c>
      <c r="H652">
        <v>10</v>
      </c>
      <c r="I652">
        <v>20</v>
      </c>
      <c r="J652">
        <v>10</v>
      </c>
      <c r="K652">
        <v>0</v>
      </c>
      <c r="L652">
        <v>0</v>
      </c>
      <c r="M652">
        <v>40</v>
      </c>
    </row>
    <row r="653" spans="1:15" x14ac:dyDescent="0.25">
      <c r="A653" t="s">
        <v>1178</v>
      </c>
      <c r="B653" t="s">
        <v>725</v>
      </c>
      <c r="C653">
        <v>165515</v>
      </c>
      <c r="D653">
        <v>165515</v>
      </c>
    </row>
    <row r="654" spans="1:15" x14ac:dyDescent="0.25">
      <c r="A654" t="s">
        <v>1179</v>
      </c>
      <c r="B654" t="s">
        <v>1180</v>
      </c>
      <c r="C654">
        <v>168778</v>
      </c>
      <c r="D654">
        <v>168778</v>
      </c>
      <c r="H654">
        <v>10</v>
      </c>
      <c r="I654">
        <v>30</v>
      </c>
      <c r="J654">
        <v>10</v>
      </c>
      <c r="K654">
        <v>10</v>
      </c>
      <c r="L654">
        <v>0</v>
      </c>
      <c r="M654">
        <v>60</v>
      </c>
    </row>
    <row r="655" spans="1:15" x14ac:dyDescent="0.25">
      <c r="A655" t="s">
        <v>1181</v>
      </c>
      <c r="B655" t="s">
        <v>1182</v>
      </c>
      <c r="C655">
        <v>165877</v>
      </c>
      <c r="D655">
        <v>165877</v>
      </c>
      <c r="E655">
        <v>40</v>
      </c>
      <c r="F655">
        <v>0</v>
      </c>
      <c r="G655">
        <v>30</v>
      </c>
      <c r="O655">
        <v>70</v>
      </c>
    </row>
    <row r="656" spans="1:15" x14ac:dyDescent="0.25">
      <c r="A656" t="s">
        <v>1183</v>
      </c>
      <c r="B656" t="s">
        <v>95</v>
      </c>
      <c r="C656">
        <v>166328</v>
      </c>
      <c r="D656">
        <v>166328</v>
      </c>
      <c r="H656">
        <v>10</v>
      </c>
      <c r="I656">
        <v>30</v>
      </c>
      <c r="J656">
        <v>10</v>
      </c>
      <c r="K656">
        <v>10</v>
      </c>
      <c r="L656">
        <v>0</v>
      </c>
      <c r="M656">
        <v>60</v>
      </c>
    </row>
    <row r="657" spans="1:15" x14ac:dyDescent="0.25">
      <c r="A657" t="s">
        <v>1184</v>
      </c>
      <c r="B657" t="s">
        <v>1185</v>
      </c>
      <c r="C657">
        <v>165974</v>
      </c>
      <c r="D657">
        <v>165974</v>
      </c>
      <c r="H657">
        <v>10</v>
      </c>
      <c r="I657">
        <v>20</v>
      </c>
      <c r="J657">
        <v>20</v>
      </c>
      <c r="K657" t="s">
        <v>20</v>
      </c>
      <c r="M657">
        <v>50</v>
      </c>
    </row>
    <row r="658" spans="1:15" x14ac:dyDescent="0.25">
      <c r="A658" t="s">
        <v>1186</v>
      </c>
      <c r="B658" t="s">
        <v>1187</v>
      </c>
      <c r="C658">
        <v>162567</v>
      </c>
      <c r="D658">
        <v>162567</v>
      </c>
      <c r="E658">
        <v>30</v>
      </c>
      <c r="F658">
        <v>30</v>
      </c>
      <c r="G658">
        <v>50</v>
      </c>
      <c r="O658">
        <v>110</v>
      </c>
    </row>
    <row r="659" spans="1:15" x14ac:dyDescent="0.25">
      <c r="A659" t="s">
        <v>1188</v>
      </c>
      <c r="B659" t="s">
        <v>1189</v>
      </c>
      <c r="C659">
        <v>168857</v>
      </c>
      <c r="D659">
        <v>168857</v>
      </c>
      <c r="H659">
        <v>10</v>
      </c>
      <c r="I659">
        <v>30</v>
      </c>
      <c r="J659">
        <v>20</v>
      </c>
      <c r="K659">
        <v>10</v>
      </c>
      <c r="L659">
        <v>10</v>
      </c>
      <c r="M659">
        <v>80</v>
      </c>
    </row>
    <row r="660" spans="1:15" x14ac:dyDescent="0.25">
      <c r="A660" t="s">
        <v>1190</v>
      </c>
      <c r="B660" t="s">
        <v>1191</v>
      </c>
      <c r="C660">
        <v>166343</v>
      </c>
      <c r="D660">
        <v>166343</v>
      </c>
      <c r="E660">
        <v>50</v>
      </c>
      <c r="F660">
        <v>40</v>
      </c>
      <c r="G660">
        <v>30</v>
      </c>
      <c r="O660">
        <v>120</v>
      </c>
    </row>
    <row r="661" spans="1:15" x14ac:dyDescent="0.25">
      <c r="A661" t="s">
        <v>1192</v>
      </c>
      <c r="B661" t="s">
        <v>43</v>
      </c>
      <c r="C661">
        <v>166331</v>
      </c>
      <c r="D661">
        <v>166331</v>
      </c>
      <c r="H661">
        <v>20</v>
      </c>
      <c r="I661">
        <v>40</v>
      </c>
      <c r="J661">
        <v>20</v>
      </c>
      <c r="K661">
        <v>10</v>
      </c>
      <c r="L661">
        <v>10</v>
      </c>
      <c r="M661">
        <v>100</v>
      </c>
    </row>
    <row r="662" spans="1:15" x14ac:dyDescent="0.25">
      <c r="A662" t="s">
        <v>1193</v>
      </c>
      <c r="B662" t="s">
        <v>1194</v>
      </c>
      <c r="C662">
        <v>167036</v>
      </c>
      <c r="D662">
        <v>167036</v>
      </c>
    </row>
    <row r="663" spans="1:15" x14ac:dyDescent="0.25">
      <c r="A663" t="s">
        <v>1195</v>
      </c>
      <c r="B663" t="s">
        <v>1196</v>
      </c>
      <c r="C663">
        <v>162335</v>
      </c>
      <c r="D663">
        <v>162335</v>
      </c>
      <c r="E663">
        <v>50</v>
      </c>
      <c r="F663">
        <v>20</v>
      </c>
      <c r="G663">
        <v>50</v>
      </c>
      <c r="O663">
        <v>120</v>
      </c>
    </row>
    <row r="664" spans="1:15" x14ac:dyDescent="0.25">
      <c r="A664" t="s">
        <v>1197</v>
      </c>
      <c r="B664" t="s">
        <v>130</v>
      </c>
      <c r="C664">
        <v>166787</v>
      </c>
      <c r="D664">
        <v>166787</v>
      </c>
      <c r="H664">
        <v>10</v>
      </c>
      <c r="I664">
        <v>50</v>
      </c>
      <c r="J664">
        <v>20</v>
      </c>
      <c r="K664">
        <v>10</v>
      </c>
      <c r="L664">
        <v>10</v>
      </c>
      <c r="M664">
        <v>100</v>
      </c>
    </row>
    <row r="665" spans="1:15" x14ac:dyDescent="0.25">
      <c r="A665" t="s">
        <v>1198</v>
      </c>
      <c r="B665" t="s">
        <v>1199</v>
      </c>
      <c r="C665">
        <v>160769</v>
      </c>
      <c r="D665">
        <v>160769</v>
      </c>
    </row>
    <row r="666" spans="1:15" x14ac:dyDescent="0.25">
      <c r="A666" t="s">
        <v>1200</v>
      </c>
      <c r="B666" t="s">
        <v>1201</v>
      </c>
      <c r="C666">
        <v>168888</v>
      </c>
      <c r="D666">
        <v>168888</v>
      </c>
      <c r="H666">
        <v>0</v>
      </c>
      <c r="I666">
        <v>20</v>
      </c>
      <c r="J666">
        <v>10</v>
      </c>
      <c r="K666">
        <v>10</v>
      </c>
      <c r="L666">
        <v>0</v>
      </c>
      <c r="M666">
        <v>40</v>
      </c>
    </row>
    <row r="667" spans="1:15" x14ac:dyDescent="0.25">
      <c r="A667" t="s">
        <v>1202</v>
      </c>
      <c r="B667" t="s">
        <v>49</v>
      </c>
      <c r="C667">
        <v>163493</v>
      </c>
      <c r="D667">
        <v>163493</v>
      </c>
      <c r="E667">
        <v>40</v>
      </c>
      <c r="F667">
        <v>10</v>
      </c>
      <c r="G667">
        <v>40</v>
      </c>
      <c r="O667">
        <v>90</v>
      </c>
    </row>
    <row r="668" spans="1:15" x14ac:dyDescent="0.25">
      <c r="A668" t="s">
        <v>1203</v>
      </c>
      <c r="B668" t="s">
        <v>937</v>
      </c>
      <c r="C668">
        <v>166413</v>
      </c>
      <c r="D668">
        <v>166413</v>
      </c>
      <c r="E668">
        <v>0</v>
      </c>
      <c r="F668">
        <v>30</v>
      </c>
      <c r="G668">
        <v>0</v>
      </c>
      <c r="O668">
        <v>30</v>
      </c>
    </row>
    <row r="669" spans="1:15" x14ac:dyDescent="0.25">
      <c r="A669" t="s">
        <v>1203</v>
      </c>
      <c r="B669" t="s">
        <v>1204</v>
      </c>
      <c r="C669">
        <v>165694</v>
      </c>
      <c r="D669">
        <v>165694</v>
      </c>
      <c r="H669">
        <v>20</v>
      </c>
      <c r="I669">
        <v>40</v>
      </c>
      <c r="J669">
        <v>20</v>
      </c>
      <c r="K669">
        <v>10</v>
      </c>
      <c r="L669">
        <v>10</v>
      </c>
      <c r="M669">
        <v>100</v>
      </c>
    </row>
    <row r="670" spans="1:15" x14ac:dyDescent="0.25">
      <c r="A670" t="s">
        <v>1205</v>
      </c>
      <c r="B670" t="s">
        <v>980</v>
      </c>
      <c r="C670">
        <v>164459</v>
      </c>
      <c r="D670">
        <v>164459</v>
      </c>
      <c r="E670">
        <v>10</v>
      </c>
      <c r="F670">
        <v>10</v>
      </c>
      <c r="G670">
        <v>40</v>
      </c>
      <c r="O670">
        <v>60</v>
      </c>
    </row>
    <row r="671" spans="1:15" x14ac:dyDescent="0.25">
      <c r="A671" t="s">
        <v>1206</v>
      </c>
      <c r="B671" t="s">
        <v>1207</v>
      </c>
      <c r="C671">
        <v>166396</v>
      </c>
      <c r="D671">
        <v>166396</v>
      </c>
      <c r="H671">
        <v>20</v>
      </c>
      <c r="I671">
        <v>40</v>
      </c>
      <c r="J671">
        <v>10</v>
      </c>
      <c r="K671">
        <v>10</v>
      </c>
      <c r="L671">
        <v>10</v>
      </c>
      <c r="M671">
        <v>90</v>
      </c>
    </row>
    <row r="672" spans="1:15" x14ac:dyDescent="0.25">
      <c r="A672" t="s">
        <v>1206</v>
      </c>
      <c r="B672" t="s">
        <v>1208</v>
      </c>
      <c r="C672">
        <v>167604</v>
      </c>
      <c r="D672">
        <v>167604</v>
      </c>
      <c r="E672">
        <v>40</v>
      </c>
      <c r="F672">
        <v>0</v>
      </c>
      <c r="G672">
        <v>10</v>
      </c>
      <c r="O672">
        <v>50</v>
      </c>
    </row>
    <row r="673" spans="1:15" x14ac:dyDescent="0.25">
      <c r="A673" t="s">
        <v>1209</v>
      </c>
      <c r="B673" t="s">
        <v>1210</v>
      </c>
      <c r="C673">
        <v>166420</v>
      </c>
      <c r="D673">
        <v>166420</v>
      </c>
      <c r="H673">
        <v>20</v>
      </c>
      <c r="I673">
        <v>40</v>
      </c>
      <c r="J673">
        <v>20</v>
      </c>
      <c r="K673">
        <v>10</v>
      </c>
      <c r="L673">
        <v>0</v>
      </c>
      <c r="M673">
        <v>90</v>
      </c>
    </row>
    <row r="674" spans="1:15" x14ac:dyDescent="0.25">
      <c r="A674" t="s">
        <v>1211</v>
      </c>
      <c r="B674" t="s">
        <v>1212</v>
      </c>
      <c r="C674">
        <v>166203</v>
      </c>
      <c r="D674">
        <v>166203</v>
      </c>
      <c r="H674">
        <v>10</v>
      </c>
      <c r="I674">
        <v>30</v>
      </c>
      <c r="J674">
        <v>10</v>
      </c>
      <c r="K674">
        <v>10</v>
      </c>
      <c r="L674">
        <v>10</v>
      </c>
      <c r="M674">
        <v>70</v>
      </c>
    </row>
    <row r="675" spans="1:15" x14ac:dyDescent="0.25">
      <c r="A675" t="s">
        <v>1211</v>
      </c>
      <c r="B675" t="s">
        <v>266</v>
      </c>
      <c r="C675">
        <v>165830</v>
      </c>
      <c r="D675">
        <v>165830</v>
      </c>
      <c r="E675">
        <v>30</v>
      </c>
      <c r="F675">
        <v>20</v>
      </c>
      <c r="G675">
        <v>20</v>
      </c>
      <c r="O675">
        <v>70</v>
      </c>
    </row>
    <row r="676" spans="1:15" x14ac:dyDescent="0.25">
      <c r="A676" t="s">
        <v>1213</v>
      </c>
      <c r="B676" t="s">
        <v>1214</v>
      </c>
      <c r="C676">
        <v>168001</v>
      </c>
      <c r="D676">
        <v>168001</v>
      </c>
    </row>
    <row r="677" spans="1:15" x14ac:dyDescent="0.25">
      <c r="A677" t="s">
        <v>1215</v>
      </c>
      <c r="B677" t="s">
        <v>1216</v>
      </c>
      <c r="C677">
        <v>161194</v>
      </c>
      <c r="D677">
        <v>161194</v>
      </c>
      <c r="H677">
        <v>0</v>
      </c>
      <c r="I677">
        <v>40</v>
      </c>
      <c r="J677">
        <v>10</v>
      </c>
      <c r="K677">
        <v>10</v>
      </c>
      <c r="L677">
        <v>0</v>
      </c>
      <c r="M677">
        <v>60</v>
      </c>
    </row>
    <row r="678" spans="1:15" x14ac:dyDescent="0.25">
      <c r="A678" t="s">
        <v>1217</v>
      </c>
      <c r="B678" t="s">
        <v>544</v>
      </c>
      <c r="C678">
        <v>167766</v>
      </c>
      <c r="D678">
        <v>167766</v>
      </c>
      <c r="E678">
        <v>10</v>
      </c>
      <c r="F678">
        <v>30</v>
      </c>
      <c r="G678">
        <v>20</v>
      </c>
      <c r="O678">
        <v>60</v>
      </c>
    </row>
    <row r="679" spans="1:15" x14ac:dyDescent="0.25">
      <c r="A679" t="s">
        <v>1218</v>
      </c>
      <c r="B679" t="s">
        <v>1219</v>
      </c>
      <c r="C679">
        <v>161979</v>
      </c>
      <c r="D679">
        <v>161979</v>
      </c>
      <c r="H679">
        <v>10</v>
      </c>
      <c r="I679">
        <v>20</v>
      </c>
      <c r="J679">
        <v>0</v>
      </c>
      <c r="K679">
        <v>10</v>
      </c>
      <c r="L679">
        <v>0</v>
      </c>
      <c r="M679">
        <v>40</v>
      </c>
    </row>
    <row r="680" spans="1:15" x14ac:dyDescent="0.25">
      <c r="A680" t="s">
        <v>1220</v>
      </c>
      <c r="B680" t="s">
        <v>1221</v>
      </c>
      <c r="C680">
        <v>166381</v>
      </c>
      <c r="D680">
        <v>166381</v>
      </c>
      <c r="E680">
        <v>40</v>
      </c>
      <c r="F680">
        <v>30</v>
      </c>
      <c r="G680">
        <v>50</v>
      </c>
      <c r="O680">
        <v>120</v>
      </c>
    </row>
    <row r="681" spans="1:15" x14ac:dyDescent="0.25">
      <c r="A681" t="s">
        <v>1220</v>
      </c>
      <c r="B681" t="s">
        <v>197</v>
      </c>
      <c r="C681">
        <v>163485</v>
      </c>
      <c r="D681">
        <v>163485</v>
      </c>
      <c r="E681">
        <v>40</v>
      </c>
      <c r="F681">
        <v>20</v>
      </c>
      <c r="G681">
        <v>30</v>
      </c>
      <c r="O681">
        <v>90</v>
      </c>
    </row>
    <row r="682" spans="1:15" x14ac:dyDescent="0.25">
      <c r="A682" t="s">
        <v>1222</v>
      </c>
      <c r="B682" t="s">
        <v>1223</v>
      </c>
      <c r="C682">
        <v>167548</v>
      </c>
      <c r="D682">
        <v>167548</v>
      </c>
      <c r="E682">
        <v>40</v>
      </c>
      <c r="F682">
        <v>20</v>
      </c>
      <c r="G682">
        <v>30</v>
      </c>
      <c r="O682">
        <v>90</v>
      </c>
    </row>
    <row r="683" spans="1:15" x14ac:dyDescent="0.25">
      <c r="A683" t="s">
        <v>1222</v>
      </c>
      <c r="B683" t="s">
        <v>1224</v>
      </c>
      <c r="C683">
        <v>165659</v>
      </c>
      <c r="D683">
        <v>165659</v>
      </c>
      <c r="E683">
        <v>40</v>
      </c>
      <c r="F683">
        <v>40</v>
      </c>
      <c r="G683">
        <v>40</v>
      </c>
      <c r="O683">
        <v>120</v>
      </c>
    </row>
    <row r="684" spans="1:15" x14ac:dyDescent="0.25">
      <c r="A684" t="s">
        <v>1222</v>
      </c>
      <c r="B684" t="s">
        <v>1225</v>
      </c>
      <c r="C684">
        <v>166077</v>
      </c>
      <c r="D684">
        <v>166077</v>
      </c>
    </row>
    <row r="685" spans="1:15" x14ac:dyDescent="0.25">
      <c r="A685" t="s">
        <v>1222</v>
      </c>
      <c r="B685" t="s">
        <v>1226</v>
      </c>
      <c r="C685">
        <v>167511</v>
      </c>
      <c r="D685">
        <v>167511</v>
      </c>
      <c r="H685">
        <v>10</v>
      </c>
      <c r="I685">
        <v>50</v>
      </c>
      <c r="J685">
        <v>20</v>
      </c>
      <c r="K685">
        <v>10</v>
      </c>
      <c r="L685">
        <v>0</v>
      </c>
      <c r="M685">
        <v>90</v>
      </c>
    </row>
    <row r="686" spans="1:15" x14ac:dyDescent="0.25">
      <c r="A686" t="s">
        <v>1227</v>
      </c>
      <c r="B686" t="s">
        <v>1228</v>
      </c>
      <c r="C686">
        <v>167314</v>
      </c>
      <c r="D686">
        <v>167314</v>
      </c>
      <c r="E686">
        <v>0</v>
      </c>
      <c r="F686">
        <v>10</v>
      </c>
      <c r="G686">
        <v>10</v>
      </c>
      <c r="O686">
        <v>20</v>
      </c>
    </row>
    <row r="687" spans="1:15" x14ac:dyDescent="0.25">
      <c r="A687" t="s">
        <v>1229</v>
      </c>
      <c r="B687" t="s">
        <v>1230</v>
      </c>
      <c r="C687">
        <v>168357</v>
      </c>
      <c r="D687">
        <v>168357</v>
      </c>
      <c r="H687">
        <v>20</v>
      </c>
      <c r="I687">
        <v>40</v>
      </c>
      <c r="J687">
        <v>20</v>
      </c>
      <c r="K687">
        <v>10</v>
      </c>
      <c r="L687">
        <v>10</v>
      </c>
      <c r="M687">
        <v>100</v>
      </c>
    </row>
    <row r="688" spans="1:15" x14ac:dyDescent="0.25">
      <c r="A688" t="s">
        <v>1231</v>
      </c>
      <c r="B688" t="s">
        <v>596</v>
      </c>
      <c r="C688">
        <v>167480</v>
      </c>
      <c r="D688">
        <v>167480</v>
      </c>
      <c r="H688">
        <v>10</v>
      </c>
      <c r="I688">
        <v>40</v>
      </c>
      <c r="J688">
        <v>10</v>
      </c>
      <c r="K688">
        <v>10</v>
      </c>
      <c r="L688">
        <v>0</v>
      </c>
      <c r="M688">
        <v>70</v>
      </c>
    </row>
    <row r="689" spans="1:15" x14ac:dyDescent="0.25">
      <c r="A689" t="s">
        <v>1232</v>
      </c>
      <c r="B689" t="s">
        <v>1233</v>
      </c>
      <c r="C689">
        <v>163992</v>
      </c>
      <c r="D689">
        <v>163992</v>
      </c>
      <c r="E689">
        <v>10</v>
      </c>
      <c r="F689">
        <v>20</v>
      </c>
      <c r="G689">
        <v>50</v>
      </c>
      <c r="O689">
        <v>80</v>
      </c>
    </row>
    <row r="690" spans="1:15" x14ac:dyDescent="0.25">
      <c r="A690" t="s">
        <v>1234</v>
      </c>
      <c r="B690" t="s">
        <v>1235</v>
      </c>
      <c r="C690">
        <v>167561</v>
      </c>
      <c r="D690">
        <v>167561</v>
      </c>
      <c r="E690">
        <v>20</v>
      </c>
      <c r="F690">
        <v>10</v>
      </c>
      <c r="G690">
        <v>30</v>
      </c>
      <c r="O690">
        <v>60</v>
      </c>
    </row>
    <row r="691" spans="1:15" x14ac:dyDescent="0.25">
      <c r="A691" t="s">
        <v>1236</v>
      </c>
      <c r="B691" t="s">
        <v>1237</v>
      </c>
      <c r="C691">
        <v>168110</v>
      </c>
      <c r="D691">
        <v>168110</v>
      </c>
      <c r="E691">
        <v>30</v>
      </c>
      <c r="F691">
        <v>10</v>
      </c>
      <c r="G691">
        <v>0</v>
      </c>
      <c r="O691">
        <v>40</v>
      </c>
    </row>
    <row r="692" spans="1:15" x14ac:dyDescent="0.25">
      <c r="A692" t="s">
        <v>1238</v>
      </c>
      <c r="B692" t="s">
        <v>286</v>
      </c>
      <c r="C692">
        <v>162675</v>
      </c>
      <c r="D692">
        <v>162675</v>
      </c>
      <c r="H692">
        <v>20</v>
      </c>
      <c r="I692">
        <v>50</v>
      </c>
      <c r="J692">
        <v>10</v>
      </c>
      <c r="K692">
        <v>10</v>
      </c>
      <c r="L692">
        <v>10</v>
      </c>
      <c r="M692">
        <v>100</v>
      </c>
    </row>
    <row r="693" spans="1:15" x14ac:dyDescent="0.25">
      <c r="A693" t="s">
        <v>1239</v>
      </c>
      <c r="B693" t="s">
        <v>1240</v>
      </c>
      <c r="C693">
        <v>166164</v>
      </c>
      <c r="D693">
        <v>166164</v>
      </c>
      <c r="H693">
        <v>10</v>
      </c>
      <c r="I693">
        <v>40</v>
      </c>
      <c r="J693">
        <v>10</v>
      </c>
      <c r="K693">
        <v>10</v>
      </c>
      <c r="L693">
        <v>0</v>
      </c>
      <c r="M693">
        <v>70</v>
      </c>
      <c r="N693" t="s">
        <v>549</v>
      </c>
    </row>
    <row r="694" spans="1:15" x14ac:dyDescent="0.25">
      <c r="A694" t="s">
        <v>1241</v>
      </c>
      <c r="B694" t="s">
        <v>1242</v>
      </c>
      <c r="C694">
        <v>168433</v>
      </c>
      <c r="D694">
        <v>168433</v>
      </c>
      <c r="H694">
        <v>10</v>
      </c>
      <c r="I694">
        <v>10</v>
      </c>
      <c r="J694">
        <v>20</v>
      </c>
      <c r="K694">
        <v>0</v>
      </c>
      <c r="L694">
        <v>0</v>
      </c>
      <c r="M694">
        <v>40</v>
      </c>
    </row>
    <row r="695" spans="1:15" x14ac:dyDescent="0.25">
      <c r="A695" t="s">
        <v>1243</v>
      </c>
      <c r="B695" t="s">
        <v>1244</v>
      </c>
      <c r="C695">
        <v>168424</v>
      </c>
      <c r="D695">
        <v>168424</v>
      </c>
      <c r="E695">
        <v>50</v>
      </c>
      <c r="F695">
        <v>40</v>
      </c>
      <c r="G695">
        <v>40</v>
      </c>
      <c r="O695">
        <v>130</v>
      </c>
    </row>
    <row r="696" spans="1:15" x14ac:dyDescent="0.25">
      <c r="A696" t="s">
        <v>1243</v>
      </c>
      <c r="B696" t="s">
        <v>393</v>
      </c>
      <c r="C696">
        <v>163435</v>
      </c>
      <c r="D696">
        <v>163435</v>
      </c>
      <c r="N696" t="s">
        <v>549</v>
      </c>
    </row>
    <row r="697" spans="1:15" x14ac:dyDescent="0.25">
      <c r="A697" t="s">
        <v>1243</v>
      </c>
      <c r="B697" t="s">
        <v>126</v>
      </c>
      <c r="C697">
        <v>166925</v>
      </c>
      <c r="D697">
        <v>166925</v>
      </c>
      <c r="H697">
        <v>10</v>
      </c>
      <c r="I697">
        <v>40</v>
      </c>
      <c r="J697">
        <v>10</v>
      </c>
      <c r="K697">
        <v>10</v>
      </c>
      <c r="L697">
        <v>10</v>
      </c>
      <c r="M697">
        <v>80</v>
      </c>
    </row>
    <row r="698" spans="1:15" x14ac:dyDescent="0.25">
      <c r="A698" t="s">
        <v>1243</v>
      </c>
      <c r="B698" t="s">
        <v>1063</v>
      </c>
      <c r="C698">
        <v>168759</v>
      </c>
      <c r="D698">
        <v>168759</v>
      </c>
      <c r="H698">
        <v>10</v>
      </c>
      <c r="I698">
        <v>30</v>
      </c>
      <c r="J698">
        <v>10</v>
      </c>
      <c r="K698">
        <v>10</v>
      </c>
      <c r="L698">
        <v>10</v>
      </c>
      <c r="M698">
        <v>70</v>
      </c>
    </row>
    <row r="699" spans="1:15" x14ac:dyDescent="0.25">
      <c r="A699" t="s">
        <v>1243</v>
      </c>
      <c r="B699" t="s">
        <v>197</v>
      </c>
      <c r="C699">
        <v>163940</v>
      </c>
      <c r="D699">
        <v>163940</v>
      </c>
      <c r="E699">
        <v>0</v>
      </c>
      <c r="F699">
        <v>10</v>
      </c>
      <c r="G699">
        <v>20</v>
      </c>
      <c r="O699">
        <v>30</v>
      </c>
    </row>
    <row r="700" spans="1:15" x14ac:dyDescent="0.25">
      <c r="A700" t="s">
        <v>1245</v>
      </c>
      <c r="B700" t="s">
        <v>1246</v>
      </c>
      <c r="C700">
        <v>163689</v>
      </c>
      <c r="D700">
        <v>163689</v>
      </c>
    </row>
    <row r="701" spans="1:15" x14ac:dyDescent="0.25">
      <c r="A701" t="s">
        <v>1245</v>
      </c>
      <c r="B701" t="s">
        <v>1247</v>
      </c>
      <c r="C701">
        <v>168843</v>
      </c>
      <c r="D701">
        <v>168843</v>
      </c>
    </row>
    <row r="702" spans="1:15" x14ac:dyDescent="0.25">
      <c r="A702" t="s">
        <v>1248</v>
      </c>
      <c r="B702" t="s">
        <v>1249</v>
      </c>
      <c r="C702">
        <v>168260</v>
      </c>
      <c r="D702">
        <v>168260</v>
      </c>
      <c r="H702">
        <v>20</v>
      </c>
      <c r="I702">
        <v>40</v>
      </c>
      <c r="J702">
        <v>20</v>
      </c>
      <c r="K702">
        <v>10</v>
      </c>
      <c r="L702">
        <v>0</v>
      </c>
      <c r="M702">
        <v>90</v>
      </c>
    </row>
    <row r="703" spans="1:15" x14ac:dyDescent="0.25">
      <c r="A703" t="s">
        <v>1248</v>
      </c>
      <c r="B703" t="s">
        <v>396</v>
      </c>
      <c r="C703">
        <v>164266</v>
      </c>
      <c r="D703">
        <v>164266</v>
      </c>
    </row>
    <row r="704" spans="1:15" x14ac:dyDescent="0.25">
      <c r="A704" t="s">
        <v>1250</v>
      </c>
      <c r="B704" t="s">
        <v>49</v>
      </c>
      <c r="C704">
        <v>168521</v>
      </c>
      <c r="D704">
        <v>168521</v>
      </c>
      <c r="H704">
        <v>10</v>
      </c>
      <c r="I704">
        <v>50</v>
      </c>
      <c r="J704">
        <v>10</v>
      </c>
      <c r="K704">
        <v>10</v>
      </c>
      <c r="L704">
        <v>0</v>
      </c>
      <c r="M704">
        <v>80</v>
      </c>
    </row>
    <row r="705" spans="1:15" x14ac:dyDescent="0.25">
      <c r="A705" t="s">
        <v>1250</v>
      </c>
      <c r="B705" t="s">
        <v>197</v>
      </c>
      <c r="C705">
        <v>166176</v>
      </c>
      <c r="D705">
        <v>166176</v>
      </c>
      <c r="E705">
        <v>40</v>
      </c>
      <c r="F705">
        <v>10</v>
      </c>
      <c r="G705">
        <v>20</v>
      </c>
      <c r="O705">
        <v>70</v>
      </c>
    </row>
    <row r="706" spans="1:15" x14ac:dyDescent="0.25">
      <c r="A706" t="s">
        <v>1250</v>
      </c>
      <c r="B706" t="s">
        <v>1251</v>
      </c>
      <c r="C706">
        <v>168317</v>
      </c>
      <c r="D706">
        <v>168317</v>
      </c>
      <c r="E706">
        <v>20</v>
      </c>
      <c r="F706">
        <v>30</v>
      </c>
      <c r="G706">
        <v>30</v>
      </c>
      <c r="O706">
        <v>80</v>
      </c>
    </row>
    <row r="707" spans="1:15" x14ac:dyDescent="0.25">
      <c r="A707" t="s">
        <v>1252</v>
      </c>
      <c r="B707" t="s">
        <v>1253</v>
      </c>
      <c r="C707">
        <v>166048</v>
      </c>
      <c r="D707">
        <v>166048</v>
      </c>
      <c r="H707">
        <v>10</v>
      </c>
      <c r="I707">
        <v>40</v>
      </c>
      <c r="J707">
        <v>10</v>
      </c>
      <c r="K707">
        <v>10</v>
      </c>
      <c r="L707">
        <v>0</v>
      </c>
      <c r="M707">
        <v>70</v>
      </c>
    </row>
    <row r="708" spans="1:15" x14ac:dyDescent="0.25">
      <c r="A708" t="s">
        <v>1254</v>
      </c>
      <c r="B708" t="s">
        <v>1255</v>
      </c>
      <c r="C708">
        <v>168407</v>
      </c>
      <c r="D708">
        <v>168407</v>
      </c>
      <c r="H708">
        <v>0</v>
      </c>
      <c r="I708">
        <v>30</v>
      </c>
      <c r="J708">
        <v>20</v>
      </c>
      <c r="K708">
        <v>0</v>
      </c>
      <c r="L708">
        <v>0</v>
      </c>
      <c r="M708">
        <v>50</v>
      </c>
    </row>
    <row r="709" spans="1:15" x14ac:dyDescent="0.25">
      <c r="A709" t="s">
        <v>1256</v>
      </c>
      <c r="B709" t="s">
        <v>1257</v>
      </c>
      <c r="C709">
        <v>166517</v>
      </c>
      <c r="D709">
        <v>166517</v>
      </c>
      <c r="E709">
        <v>20</v>
      </c>
      <c r="F709">
        <v>20</v>
      </c>
      <c r="G709">
        <v>30</v>
      </c>
      <c r="O709">
        <v>70</v>
      </c>
    </row>
    <row r="710" spans="1:15" x14ac:dyDescent="0.25">
      <c r="A710" t="s">
        <v>1256</v>
      </c>
      <c r="B710" t="s">
        <v>1258</v>
      </c>
      <c r="C710">
        <v>166986</v>
      </c>
      <c r="D710">
        <v>166986</v>
      </c>
      <c r="H710">
        <v>20</v>
      </c>
      <c r="I710">
        <v>60</v>
      </c>
      <c r="J710">
        <v>20</v>
      </c>
      <c r="K710">
        <v>10</v>
      </c>
      <c r="L710">
        <v>10</v>
      </c>
      <c r="M710">
        <v>120</v>
      </c>
    </row>
    <row r="711" spans="1:15" x14ac:dyDescent="0.25">
      <c r="A711" t="s">
        <v>1259</v>
      </c>
      <c r="B711" t="s">
        <v>1260</v>
      </c>
      <c r="C711">
        <v>168669</v>
      </c>
      <c r="D711">
        <v>168669</v>
      </c>
    </row>
    <row r="712" spans="1:15" x14ac:dyDescent="0.25">
      <c r="A712" t="s">
        <v>1261</v>
      </c>
      <c r="B712" t="s">
        <v>1262</v>
      </c>
      <c r="C712">
        <v>167008</v>
      </c>
      <c r="D712">
        <v>167008</v>
      </c>
      <c r="E712">
        <v>40</v>
      </c>
      <c r="F712">
        <v>10</v>
      </c>
      <c r="G712">
        <v>50</v>
      </c>
      <c r="O712">
        <v>100</v>
      </c>
    </row>
    <row r="713" spans="1:15" x14ac:dyDescent="0.25">
      <c r="A713" t="s">
        <v>1263</v>
      </c>
      <c r="B713" t="s">
        <v>1264</v>
      </c>
      <c r="C713">
        <v>161913</v>
      </c>
      <c r="D713">
        <v>161913</v>
      </c>
      <c r="H713">
        <v>10</v>
      </c>
      <c r="I713">
        <v>10</v>
      </c>
      <c r="J713">
        <v>20</v>
      </c>
      <c r="K713">
        <v>10</v>
      </c>
      <c r="L713">
        <v>0</v>
      </c>
      <c r="M713">
        <v>50</v>
      </c>
    </row>
    <row r="714" spans="1:15" x14ac:dyDescent="0.25">
      <c r="A714" t="s">
        <v>1265</v>
      </c>
      <c r="B714" t="s">
        <v>1266</v>
      </c>
      <c r="C714">
        <v>168869</v>
      </c>
      <c r="D714">
        <v>168869</v>
      </c>
      <c r="H714">
        <v>20</v>
      </c>
      <c r="I714">
        <v>40</v>
      </c>
      <c r="J714">
        <v>10</v>
      </c>
      <c r="K714">
        <v>10</v>
      </c>
      <c r="L714">
        <v>10</v>
      </c>
      <c r="M714">
        <v>90</v>
      </c>
    </row>
    <row r="715" spans="1:15" x14ac:dyDescent="0.25">
      <c r="A715" t="s">
        <v>1267</v>
      </c>
      <c r="B715" t="s">
        <v>1268</v>
      </c>
      <c r="C715">
        <v>163404</v>
      </c>
      <c r="D715">
        <v>163404</v>
      </c>
      <c r="E715">
        <v>40</v>
      </c>
      <c r="F715">
        <v>30</v>
      </c>
      <c r="G715">
        <v>30</v>
      </c>
      <c r="O715">
        <v>100</v>
      </c>
    </row>
    <row r="716" spans="1:15" x14ac:dyDescent="0.25">
      <c r="A716" t="s">
        <v>1269</v>
      </c>
      <c r="B716" t="s">
        <v>1270</v>
      </c>
      <c r="C716">
        <v>165376</v>
      </c>
      <c r="D716">
        <v>165376</v>
      </c>
      <c r="E716">
        <v>0</v>
      </c>
      <c r="F716">
        <v>20</v>
      </c>
      <c r="G716">
        <v>20</v>
      </c>
      <c r="O716">
        <v>40</v>
      </c>
    </row>
    <row r="717" spans="1:15" x14ac:dyDescent="0.25">
      <c r="A717" t="s">
        <v>1271</v>
      </c>
      <c r="B717" t="s">
        <v>1272</v>
      </c>
      <c r="C717">
        <v>166953</v>
      </c>
      <c r="D717">
        <v>166953</v>
      </c>
      <c r="E717">
        <v>0</v>
      </c>
      <c r="F717">
        <v>20</v>
      </c>
      <c r="G717">
        <v>30</v>
      </c>
      <c r="O717">
        <v>50</v>
      </c>
    </row>
    <row r="718" spans="1:15" x14ac:dyDescent="0.25">
      <c r="A718" t="s">
        <v>1273</v>
      </c>
      <c r="B718" t="s">
        <v>1274</v>
      </c>
      <c r="C718">
        <v>166373</v>
      </c>
      <c r="D718">
        <v>166373</v>
      </c>
      <c r="E718">
        <v>50</v>
      </c>
      <c r="F718">
        <v>30</v>
      </c>
      <c r="G718">
        <v>30</v>
      </c>
      <c r="O718">
        <v>110</v>
      </c>
    </row>
    <row r="719" spans="1:15" x14ac:dyDescent="0.25">
      <c r="A719" t="s">
        <v>1275</v>
      </c>
      <c r="B719" t="s">
        <v>489</v>
      </c>
      <c r="C719">
        <v>167231</v>
      </c>
      <c r="D719">
        <v>167231</v>
      </c>
      <c r="H719">
        <v>20</v>
      </c>
      <c r="I719">
        <v>40</v>
      </c>
      <c r="J719">
        <v>20</v>
      </c>
      <c r="K719">
        <v>10</v>
      </c>
      <c r="L719">
        <v>0</v>
      </c>
      <c r="M719">
        <v>90</v>
      </c>
    </row>
    <row r="720" spans="1:15" x14ac:dyDescent="0.25">
      <c r="A720" t="s">
        <v>1276</v>
      </c>
      <c r="B720" t="s">
        <v>870</v>
      </c>
      <c r="C720">
        <v>165998</v>
      </c>
      <c r="D720">
        <v>165998</v>
      </c>
      <c r="H720">
        <v>0</v>
      </c>
      <c r="I720">
        <v>30</v>
      </c>
      <c r="J720">
        <v>10</v>
      </c>
      <c r="K720">
        <v>10</v>
      </c>
      <c r="L720">
        <v>10</v>
      </c>
      <c r="M720">
        <v>60</v>
      </c>
    </row>
    <row r="721" spans="1:15" x14ac:dyDescent="0.25">
      <c r="A721" t="s">
        <v>1277</v>
      </c>
      <c r="B721" t="s">
        <v>1278</v>
      </c>
      <c r="C721">
        <v>167157</v>
      </c>
      <c r="D721">
        <v>167157</v>
      </c>
      <c r="H721">
        <v>0</v>
      </c>
      <c r="I721">
        <v>40</v>
      </c>
      <c r="J721">
        <v>0</v>
      </c>
      <c r="K721">
        <v>10</v>
      </c>
      <c r="L721">
        <v>10</v>
      </c>
      <c r="M721">
        <v>60</v>
      </c>
    </row>
    <row r="722" spans="1:15" x14ac:dyDescent="0.25">
      <c r="A722" t="s">
        <v>1279</v>
      </c>
      <c r="B722" t="s">
        <v>1280</v>
      </c>
      <c r="C722">
        <v>166350</v>
      </c>
      <c r="D722">
        <v>166350</v>
      </c>
      <c r="E722">
        <v>20</v>
      </c>
      <c r="F722">
        <v>20</v>
      </c>
      <c r="G722">
        <v>30</v>
      </c>
      <c r="O722">
        <v>70</v>
      </c>
    </row>
    <row r="723" spans="1:15" x14ac:dyDescent="0.25">
      <c r="A723" t="s">
        <v>1281</v>
      </c>
      <c r="B723" t="s">
        <v>1059</v>
      </c>
      <c r="C723">
        <v>167623</v>
      </c>
      <c r="D723">
        <v>167623</v>
      </c>
    </row>
    <row r="724" spans="1:15" x14ac:dyDescent="0.25">
      <c r="A724" t="s">
        <v>1282</v>
      </c>
      <c r="B724" t="s">
        <v>1283</v>
      </c>
      <c r="C724">
        <v>166371</v>
      </c>
      <c r="D724">
        <v>166371</v>
      </c>
      <c r="H724">
        <v>10</v>
      </c>
      <c r="I724">
        <v>20</v>
      </c>
      <c r="J724">
        <v>10</v>
      </c>
      <c r="K724">
        <v>10</v>
      </c>
      <c r="L724">
        <v>0</v>
      </c>
      <c r="M724">
        <v>50</v>
      </c>
    </row>
    <row r="725" spans="1:15" x14ac:dyDescent="0.25">
      <c r="A725" t="s">
        <v>1284</v>
      </c>
      <c r="B725" t="s">
        <v>1285</v>
      </c>
      <c r="C725">
        <v>166079</v>
      </c>
      <c r="D725">
        <v>166079</v>
      </c>
      <c r="E725">
        <v>10</v>
      </c>
      <c r="F725">
        <v>20</v>
      </c>
      <c r="G725">
        <v>50</v>
      </c>
      <c r="O725">
        <v>80</v>
      </c>
    </row>
    <row r="726" spans="1:15" x14ac:dyDescent="0.25">
      <c r="A726" t="s">
        <v>1286</v>
      </c>
      <c r="B726" t="s">
        <v>1287</v>
      </c>
      <c r="C726">
        <v>167101</v>
      </c>
      <c r="D726">
        <v>167101</v>
      </c>
      <c r="E726">
        <v>20</v>
      </c>
      <c r="F726">
        <v>10</v>
      </c>
      <c r="G726">
        <v>20</v>
      </c>
      <c r="O726">
        <v>50</v>
      </c>
    </row>
    <row r="727" spans="1:15" x14ac:dyDescent="0.25">
      <c r="A727" t="s">
        <v>1288</v>
      </c>
      <c r="B727" t="s">
        <v>1289</v>
      </c>
      <c r="C727">
        <v>162680</v>
      </c>
      <c r="D727">
        <v>162680</v>
      </c>
      <c r="E727">
        <v>20</v>
      </c>
      <c r="F727">
        <v>20</v>
      </c>
      <c r="O727">
        <v>40</v>
      </c>
    </row>
    <row r="728" spans="1:15" x14ac:dyDescent="0.25">
      <c r="A728" t="s">
        <v>1290</v>
      </c>
      <c r="B728" t="s">
        <v>1291</v>
      </c>
      <c r="C728">
        <v>165951</v>
      </c>
      <c r="D728">
        <v>165951</v>
      </c>
      <c r="H728">
        <v>10</v>
      </c>
      <c r="I728">
        <v>0</v>
      </c>
      <c r="J728">
        <v>20</v>
      </c>
      <c r="K728">
        <v>10</v>
      </c>
      <c r="L728">
        <v>10</v>
      </c>
      <c r="M728">
        <v>50</v>
      </c>
    </row>
    <row r="729" spans="1:15" x14ac:dyDescent="0.25">
      <c r="A729" t="s">
        <v>1292</v>
      </c>
      <c r="B729" t="s">
        <v>302</v>
      </c>
      <c r="C729">
        <v>167238</v>
      </c>
      <c r="D729">
        <v>167238</v>
      </c>
      <c r="E729">
        <v>50</v>
      </c>
      <c r="F729">
        <v>30</v>
      </c>
      <c r="G729">
        <v>50</v>
      </c>
      <c r="O729">
        <v>130</v>
      </c>
    </row>
    <row r="730" spans="1:15" x14ac:dyDescent="0.25">
      <c r="A730" t="s">
        <v>1293</v>
      </c>
      <c r="B730" t="s">
        <v>1294</v>
      </c>
      <c r="C730">
        <v>168518</v>
      </c>
      <c r="D730">
        <v>168518</v>
      </c>
      <c r="H730">
        <v>10</v>
      </c>
      <c r="I730">
        <v>30</v>
      </c>
      <c r="J730">
        <v>20</v>
      </c>
      <c r="K730">
        <v>0</v>
      </c>
      <c r="L730">
        <v>0</v>
      </c>
      <c r="M730">
        <v>60</v>
      </c>
    </row>
    <row r="731" spans="1:15" x14ac:dyDescent="0.25">
      <c r="A731" t="s">
        <v>1295</v>
      </c>
      <c r="B731" t="s">
        <v>1296</v>
      </c>
      <c r="C731">
        <v>165854</v>
      </c>
      <c r="D731">
        <v>165854</v>
      </c>
      <c r="H731">
        <v>10</v>
      </c>
      <c r="I731">
        <v>40</v>
      </c>
      <c r="J731">
        <v>20</v>
      </c>
      <c r="K731">
        <v>10</v>
      </c>
      <c r="L731">
        <v>10</v>
      </c>
      <c r="M731">
        <v>90</v>
      </c>
    </row>
    <row r="732" spans="1:15" x14ac:dyDescent="0.25">
      <c r="A732" t="s">
        <v>1297</v>
      </c>
      <c r="B732" t="s">
        <v>1298</v>
      </c>
      <c r="C732">
        <v>168252</v>
      </c>
      <c r="D732">
        <v>168252</v>
      </c>
      <c r="H732">
        <v>10</v>
      </c>
      <c r="I732">
        <v>50</v>
      </c>
      <c r="J732">
        <v>10</v>
      </c>
      <c r="K732">
        <v>0</v>
      </c>
      <c r="L732">
        <v>10</v>
      </c>
      <c r="M732">
        <v>80</v>
      </c>
    </row>
    <row r="733" spans="1:15" x14ac:dyDescent="0.25">
      <c r="A733" t="s">
        <v>1299</v>
      </c>
      <c r="B733" t="s">
        <v>1300</v>
      </c>
      <c r="C733">
        <v>163692</v>
      </c>
      <c r="D733">
        <v>163692</v>
      </c>
      <c r="E733">
        <v>10</v>
      </c>
      <c r="F733">
        <v>10</v>
      </c>
      <c r="G733">
        <v>30</v>
      </c>
      <c r="O733">
        <v>50</v>
      </c>
    </row>
    <row r="734" spans="1:15" x14ac:dyDescent="0.25">
      <c r="A734" t="s">
        <v>1301</v>
      </c>
      <c r="B734" t="s">
        <v>197</v>
      </c>
      <c r="C734">
        <v>164665</v>
      </c>
      <c r="D734">
        <v>164665</v>
      </c>
    </row>
    <row r="735" spans="1:15" x14ac:dyDescent="0.25">
      <c r="A735" t="s">
        <v>1302</v>
      </c>
      <c r="B735" t="s">
        <v>467</v>
      </c>
      <c r="C735">
        <v>166799</v>
      </c>
      <c r="D735">
        <v>166799</v>
      </c>
      <c r="H735">
        <v>20</v>
      </c>
      <c r="I735">
        <v>50</v>
      </c>
      <c r="J735">
        <v>10</v>
      </c>
      <c r="K735">
        <v>0</v>
      </c>
      <c r="L735">
        <v>10</v>
      </c>
      <c r="M735">
        <v>90</v>
      </c>
    </row>
    <row r="736" spans="1:15" x14ac:dyDescent="0.25">
      <c r="A736" t="s">
        <v>1303</v>
      </c>
      <c r="B736" t="s">
        <v>1047</v>
      </c>
      <c r="C736">
        <v>165999</v>
      </c>
      <c r="D736">
        <v>165999</v>
      </c>
      <c r="H736">
        <v>20</v>
      </c>
      <c r="I736">
        <v>50</v>
      </c>
      <c r="J736">
        <v>20</v>
      </c>
      <c r="K736">
        <v>10</v>
      </c>
      <c r="L736">
        <v>10</v>
      </c>
      <c r="M736">
        <v>110</v>
      </c>
    </row>
    <row r="737" spans="1:18" x14ac:dyDescent="0.25">
      <c r="A737" t="s">
        <v>1304</v>
      </c>
      <c r="B737" t="s">
        <v>396</v>
      </c>
      <c r="C737">
        <v>167631</v>
      </c>
      <c r="D737">
        <v>167631</v>
      </c>
      <c r="H737">
        <v>0</v>
      </c>
      <c r="I737">
        <v>0</v>
      </c>
      <c r="J737">
        <v>20</v>
      </c>
      <c r="K737">
        <v>0</v>
      </c>
      <c r="L737">
        <v>10</v>
      </c>
      <c r="M737">
        <v>30</v>
      </c>
    </row>
    <row r="738" spans="1:18" x14ac:dyDescent="0.25">
      <c r="A738" t="s">
        <v>1305</v>
      </c>
      <c r="B738" t="s">
        <v>1306</v>
      </c>
      <c r="C738">
        <v>166108</v>
      </c>
      <c r="D738">
        <v>166108</v>
      </c>
      <c r="H738">
        <v>0</v>
      </c>
      <c r="I738">
        <v>40</v>
      </c>
      <c r="J738">
        <v>20</v>
      </c>
      <c r="K738">
        <v>10</v>
      </c>
      <c r="L738">
        <v>10</v>
      </c>
      <c r="M738">
        <v>80</v>
      </c>
    </row>
    <row r="739" spans="1:18" x14ac:dyDescent="0.25">
      <c r="A739" t="s">
        <v>1307</v>
      </c>
      <c r="B739" t="s">
        <v>1308</v>
      </c>
      <c r="C739">
        <v>167107</v>
      </c>
      <c r="D739">
        <v>167107</v>
      </c>
      <c r="E739">
        <v>30</v>
      </c>
      <c r="F739">
        <v>20</v>
      </c>
      <c r="G739">
        <v>40</v>
      </c>
      <c r="O739">
        <v>90</v>
      </c>
    </row>
    <row r="740" spans="1:18" x14ac:dyDescent="0.25">
      <c r="A740" t="s">
        <v>1309</v>
      </c>
      <c r="B740" t="s">
        <v>1310</v>
      </c>
      <c r="C740">
        <v>167181</v>
      </c>
      <c r="D740">
        <v>167181</v>
      </c>
      <c r="H740">
        <v>0</v>
      </c>
      <c r="I740">
        <v>40</v>
      </c>
      <c r="J740">
        <v>10</v>
      </c>
      <c r="K740">
        <v>0</v>
      </c>
      <c r="L740">
        <v>0</v>
      </c>
      <c r="M740">
        <v>50</v>
      </c>
    </row>
    <row r="741" spans="1:18" x14ac:dyDescent="0.25">
      <c r="A741" t="s">
        <v>1311</v>
      </c>
      <c r="B741" t="s">
        <v>1312</v>
      </c>
      <c r="C741">
        <v>163890</v>
      </c>
      <c r="D741">
        <v>163890</v>
      </c>
      <c r="E741">
        <v>30</v>
      </c>
      <c r="F741">
        <v>30</v>
      </c>
      <c r="G741">
        <v>20</v>
      </c>
      <c r="O741">
        <v>80</v>
      </c>
    </row>
    <row r="742" spans="1:18" x14ac:dyDescent="0.25">
      <c r="A742" t="s">
        <v>1313</v>
      </c>
      <c r="B742" t="s">
        <v>1314</v>
      </c>
      <c r="C742">
        <v>165639</v>
      </c>
      <c r="D742">
        <v>165639</v>
      </c>
      <c r="H742">
        <v>10</v>
      </c>
      <c r="I742">
        <v>40</v>
      </c>
      <c r="J742">
        <v>20</v>
      </c>
      <c r="K742">
        <v>0</v>
      </c>
      <c r="L742">
        <v>0</v>
      </c>
      <c r="M742">
        <v>70</v>
      </c>
    </row>
    <row r="743" spans="1:18" x14ac:dyDescent="0.25">
      <c r="A743" t="s">
        <v>1315</v>
      </c>
      <c r="B743" t="s">
        <v>1021</v>
      </c>
      <c r="C743">
        <v>168441</v>
      </c>
      <c r="D743">
        <v>168441</v>
      </c>
      <c r="H743">
        <v>20</v>
      </c>
      <c r="I743">
        <v>40</v>
      </c>
      <c r="J743">
        <v>20</v>
      </c>
      <c r="K743">
        <v>10</v>
      </c>
      <c r="L743">
        <v>10</v>
      </c>
      <c r="M743">
        <v>100</v>
      </c>
    </row>
    <row r="744" spans="1:18" x14ac:dyDescent="0.25">
      <c r="A744" t="s">
        <v>1316</v>
      </c>
      <c r="B744" t="s">
        <v>1317</v>
      </c>
      <c r="C744">
        <v>166790</v>
      </c>
      <c r="D744">
        <v>166790</v>
      </c>
      <c r="H744">
        <v>0</v>
      </c>
      <c r="I744">
        <v>10</v>
      </c>
      <c r="J744">
        <v>10</v>
      </c>
      <c r="K744">
        <v>10</v>
      </c>
      <c r="L744">
        <v>10</v>
      </c>
      <c r="M744">
        <v>40</v>
      </c>
    </row>
    <row r="745" spans="1:18" x14ac:dyDescent="0.25">
      <c r="A745" t="s">
        <v>1318</v>
      </c>
      <c r="B745" t="s">
        <v>1319</v>
      </c>
      <c r="C745">
        <v>168342</v>
      </c>
      <c r="D745">
        <v>168342</v>
      </c>
      <c r="H745">
        <v>10</v>
      </c>
      <c r="I745">
        <v>60</v>
      </c>
      <c r="J745">
        <v>20</v>
      </c>
      <c r="K745">
        <v>10</v>
      </c>
      <c r="L745">
        <v>10</v>
      </c>
      <c r="M745">
        <v>110</v>
      </c>
    </row>
    <row r="746" spans="1:18" x14ac:dyDescent="0.25">
      <c r="A746" t="s">
        <v>1320</v>
      </c>
      <c r="B746" t="s">
        <v>1321</v>
      </c>
      <c r="C746">
        <v>165589</v>
      </c>
      <c r="D746">
        <v>165589</v>
      </c>
      <c r="E746">
        <v>0</v>
      </c>
      <c r="F746">
        <v>0</v>
      </c>
      <c r="G746">
        <v>20</v>
      </c>
      <c r="O746">
        <v>20</v>
      </c>
    </row>
    <row r="747" spans="1:18" x14ac:dyDescent="0.25">
      <c r="A747" t="s">
        <v>1322</v>
      </c>
      <c r="B747" t="s">
        <v>1308</v>
      </c>
      <c r="C747">
        <v>165566</v>
      </c>
      <c r="D747">
        <v>165566</v>
      </c>
      <c r="E747">
        <v>30</v>
      </c>
      <c r="F747">
        <v>20</v>
      </c>
      <c r="G747">
        <v>50</v>
      </c>
      <c r="O747">
        <v>100</v>
      </c>
    </row>
    <row r="748" spans="1:18" x14ac:dyDescent="0.25">
      <c r="A748" t="s">
        <v>1323</v>
      </c>
      <c r="B748" t="s">
        <v>1324</v>
      </c>
      <c r="C748">
        <v>166478</v>
      </c>
      <c r="D748">
        <v>166478</v>
      </c>
      <c r="H748">
        <v>0</v>
      </c>
      <c r="I748">
        <v>50</v>
      </c>
      <c r="J748">
        <v>10</v>
      </c>
      <c r="K748">
        <v>10</v>
      </c>
      <c r="L748">
        <v>10</v>
      </c>
      <c r="M748">
        <v>80</v>
      </c>
    </row>
    <row r="749" spans="1:18" x14ac:dyDescent="0.25">
      <c r="A749" t="s">
        <v>1325</v>
      </c>
      <c r="B749" t="s">
        <v>1326</v>
      </c>
      <c r="C749">
        <v>168472</v>
      </c>
      <c r="D749">
        <v>168472</v>
      </c>
      <c r="H749">
        <v>20</v>
      </c>
      <c r="I749">
        <v>30</v>
      </c>
      <c r="J749">
        <v>10</v>
      </c>
      <c r="K749">
        <v>10</v>
      </c>
      <c r="L749">
        <v>10</v>
      </c>
      <c r="M749">
        <v>80</v>
      </c>
    </row>
    <row r="750" spans="1:18" x14ac:dyDescent="0.25">
      <c r="A750" t="s">
        <v>1327</v>
      </c>
      <c r="B750" t="s">
        <v>486</v>
      </c>
      <c r="C750">
        <v>166230</v>
      </c>
      <c r="D750">
        <v>166230</v>
      </c>
      <c r="E750">
        <v>0</v>
      </c>
      <c r="F750">
        <v>30</v>
      </c>
      <c r="G750">
        <v>20</v>
      </c>
      <c r="O750">
        <v>50</v>
      </c>
    </row>
    <row r="751" spans="1:18" x14ac:dyDescent="0.25">
      <c r="A751" t="s">
        <v>1328</v>
      </c>
      <c r="B751" t="s">
        <v>865</v>
      </c>
      <c r="C751">
        <v>166239</v>
      </c>
      <c r="D751">
        <v>166239</v>
      </c>
      <c r="E751">
        <v>10</v>
      </c>
      <c r="F751">
        <v>10</v>
      </c>
      <c r="G751">
        <v>30</v>
      </c>
      <c r="O751">
        <v>50</v>
      </c>
    </row>
    <row r="752" spans="1:18" x14ac:dyDescent="0.25">
      <c r="A752" t="s">
        <v>1329</v>
      </c>
      <c r="B752" t="s">
        <v>995</v>
      </c>
      <c r="C752">
        <v>168346</v>
      </c>
      <c r="D752">
        <v>168346</v>
      </c>
      <c r="R752" t="s">
        <v>20</v>
      </c>
    </row>
    <row r="753" spans="1:15" x14ac:dyDescent="0.25">
      <c r="A753" t="s">
        <v>1330</v>
      </c>
      <c r="B753" t="s">
        <v>577</v>
      </c>
      <c r="C753">
        <v>166788</v>
      </c>
      <c r="D753">
        <v>166788</v>
      </c>
      <c r="E753">
        <v>0</v>
      </c>
      <c r="F753">
        <v>20</v>
      </c>
      <c r="G753">
        <v>40</v>
      </c>
      <c r="O753">
        <v>60</v>
      </c>
    </row>
    <row r="754" spans="1:15" x14ac:dyDescent="0.25">
      <c r="A754" t="s">
        <v>1331</v>
      </c>
      <c r="B754" t="s">
        <v>1332</v>
      </c>
      <c r="C754">
        <v>164615</v>
      </c>
      <c r="D754">
        <v>164615</v>
      </c>
    </row>
    <row r="755" spans="1:15" x14ac:dyDescent="0.25">
      <c r="A755" t="s">
        <v>1333</v>
      </c>
      <c r="B755" t="s">
        <v>150</v>
      </c>
      <c r="C755">
        <v>168855</v>
      </c>
      <c r="D755">
        <v>168855</v>
      </c>
      <c r="H755">
        <v>20</v>
      </c>
      <c r="I755">
        <v>40</v>
      </c>
      <c r="J755">
        <v>0</v>
      </c>
      <c r="K755">
        <v>10</v>
      </c>
      <c r="L755">
        <v>10</v>
      </c>
      <c r="M755">
        <v>80</v>
      </c>
    </row>
    <row r="756" spans="1:15" x14ac:dyDescent="0.25">
      <c r="A756" t="s">
        <v>1334</v>
      </c>
      <c r="B756" t="s">
        <v>201</v>
      </c>
      <c r="C756">
        <v>162551</v>
      </c>
      <c r="D756">
        <v>162551</v>
      </c>
      <c r="E756">
        <v>10</v>
      </c>
      <c r="F756">
        <v>0</v>
      </c>
      <c r="G756">
        <v>40</v>
      </c>
      <c r="O756">
        <v>50</v>
      </c>
    </row>
    <row r="757" spans="1:15" x14ac:dyDescent="0.25">
      <c r="A757" t="s">
        <v>1335</v>
      </c>
      <c r="B757" t="s">
        <v>1336</v>
      </c>
      <c r="C757">
        <v>166141</v>
      </c>
      <c r="D757">
        <v>166141</v>
      </c>
      <c r="E757">
        <v>30</v>
      </c>
      <c r="F757">
        <v>30</v>
      </c>
      <c r="G757">
        <v>40</v>
      </c>
      <c r="O757">
        <v>100</v>
      </c>
    </row>
    <row r="758" spans="1:15" x14ac:dyDescent="0.25">
      <c r="A758" t="s">
        <v>1337</v>
      </c>
      <c r="B758" t="s">
        <v>579</v>
      </c>
      <c r="C758">
        <v>167832</v>
      </c>
      <c r="D758">
        <v>167832</v>
      </c>
      <c r="E758">
        <v>20</v>
      </c>
      <c r="F758">
        <v>0</v>
      </c>
      <c r="G758">
        <v>10</v>
      </c>
      <c r="O758">
        <v>30</v>
      </c>
    </row>
    <row r="759" spans="1:15" x14ac:dyDescent="0.25">
      <c r="A759" t="s">
        <v>1338</v>
      </c>
      <c r="B759" t="s">
        <v>1339</v>
      </c>
      <c r="C759">
        <v>167559</v>
      </c>
      <c r="D759">
        <v>167559</v>
      </c>
      <c r="H759">
        <v>0</v>
      </c>
      <c r="I759">
        <v>40</v>
      </c>
      <c r="J759">
        <v>10</v>
      </c>
      <c r="K759">
        <v>10</v>
      </c>
      <c r="L759">
        <v>10</v>
      </c>
      <c r="M759">
        <v>70</v>
      </c>
    </row>
    <row r="760" spans="1:15" x14ac:dyDescent="0.25">
      <c r="A760" t="s">
        <v>1340</v>
      </c>
      <c r="B760" t="s">
        <v>467</v>
      </c>
      <c r="C760">
        <v>168534</v>
      </c>
      <c r="D760">
        <v>168534</v>
      </c>
      <c r="E760">
        <v>0</v>
      </c>
      <c r="F760">
        <v>0</v>
      </c>
      <c r="G760">
        <v>40</v>
      </c>
      <c r="O760">
        <v>40</v>
      </c>
    </row>
    <row r="761" spans="1:15" x14ac:dyDescent="0.25">
      <c r="A761" t="s">
        <v>1341</v>
      </c>
      <c r="B761" t="s">
        <v>197</v>
      </c>
      <c r="C761">
        <v>163179</v>
      </c>
      <c r="D761">
        <v>163179</v>
      </c>
      <c r="E761">
        <v>30</v>
      </c>
      <c r="F761">
        <v>20</v>
      </c>
      <c r="G761">
        <v>30</v>
      </c>
      <c r="O761">
        <v>80</v>
      </c>
    </row>
    <row r="762" spans="1:15" x14ac:dyDescent="0.25">
      <c r="A762" t="s">
        <v>1342</v>
      </c>
      <c r="B762" t="s">
        <v>551</v>
      </c>
      <c r="C762">
        <v>166314</v>
      </c>
      <c r="D762">
        <v>166314</v>
      </c>
      <c r="E762">
        <v>50</v>
      </c>
      <c r="F762">
        <v>30</v>
      </c>
      <c r="G762">
        <v>30</v>
      </c>
      <c r="O762">
        <v>110</v>
      </c>
    </row>
    <row r="763" spans="1:15" x14ac:dyDescent="0.25">
      <c r="A763" t="s">
        <v>1343</v>
      </c>
      <c r="B763" t="s">
        <v>49</v>
      </c>
      <c r="C763">
        <v>167163</v>
      </c>
      <c r="D763">
        <v>167163</v>
      </c>
      <c r="E763">
        <v>30</v>
      </c>
      <c r="F763">
        <v>20</v>
      </c>
      <c r="G763">
        <v>30</v>
      </c>
      <c r="O763">
        <v>80</v>
      </c>
    </row>
    <row r="764" spans="1:15" x14ac:dyDescent="0.25">
      <c r="A764" t="s">
        <v>1344</v>
      </c>
      <c r="B764" t="s">
        <v>1345</v>
      </c>
      <c r="C764">
        <v>162721</v>
      </c>
      <c r="D764">
        <v>162721</v>
      </c>
    </row>
    <row r="765" spans="1:15" x14ac:dyDescent="0.25">
      <c r="A765" t="s">
        <v>1346</v>
      </c>
      <c r="B765" t="s">
        <v>1347</v>
      </c>
      <c r="C765">
        <v>165337</v>
      </c>
      <c r="D765">
        <v>165337</v>
      </c>
      <c r="H765">
        <v>10</v>
      </c>
      <c r="I765">
        <v>50</v>
      </c>
      <c r="J765">
        <v>20</v>
      </c>
      <c r="M765">
        <v>80</v>
      </c>
    </row>
    <row r="766" spans="1:15" x14ac:dyDescent="0.25">
      <c r="A766" t="s">
        <v>1348</v>
      </c>
      <c r="B766" t="s">
        <v>727</v>
      </c>
      <c r="C766">
        <v>167478</v>
      </c>
      <c r="D766">
        <v>167478</v>
      </c>
      <c r="E766">
        <v>40</v>
      </c>
      <c r="F766">
        <v>40</v>
      </c>
      <c r="G766">
        <v>30</v>
      </c>
      <c r="O766">
        <v>110</v>
      </c>
    </row>
    <row r="767" spans="1:15" x14ac:dyDescent="0.25">
      <c r="A767" t="s">
        <v>1349</v>
      </c>
      <c r="B767" t="s">
        <v>1350</v>
      </c>
      <c r="C767">
        <v>168773</v>
      </c>
      <c r="D767">
        <v>168773</v>
      </c>
      <c r="H767">
        <v>0</v>
      </c>
      <c r="I767">
        <v>30</v>
      </c>
      <c r="J767">
        <v>10</v>
      </c>
      <c r="K767">
        <v>10</v>
      </c>
      <c r="L767">
        <v>10</v>
      </c>
      <c r="M767">
        <v>60</v>
      </c>
    </row>
    <row r="768" spans="1:15" x14ac:dyDescent="0.25">
      <c r="A768" t="s">
        <v>1351</v>
      </c>
      <c r="B768" t="s">
        <v>836</v>
      </c>
      <c r="C768">
        <v>168608</v>
      </c>
      <c r="D768">
        <v>168608</v>
      </c>
      <c r="E768">
        <v>30</v>
      </c>
      <c r="F768">
        <v>0</v>
      </c>
      <c r="G768">
        <v>40</v>
      </c>
      <c r="O768">
        <v>70</v>
      </c>
    </row>
    <row r="769" spans="1:18" x14ac:dyDescent="0.25">
      <c r="A769" t="s">
        <v>1352</v>
      </c>
      <c r="B769" t="s">
        <v>340</v>
      </c>
      <c r="C769">
        <v>168880</v>
      </c>
      <c r="D769">
        <v>168880</v>
      </c>
      <c r="H769">
        <v>20</v>
      </c>
      <c r="I769">
        <v>20</v>
      </c>
      <c r="J769">
        <v>10</v>
      </c>
      <c r="K769">
        <v>10</v>
      </c>
      <c r="L769">
        <v>10</v>
      </c>
      <c r="M769">
        <v>70</v>
      </c>
    </row>
    <row r="770" spans="1:18" x14ac:dyDescent="0.25">
      <c r="A770" t="s">
        <v>1353</v>
      </c>
      <c r="B770" t="s">
        <v>124</v>
      </c>
      <c r="C770">
        <v>168800</v>
      </c>
      <c r="D770">
        <v>168800</v>
      </c>
      <c r="E770">
        <v>40</v>
      </c>
      <c r="F770">
        <v>10</v>
      </c>
      <c r="G770">
        <v>20</v>
      </c>
      <c r="O770">
        <v>70</v>
      </c>
    </row>
    <row r="771" spans="1:18" x14ac:dyDescent="0.25">
      <c r="A771" t="s">
        <v>1354</v>
      </c>
      <c r="B771" t="s">
        <v>350</v>
      </c>
      <c r="C771">
        <v>168459</v>
      </c>
      <c r="D771">
        <v>168459</v>
      </c>
      <c r="E771">
        <v>40</v>
      </c>
      <c r="F771">
        <v>30</v>
      </c>
      <c r="G771">
        <v>40</v>
      </c>
      <c r="O771">
        <v>110</v>
      </c>
    </row>
    <row r="772" spans="1:18" x14ac:dyDescent="0.25">
      <c r="A772" t="s">
        <v>1355</v>
      </c>
      <c r="B772" t="s">
        <v>486</v>
      </c>
      <c r="C772">
        <v>159745</v>
      </c>
      <c r="D772">
        <v>159745</v>
      </c>
      <c r="E772">
        <v>40</v>
      </c>
      <c r="F772">
        <v>10</v>
      </c>
      <c r="G772">
        <v>10</v>
      </c>
      <c r="O772">
        <v>60</v>
      </c>
    </row>
    <row r="773" spans="1:18" x14ac:dyDescent="0.25">
      <c r="A773" t="s">
        <v>1356</v>
      </c>
      <c r="B773" t="s">
        <v>1357</v>
      </c>
      <c r="C773">
        <v>167250</v>
      </c>
      <c r="D773">
        <v>167250</v>
      </c>
      <c r="E773">
        <v>30</v>
      </c>
      <c r="F773">
        <v>20</v>
      </c>
      <c r="G773">
        <v>50</v>
      </c>
      <c r="O773">
        <v>100</v>
      </c>
    </row>
    <row r="774" spans="1:18" x14ac:dyDescent="0.25">
      <c r="A774" t="s">
        <v>1356</v>
      </c>
      <c r="B774" t="s">
        <v>1358</v>
      </c>
      <c r="C774">
        <v>168696</v>
      </c>
      <c r="D774">
        <v>168696</v>
      </c>
      <c r="E774">
        <v>20</v>
      </c>
      <c r="F774">
        <v>0</v>
      </c>
      <c r="O774">
        <v>20</v>
      </c>
      <c r="R774" t="s">
        <v>20</v>
      </c>
    </row>
    <row r="775" spans="1:18" x14ac:dyDescent="0.25">
      <c r="A775" t="s">
        <v>1359</v>
      </c>
      <c r="B775" t="s">
        <v>1360</v>
      </c>
      <c r="C775">
        <v>168278</v>
      </c>
      <c r="D775">
        <v>168278</v>
      </c>
      <c r="E775">
        <v>30</v>
      </c>
      <c r="F775">
        <v>10</v>
      </c>
      <c r="G775">
        <v>30</v>
      </c>
      <c r="O775">
        <v>70</v>
      </c>
    </row>
    <row r="776" spans="1:18" x14ac:dyDescent="0.25">
      <c r="A776" t="s">
        <v>1361</v>
      </c>
      <c r="B776" t="s">
        <v>418</v>
      </c>
      <c r="C776">
        <v>167292</v>
      </c>
      <c r="D776">
        <v>167292</v>
      </c>
      <c r="E776">
        <v>10</v>
      </c>
      <c r="F776">
        <v>10</v>
      </c>
      <c r="G776">
        <v>10</v>
      </c>
      <c r="O776">
        <v>30</v>
      </c>
    </row>
    <row r="777" spans="1:18" x14ac:dyDescent="0.25">
      <c r="A777" t="s">
        <v>1361</v>
      </c>
      <c r="B777" t="s">
        <v>1362</v>
      </c>
      <c r="C777">
        <v>166437</v>
      </c>
      <c r="D777">
        <v>166437</v>
      </c>
      <c r="H777">
        <v>20</v>
      </c>
      <c r="I777">
        <v>40</v>
      </c>
      <c r="J777">
        <v>10</v>
      </c>
      <c r="K777">
        <v>10</v>
      </c>
      <c r="L777">
        <v>0</v>
      </c>
      <c r="M777">
        <v>80</v>
      </c>
    </row>
    <row r="778" spans="1:18" x14ac:dyDescent="0.25">
      <c r="A778" t="s">
        <v>1363</v>
      </c>
      <c r="B778" t="s">
        <v>49</v>
      </c>
      <c r="C778">
        <v>167273</v>
      </c>
      <c r="D778">
        <v>167273</v>
      </c>
      <c r="H778">
        <v>0</v>
      </c>
      <c r="I778" t="s">
        <v>20</v>
      </c>
      <c r="J778">
        <v>20</v>
      </c>
      <c r="M778">
        <v>20</v>
      </c>
      <c r="R778" t="s">
        <v>20</v>
      </c>
    </row>
    <row r="779" spans="1:18" x14ac:dyDescent="0.25">
      <c r="A779" t="s">
        <v>1364</v>
      </c>
      <c r="B779" t="s">
        <v>404</v>
      </c>
      <c r="C779">
        <v>168536</v>
      </c>
      <c r="D779">
        <v>168536</v>
      </c>
      <c r="H779">
        <v>0</v>
      </c>
      <c r="I779">
        <v>20</v>
      </c>
      <c r="J779">
        <v>10</v>
      </c>
      <c r="K779">
        <v>0</v>
      </c>
      <c r="L779">
        <v>0</v>
      </c>
      <c r="M779">
        <v>30</v>
      </c>
    </row>
    <row r="780" spans="1:18" x14ac:dyDescent="0.25">
      <c r="A780" t="s">
        <v>1365</v>
      </c>
      <c r="B780" t="s">
        <v>326</v>
      </c>
      <c r="C780">
        <v>166266</v>
      </c>
      <c r="D780">
        <v>166266</v>
      </c>
      <c r="E780">
        <v>30</v>
      </c>
      <c r="F780">
        <v>10</v>
      </c>
      <c r="G780">
        <v>30</v>
      </c>
      <c r="O780">
        <v>70</v>
      </c>
    </row>
    <row r="781" spans="1:18" x14ac:dyDescent="0.25">
      <c r="A781" t="s">
        <v>1366</v>
      </c>
      <c r="B781" t="s">
        <v>83</v>
      </c>
      <c r="C781">
        <v>165503</v>
      </c>
      <c r="D781">
        <v>165503</v>
      </c>
    </row>
    <row r="782" spans="1:18" x14ac:dyDescent="0.25">
      <c r="A782" t="s">
        <v>1367</v>
      </c>
      <c r="B782" t="s">
        <v>1368</v>
      </c>
      <c r="C782">
        <v>168131</v>
      </c>
      <c r="D782">
        <v>168131</v>
      </c>
      <c r="E782">
        <v>20</v>
      </c>
      <c r="F782">
        <v>30</v>
      </c>
      <c r="G782">
        <v>60</v>
      </c>
      <c r="O782">
        <v>110</v>
      </c>
    </row>
    <row r="783" spans="1:18" x14ac:dyDescent="0.25">
      <c r="A783" t="s">
        <v>1369</v>
      </c>
      <c r="B783" t="s">
        <v>49</v>
      </c>
      <c r="C783">
        <v>166964</v>
      </c>
      <c r="D783">
        <v>166964</v>
      </c>
      <c r="H783">
        <v>0</v>
      </c>
      <c r="I783">
        <v>20</v>
      </c>
      <c r="J783">
        <v>10</v>
      </c>
      <c r="K783">
        <v>0</v>
      </c>
      <c r="L783">
        <v>10</v>
      </c>
      <c r="M783">
        <v>40</v>
      </c>
    </row>
    <row r="784" spans="1:18" x14ac:dyDescent="0.25">
      <c r="A784" t="s">
        <v>1370</v>
      </c>
      <c r="B784" t="s">
        <v>590</v>
      </c>
      <c r="C784">
        <v>166139</v>
      </c>
      <c r="D784">
        <v>166139</v>
      </c>
      <c r="H784">
        <v>0</v>
      </c>
      <c r="I784">
        <v>50</v>
      </c>
      <c r="J784">
        <v>20</v>
      </c>
      <c r="K784">
        <v>0</v>
      </c>
      <c r="L784">
        <v>0</v>
      </c>
      <c r="M784">
        <v>70</v>
      </c>
    </row>
    <row r="785" spans="1:15" x14ac:dyDescent="0.25">
      <c r="A785" t="s">
        <v>1371</v>
      </c>
      <c r="B785" t="s">
        <v>166</v>
      </c>
      <c r="C785">
        <v>168468</v>
      </c>
      <c r="D785">
        <v>168468</v>
      </c>
      <c r="H785">
        <v>20</v>
      </c>
      <c r="I785">
        <v>30</v>
      </c>
      <c r="J785">
        <v>0</v>
      </c>
      <c r="K785">
        <v>10</v>
      </c>
      <c r="L785">
        <v>0</v>
      </c>
      <c r="M785">
        <v>60</v>
      </c>
    </row>
    <row r="786" spans="1:15" x14ac:dyDescent="0.25">
      <c r="A786" t="s">
        <v>1372</v>
      </c>
      <c r="B786" t="s">
        <v>1373</v>
      </c>
      <c r="C786">
        <v>167871</v>
      </c>
      <c r="D786">
        <v>167871</v>
      </c>
      <c r="H786">
        <v>0</v>
      </c>
      <c r="I786">
        <v>20</v>
      </c>
      <c r="J786">
        <v>20</v>
      </c>
      <c r="K786">
        <v>0</v>
      </c>
      <c r="L786">
        <v>0</v>
      </c>
      <c r="M786">
        <v>40</v>
      </c>
    </row>
    <row r="787" spans="1:15" x14ac:dyDescent="0.25">
      <c r="A787" t="s">
        <v>1374</v>
      </c>
      <c r="B787" t="s">
        <v>1375</v>
      </c>
      <c r="C787">
        <v>167313</v>
      </c>
      <c r="D787">
        <v>167313</v>
      </c>
      <c r="E787">
        <v>20</v>
      </c>
      <c r="F787">
        <v>30</v>
      </c>
      <c r="G787">
        <v>20</v>
      </c>
      <c r="O787">
        <v>70</v>
      </c>
    </row>
    <row r="788" spans="1:15" x14ac:dyDescent="0.25">
      <c r="A788" t="s">
        <v>1376</v>
      </c>
      <c r="B788" t="s">
        <v>1377</v>
      </c>
      <c r="C788">
        <v>164994</v>
      </c>
      <c r="D788">
        <v>164994</v>
      </c>
      <c r="E788">
        <v>40</v>
      </c>
      <c r="F788">
        <v>30</v>
      </c>
      <c r="G788">
        <v>30</v>
      </c>
      <c r="O788">
        <v>100</v>
      </c>
    </row>
    <row r="789" spans="1:15" x14ac:dyDescent="0.25">
      <c r="A789" t="s">
        <v>1378</v>
      </c>
      <c r="B789" t="s">
        <v>1379</v>
      </c>
      <c r="C789">
        <v>167885</v>
      </c>
      <c r="D789">
        <v>167885</v>
      </c>
      <c r="E789">
        <v>10</v>
      </c>
      <c r="O789">
        <v>10</v>
      </c>
    </row>
    <row r="790" spans="1:15" x14ac:dyDescent="0.25">
      <c r="A790" t="s">
        <v>1380</v>
      </c>
      <c r="B790" t="s">
        <v>1381</v>
      </c>
      <c r="C790">
        <v>168266</v>
      </c>
      <c r="D790">
        <v>168266</v>
      </c>
      <c r="E790">
        <v>0</v>
      </c>
      <c r="F790">
        <v>10</v>
      </c>
      <c r="G790">
        <v>20</v>
      </c>
      <c r="O790">
        <v>30</v>
      </c>
    </row>
    <row r="791" spans="1:15" x14ac:dyDescent="0.25">
      <c r="A791" t="s">
        <v>1382</v>
      </c>
      <c r="B791" t="s">
        <v>761</v>
      </c>
      <c r="C791">
        <v>168446</v>
      </c>
      <c r="D791">
        <v>168446</v>
      </c>
      <c r="H791">
        <v>0</v>
      </c>
      <c r="I791">
        <v>30</v>
      </c>
      <c r="J791">
        <v>20</v>
      </c>
      <c r="K791">
        <v>0</v>
      </c>
      <c r="L791">
        <v>10</v>
      </c>
      <c r="M791">
        <v>60</v>
      </c>
    </row>
    <row r="792" spans="1:15" x14ac:dyDescent="0.25">
      <c r="A792" t="s">
        <v>1383</v>
      </c>
      <c r="B792" t="s">
        <v>1308</v>
      </c>
      <c r="C792">
        <v>165939</v>
      </c>
      <c r="D792">
        <v>165939</v>
      </c>
      <c r="E792">
        <v>50</v>
      </c>
      <c r="F792">
        <v>40</v>
      </c>
      <c r="G792">
        <v>30</v>
      </c>
      <c r="O792">
        <v>120</v>
      </c>
    </row>
    <row r="793" spans="1:15" x14ac:dyDescent="0.25">
      <c r="A793" t="s">
        <v>1384</v>
      </c>
      <c r="B793" t="s">
        <v>1385</v>
      </c>
      <c r="C793">
        <v>167291</v>
      </c>
      <c r="D793">
        <v>167291</v>
      </c>
      <c r="H793">
        <v>20</v>
      </c>
      <c r="I793">
        <v>20</v>
      </c>
      <c r="J793">
        <v>10</v>
      </c>
      <c r="K793">
        <v>10</v>
      </c>
      <c r="L793">
        <v>10</v>
      </c>
      <c r="M793">
        <v>70</v>
      </c>
    </row>
    <row r="794" spans="1:15" x14ac:dyDescent="0.25">
      <c r="A794" t="s">
        <v>1386</v>
      </c>
      <c r="B794" t="s">
        <v>340</v>
      </c>
      <c r="C794">
        <v>167388</v>
      </c>
      <c r="D794">
        <v>167388</v>
      </c>
      <c r="E794">
        <v>40</v>
      </c>
      <c r="F794">
        <v>40</v>
      </c>
      <c r="G794">
        <v>30</v>
      </c>
      <c r="O794">
        <v>110</v>
      </c>
    </row>
    <row r="795" spans="1:15" x14ac:dyDescent="0.25">
      <c r="A795" t="s">
        <v>1387</v>
      </c>
      <c r="B795" t="s">
        <v>1388</v>
      </c>
      <c r="C795">
        <v>168500</v>
      </c>
      <c r="D795">
        <v>168500</v>
      </c>
      <c r="E795">
        <v>50</v>
      </c>
      <c r="F795">
        <v>30</v>
      </c>
      <c r="G795">
        <v>40</v>
      </c>
      <c r="O795">
        <v>120</v>
      </c>
    </row>
    <row r="796" spans="1:15" x14ac:dyDescent="0.25">
      <c r="A796" t="s">
        <v>1389</v>
      </c>
      <c r="B796" t="s">
        <v>1390</v>
      </c>
      <c r="C796">
        <v>167667</v>
      </c>
      <c r="D796">
        <v>167667</v>
      </c>
      <c r="E796">
        <v>40</v>
      </c>
      <c r="F796">
        <v>40</v>
      </c>
      <c r="G796">
        <v>30</v>
      </c>
      <c r="O796">
        <v>110</v>
      </c>
    </row>
    <row r="797" spans="1:15" x14ac:dyDescent="0.25">
      <c r="A797" t="s">
        <v>1391</v>
      </c>
      <c r="B797" t="s">
        <v>1392</v>
      </c>
      <c r="C797">
        <v>168758</v>
      </c>
      <c r="D797">
        <v>168758</v>
      </c>
      <c r="E797">
        <v>20</v>
      </c>
      <c r="F797">
        <v>20</v>
      </c>
      <c r="G797">
        <v>50</v>
      </c>
      <c r="O797">
        <v>90</v>
      </c>
    </row>
    <row r="798" spans="1:15" x14ac:dyDescent="0.25">
      <c r="A798" t="s">
        <v>1393</v>
      </c>
      <c r="B798" t="s">
        <v>1394</v>
      </c>
      <c r="C798">
        <v>165612</v>
      </c>
      <c r="D798">
        <v>165612</v>
      </c>
      <c r="H798">
        <v>20</v>
      </c>
      <c r="I798">
        <v>50</v>
      </c>
      <c r="J798">
        <v>20</v>
      </c>
      <c r="K798">
        <v>10</v>
      </c>
      <c r="L798">
        <v>0</v>
      </c>
      <c r="M798">
        <v>100</v>
      </c>
    </row>
    <row r="799" spans="1:15" x14ac:dyDescent="0.25">
      <c r="A799" t="s">
        <v>1395</v>
      </c>
      <c r="B799" t="s">
        <v>1396</v>
      </c>
      <c r="C799">
        <v>166282</v>
      </c>
      <c r="D799">
        <v>166282</v>
      </c>
      <c r="E799">
        <v>20</v>
      </c>
      <c r="F799">
        <v>30</v>
      </c>
      <c r="G799">
        <v>20</v>
      </c>
      <c r="O799">
        <v>70</v>
      </c>
    </row>
    <row r="800" spans="1:15" x14ac:dyDescent="0.25">
      <c r="A800" t="s">
        <v>1397</v>
      </c>
      <c r="B800" t="s">
        <v>53</v>
      </c>
      <c r="C800">
        <v>166181</v>
      </c>
      <c r="D800">
        <v>166181</v>
      </c>
      <c r="H800">
        <v>20</v>
      </c>
      <c r="I800">
        <v>60</v>
      </c>
      <c r="J800">
        <v>20</v>
      </c>
      <c r="K800">
        <v>10</v>
      </c>
      <c r="L800">
        <v>10</v>
      </c>
      <c r="M800">
        <v>120</v>
      </c>
      <c r="N800" t="s">
        <v>20</v>
      </c>
    </row>
    <row r="801" spans="1:15" x14ac:dyDescent="0.25">
      <c r="A801" t="s">
        <v>1398</v>
      </c>
      <c r="B801" t="s">
        <v>1399</v>
      </c>
      <c r="C801">
        <v>168369</v>
      </c>
      <c r="D801">
        <v>168369</v>
      </c>
      <c r="E801">
        <v>40</v>
      </c>
      <c r="F801">
        <v>30</v>
      </c>
      <c r="G801">
        <v>50</v>
      </c>
      <c r="O801">
        <v>120</v>
      </c>
    </row>
    <row r="802" spans="1:15" x14ac:dyDescent="0.25">
      <c r="A802" t="s">
        <v>1400</v>
      </c>
      <c r="B802" t="s">
        <v>1401</v>
      </c>
      <c r="C802">
        <v>166829</v>
      </c>
      <c r="D802">
        <v>166829</v>
      </c>
      <c r="E802">
        <v>10</v>
      </c>
      <c r="F802">
        <v>30</v>
      </c>
      <c r="G802">
        <v>20</v>
      </c>
      <c r="O802">
        <v>60</v>
      </c>
    </row>
    <row r="803" spans="1:15" x14ac:dyDescent="0.25">
      <c r="A803" t="s">
        <v>1402</v>
      </c>
      <c r="B803" t="s">
        <v>1403</v>
      </c>
      <c r="C803">
        <v>166458</v>
      </c>
      <c r="D803">
        <v>166458</v>
      </c>
      <c r="E803">
        <v>40</v>
      </c>
      <c r="F803">
        <v>20</v>
      </c>
      <c r="G803">
        <v>30</v>
      </c>
      <c r="O803">
        <v>90</v>
      </c>
    </row>
    <row r="804" spans="1:15" x14ac:dyDescent="0.25">
      <c r="A804" t="s">
        <v>1404</v>
      </c>
      <c r="B804" t="s">
        <v>79</v>
      </c>
      <c r="C804">
        <v>158815</v>
      </c>
      <c r="D804">
        <v>158815</v>
      </c>
    </row>
    <row r="805" spans="1:15" x14ac:dyDescent="0.25">
      <c r="A805" t="s">
        <v>1405</v>
      </c>
      <c r="B805" t="s">
        <v>1406</v>
      </c>
      <c r="C805">
        <v>161736</v>
      </c>
      <c r="D805">
        <v>161736</v>
      </c>
      <c r="E805">
        <v>20</v>
      </c>
      <c r="F805">
        <v>40</v>
      </c>
      <c r="G805">
        <v>40</v>
      </c>
      <c r="O805">
        <v>100</v>
      </c>
    </row>
    <row r="806" spans="1:15" x14ac:dyDescent="0.25">
      <c r="A806" t="s">
        <v>1407</v>
      </c>
      <c r="B806" t="s">
        <v>326</v>
      </c>
      <c r="C806">
        <v>167536</v>
      </c>
      <c r="D806">
        <v>167536</v>
      </c>
      <c r="H806">
        <v>10</v>
      </c>
      <c r="I806">
        <v>30</v>
      </c>
      <c r="J806">
        <v>10</v>
      </c>
      <c r="K806">
        <v>0</v>
      </c>
      <c r="L806">
        <v>10</v>
      </c>
      <c r="M806">
        <v>60</v>
      </c>
    </row>
    <row r="807" spans="1:15" x14ac:dyDescent="0.25">
      <c r="A807" t="s">
        <v>1408</v>
      </c>
      <c r="B807" t="s">
        <v>1409</v>
      </c>
      <c r="C807">
        <v>167059</v>
      </c>
      <c r="D807">
        <v>167059</v>
      </c>
      <c r="E807">
        <v>20</v>
      </c>
      <c r="F807">
        <v>0</v>
      </c>
      <c r="G807">
        <v>30</v>
      </c>
      <c r="O807">
        <v>50</v>
      </c>
    </row>
    <row r="808" spans="1:15" x14ac:dyDescent="0.25">
      <c r="A808" t="s">
        <v>1410</v>
      </c>
      <c r="B808" t="s">
        <v>1411</v>
      </c>
      <c r="C808">
        <v>166502</v>
      </c>
      <c r="D808">
        <v>166502</v>
      </c>
      <c r="H808">
        <v>10</v>
      </c>
      <c r="I808">
        <v>30</v>
      </c>
      <c r="J808">
        <v>10</v>
      </c>
      <c r="K808">
        <v>0</v>
      </c>
      <c r="L808">
        <v>10</v>
      </c>
      <c r="M808">
        <v>60</v>
      </c>
    </row>
    <row r="809" spans="1:15" x14ac:dyDescent="0.25">
      <c r="A809" t="s">
        <v>1412</v>
      </c>
      <c r="B809" t="s">
        <v>1413</v>
      </c>
      <c r="C809">
        <v>167525</v>
      </c>
      <c r="D809">
        <v>167525</v>
      </c>
      <c r="H809">
        <v>10</v>
      </c>
      <c r="I809">
        <v>0</v>
      </c>
      <c r="J809">
        <v>20</v>
      </c>
      <c r="K809" t="s">
        <v>20</v>
      </c>
      <c r="M809">
        <v>30</v>
      </c>
    </row>
    <row r="810" spans="1:15" x14ac:dyDescent="0.25">
      <c r="A810" t="s">
        <v>1414</v>
      </c>
      <c r="B810" t="s">
        <v>963</v>
      </c>
      <c r="C810">
        <v>166231</v>
      </c>
      <c r="D810">
        <v>166231</v>
      </c>
      <c r="E810">
        <v>10</v>
      </c>
      <c r="F810">
        <v>20</v>
      </c>
      <c r="G810">
        <v>30</v>
      </c>
      <c r="O810">
        <v>60</v>
      </c>
    </row>
    <row r="811" spans="1:15" x14ac:dyDescent="0.25">
      <c r="A811" t="s">
        <v>1415</v>
      </c>
      <c r="B811" t="s">
        <v>672</v>
      </c>
      <c r="C811">
        <v>165021</v>
      </c>
      <c r="D811">
        <v>165021</v>
      </c>
      <c r="H811">
        <v>20</v>
      </c>
      <c r="I811">
        <v>40</v>
      </c>
      <c r="J811">
        <v>10</v>
      </c>
      <c r="K811">
        <v>10</v>
      </c>
      <c r="L811">
        <v>10</v>
      </c>
      <c r="M811">
        <v>90</v>
      </c>
    </row>
    <row r="812" spans="1:15" x14ac:dyDescent="0.25">
      <c r="A812" t="s">
        <v>1416</v>
      </c>
      <c r="B812" t="s">
        <v>579</v>
      </c>
      <c r="C812">
        <v>165393</v>
      </c>
      <c r="D812">
        <v>165393</v>
      </c>
      <c r="E812">
        <v>10</v>
      </c>
      <c r="F812">
        <v>30</v>
      </c>
      <c r="G812">
        <v>40</v>
      </c>
      <c r="O812">
        <v>80</v>
      </c>
    </row>
    <row r="813" spans="1:15" x14ac:dyDescent="0.25">
      <c r="A813" t="s">
        <v>1417</v>
      </c>
      <c r="B813" t="s">
        <v>1418</v>
      </c>
      <c r="C813">
        <v>166151</v>
      </c>
      <c r="D813">
        <v>166151</v>
      </c>
      <c r="H813">
        <v>0</v>
      </c>
      <c r="I813">
        <v>30</v>
      </c>
      <c r="J813">
        <v>10</v>
      </c>
      <c r="K813">
        <v>0</v>
      </c>
      <c r="L813">
        <v>0</v>
      </c>
      <c r="M813">
        <v>40</v>
      </c>
    </row>
    <row r="814" spans="1:15" x14ac:dyDescent="0.25">
      <c r="A814" t="s">
        <v>1419</v>
      </c>
      <c r="B814" t="s">
        <v>577</v>
      </c>
      <c r="C814">
        <v>167471</v>
      </c>
      <c r="D814">
        <v>167471</v>
      </c>
      <c r="H814">
        <v>20</v>
      </c>
      <c r="I814">
        <v>50</v>
      </c>
      <c r="J814">
        <v>20</v>
      </c>
      <c r="K814">
        <v>10</v>
      </c>
      <c r="L814">
        <v>10</v>
      </c>
      <c r="M814">
        <v>110</v>
      </c>
    </row>
    <row r="815" spans="1:15" x14ac:dyDescent="0.25">
      <c r="A815" t="s">
        <v>1420</v>
      </c>
      <c r="B815" t="s">
        <v>1421</v>
      </c>
      <c r="C815">
        <v>167346</v>
      </c>
      <c r="D815">
        <v>167346</v>
      </c>
      <c r="H815">
        <v>10</v>
      </c>
      <c r="I815">
        <v>30</v>
      </c>
      <c r="J815">
        <v>10</v>
      </c>
      <c r="K815">
        <v>10</v>
      </c>
      <c r="L815">
        <v>0</v>
      </c>
      <c r="M815">
        <v>60</v>
      </c>
    </row>
    <row r="816" spans="1:15" x14ac:dyDescent="0.25">
      <c r="A816" t="s">
        <v>1422</v>
      </c>
      <c r="B816" t="s">
        <v>460</v>
      </c>
      <c r="C816">
        <v>167278</v>
      </c>
      <c r="D816">
        <v>167278</v>
      </c>
      <c r="E816">
        <v>30</v>
      </c>
      <c r="F816">
        <v>20</v>
      </c>
      <c r="G816">
        <v>20</v>
      </c>
      <c r="O816">
        <v>70</v>
      </c>
    </row>
    <row r="817" spans="1:15" x14ac:dyDescent="0.25">
      <c r="A817" t="s">
        <v>1423</v>
      </c>
      <c r="B817" t="s">
        <v>1424</v>
      </c>
      <c r="C817">
        <v>167002</v>
      </c>
      <c r="D817">
        <v>167002</v>
      </c>
      <c r="E817">
        <v>40</v>
      </c>
      <c r="F817">
        <v>40</v>
      </c>
      <c r="G817">
        <v>30</v>
      </c>
      <c r="O817">
        <v>110</v>
      </c>
    </row>
    <row r="818" spans="1:15" x14ac:dyDescent="0.25">
      <c r="A818" t="s">
        <v>1425</v>
      </c>
      <c r="B818" t="s">
        <v>1426</v>
      </c>
      <c r="C818">
        <v>163776</v>
      </c>
      <c r="D818">
        <v>163776</v>
      </c>
      <c r="E818">
        <v>10</v>
      </c>
      <c r="F818">
        <v>20</v>
      </c>
      <c r="G818">
        <v>30</v>
      </c>
      <c r="O818">
        <v>60</v>
      </c>
    </row>
    <row r="819" spans="1:15" x14ac:dyDescent="0.25">
      <c r="A819" t="s">
        <v>1427</v>
      </c>
      <c r="B819" t="s">
        <v>286</v>
      </c>
      <c r="C819">
        <v>167335</v>
      </c>
      <c r="D819">
        <v>167335</v>
      </c>
      <c r="E819">
        <v>30</v>
      </c>
      <c r="F819">
        <v>20</v>
      </c>
      <c r="G819">
        <v>40</v>
      </c>
      <c r="O819">
        <v>90</v>
      </c>
    </row>
    <row r="820" spans="1:15" x14ac:dyDescent="0.25">
      <c r="A820" t="s">
        <v>1428</v>
      </c>
      <c r="B820" t="s">
        <v>338</v>
      </c>
      <c r="C820">
        <v>167369</v>
      </c>
      <c r="D820">
        <v>167369</v>
      </c>
      <c r="H820">
        <v>20</v>
      </c>
      <c r="I820">
        <v>40</v>
      </c>
      <c r="J820">
        <v>10</v>
      </c>
      <c r="K820">
        <v>10</v>
      </c>
      <c r="L820">
        <v>10</v>
      </c>
      <c r="M820">
        <v>90</v>
      </c>
    </row>
    <row r="821" spans="1:15" x14ac:dyDescent="0.25">
      <c r="A821" t="s">
        <v>1429</v>
      </c>
      <c r="B821" t="s">
        <v>130</v>
      </c>
      <c r="C821">
        <v>168051</v>
      </c>
      <c r="D821">
        <v>168051</v>
      </c>
      <c r="E821">
        <v>30</v>
      </c>
      <c r="F821">
        <v>10</v>
      </c>
      <c r="G821">
        <v>20</v>
      </c>
      <c r="O821">
        <v>60</v>
      </c>
    </row>
    <row r="822" spans="1:15" x14ac:dyDescent="0.25">
      <c r="A822" t="s">
        <v>1430</v>
      </c>
      <c r="B822" t="s">
        <v>59</v>
      </c>
      <c r="C822">
        <v>165302</v>
      </c>
      <c r="D822">
        <v>165302</v>
      </c>
    </row>
    <row r="823" spans="1:15" x14ac:dyDescent="0.25">
      <c r="A823" t="s">
        <v>1431</v>
      </c>
      <c r="B823" t="s">
        <v>1432</v>
      </c>
      <c r="C823">
        <v>166419</v>
      </c>
      <c r="D823">
        <v>166419</v>
      </c>
      <c r="H823">
        <v>10</v>
      </c>
      <c r="I823">
        <v>40</v>
      </c>
      <c r="J823">
        <v>10</v>
      </c>
      <c r="K823">
        <v>10</v>
      </c>
      <c r="L823">
        <v>10</v>
      </c>
      <c r="M823">
        <v>80</v>
      </c>
    </row>
    <row r="824" spans="1:15" x14ac:dyDescent="0.25">
      <c r="A824" t="s">
        <v>1433</v>
      </c>
      <c r="B824" t="s">
        <v>1240</v>
      </c>
      <c r="C824">
        <v>168741</v>
      </c>
      <c r="D824">
        <v>168741</v>
      </c>
      <c r="H824">
        <v>10</v>
      </c>
      <c r="I824">
        <v>50</v>
      </c>
      <c r="J824">
        <v>20</v>
      </c>
      <c r="K824">
        <v>10</v>
      </c>
      <c r="L824">
        <v>10</v>
      </c>
      <c r="M824">
        <v>100</v>
      </c>
    </row>
    <row r="825" spans="1:15" x14ac:dyDescent="0.25">
      <c r="A825" t="s">
        <v>1434</v>
      </c>
      <c r="B825" t="s">
        <v>1435</v>
      </c>
      <c r="C825">
        <v>168075</v>
      </c>
      <c r="D825">
        <v>168075</v>
      </c>
      <c r="E825">
        <v>30</v>
      </c>
      <c r="F825">
        <v>20</v>
      </c>
      <c r="G825">
        <v>30</v>
      </c>
      <c r="O825">
        <v>80</v>
      </c>
    </row>
    <row r="826" spans="1:15" x14ac:dyDescent="0.25">
      <c r="A826" t="s">
        <v>1436</v>
      </c>
      <c r="B826" t="s">
        <v>1437</v>
      </c>
      <c r="C826">
        <v>168711</v>
      </c>
      <c r="D826">
        <v>168711</v>
      </c>
      <c r="E826">
        <v>0</v>
      </c>
      <c r="F826">
        <v>10</v>
      </c>
      <c r="G826">
        <v>10</v>
      </c>
      <c r="O826">
        <v>20</v>
      </c>
    </row>
    <row r="827" spans="1:15" x14ac:dyDescent="0.25">
      <c r="A827" t="s">
        <v>1438</v>
      </c>
      <c r="B827" t="s">
        <v>963</v>
      </c>
      <c r="C827">
        <v>167001</v>
      </c>
      <c r="D827">
        <v>167001</v>
      </c>
      <c r="H827">
        <v>20</v>
      </c>
      <c r="I827">
        <v>40</v>
      </c>
      <c r="J827">
        <v>20</v>
      </c>
      <c r="K827">
        <v>0</v>
      </c>
      <c r="L827">
        <v>10</v>
      </c>
      <c r="M827">
        <v>90</v>
      </c>
    </row>
    <row r="828" spans="1:15" x14ac:dyDescent="0.25">
      <c r="A828" t="s">
        <v>1439</v>
      </c>
      <c r="B828" t="s">
        <v>1440</v>
      </c>
      <c r="C828">
        <v>165344</v>
      </c>
      <c r="D828">
        <v>165344</v>
      </c>
      <c r="H828">
        <v>20</v>
      </c>
      <c r="I828">
        <v>50</v>
      </c>
      <c r="J828">
        <v>20</v>
      </c>
      <c r="K828">
        <v>10</v>
      </c>
      <c r="L828">
        <v>10</v>
      </c>
      <c r="M828">
        <v>110</v>
      </c>
    </row>
    <row r="829" spans="1:15" x14ac:dyDescent="0.25">
      <c r="A829" t="s">
        <v>1441</v>
      </c>
      <c r="B829" t="s">
        <v>1442</v>
      </c>
      <c r="C829">
        <v>167725</v>
      </c>
      <c r="D829">
        <v>167725</v>
      </c>
      <c r="H829">
        <v>20</v>
      </c>
      <c r="I829">
        <v>40</v>
      </c>
      <c r="J829">
        <v>10</v>
      </c>
      <c r="K829">
        <v>0</v>
      </c>
      <c r="L829">
        <v>0</v>
      </c>
      <c r="M829">
        <v>70</v>
      </c>
    </row>
    <row r="830" spans="1:15" x14ac:dyDescent="0.25">
      <c r="A830" t="s">
        <v>1443</v>
      </c>
      <c r="B830" t="s">
        <v>1444</v>
      </c>
      <c r="C830">
        <v>167013</v>
      </c>
      <c r="D830">
        <v>167013</v>
      </c>
      <c r="H830">
        <v>20</v>
      </c>
      <c r="I830">
        <v>30</v>
      </c>
      <c r="J830">
        <v>0</v>
      </c>
      <c r="K830">
        <v>10</v>
      </c>
      <c r="L830">
        <v>10</v>
      </c>
      <c r="M830">
        <v>70</v>
      </c>
    </row>
    <row r="831" spans="1:15" x14ac:dyDescent="0.25">
      <c r="A831" t="s">
        <v>1445</v>
      </c>
      <c r="B831" t="s">
        <v>1446</v>
      </c>
      <c r="C831">
        <v>166011</v>
      </c>
      <c r="D831">
        <v>166011</v>
      </c>
      <c r="H831">
        <v>20</v>
      </c>
      <c r="I831">
        <v>40</v>
      </c>
      <c r="J831">
        <v>10</v>
      </c>
      <c r="K831">
        <v>10</v>
      </c>
      <c r="L831">
        <v>0</v>
      </c>
      <c r="M831">
        <v>80</v>
      </c>
    </row>
    <row r="832" spans="1:15" x14ac:dyDescent="0.25">
      <c r="A832" t="s">
        <v>1447</v>
      </c>
      <c r="B832" t="s">
        <v>1448</v>
      </c>
      <c r="C832">
        <v>160025</v>
      </c>
      <c r="D832">
        <v>160025</v>
      </c>
      <c r="H832">
        <v>0</v>
      </c>
      <c r="I832">
        <v>20</v>
      </c>
      <c r="J832">
        <v>0</v>
      </c>
      <c r="K832">
        <v>0</v>
      </c>
      <c r="L832">
        <v>10</v>
      </c>
      <c r="M832">
        <v>30</v>
      </c>
    </row>
    <row r="833" spans="1:15" x14ac:dyDescent="0.25">
      <c r="A833" t="s">
        <v>1449</v>
      </c>
      <c r="B833" t="s">
        <v>197</v>
      </c>
      <c r="C833">
        <v>168480</v>
      </c>
      <c r="D833">
        <v>168480</v>
      </c>
      <c r="E833">
        <v>20</v>
      </c>
      <c r="F833">
        <v>10</v>
      </c>
      <c r="G833">
        <v>30</v>
      </c>
      <c r="O833">
        <v>60</v>
      </c>
    </row>
    <row r="834" spans="1:15" x14ac:dyDescent="0.25">
      <c r="A834" t="s">
        <v>1450</v>
      </c>
      <c r="B834" t="s">
        <v>1451</v>
      </c>
      <c r="C834">
        <v>167859</v>
      </c>
      <c r="D834">
        <v>167859</v>
      </c>
      <c r="E834">
        <v>0</v>
      </c>
      <c r="F834">
        <v>20</v>
      </c>
      <c r="G834">
        <v>30</v>
      </c>
      <c r="O834">
        <v>50</v>
      </c>
    </row>
    <row r="835" spans="1:15" x14ac:dyDescent="0.25">
      <c r="A835" t="s">
        <v>1452</v>
      </c>
      <c r="B835" t="s">
        <v>1453</v>
      </c>
      <c r="C835">
        <v>165096</v>
      </c>
      <c r="D835">
        <v>165096</v>
      </c>
      <c r="H835">
        <v>10</v>
      </c>
      <c r="I835">
        <v>20</v>
      </c>
      <c r="J835">
        <v>10</v>
      </c>
      <c r="K835">
        <v>10</v>
      </c>
      <c r="L835">
        <v>0</v>
      </c>
      <c r="M835">
        <v>50</v>
      </c>
    </row>
    <row r="836" spans="1:15" x14ac:dyDescent="0.25">
      <c r="A836" t="s">
        <v>1454</v>
      </c>
      <c r="B836" t="s">
        <v>174</v>
      </c>
      <c r="C836">
        <v>168667</v>
      </c>
      <c r="D836">
        <v>168667</v>
      </c>
    </row>
    <row r="837" spans="1:15" x14ac:dyDescent="0.25">
      <c r="A837" t="s">
        <v>1455</v>
      </c>
      <c r="B837" t="s">
        <v>1456</v>
      </c>
      <c r="C837">
        <v>168244</v>
      </c>
      <c r="D837">
        <v>168244</v>
      </c>
      <c r="E837">
        <v>20</v>
      </c>
      <c r="F837">
        <v>20</v>
      </c>
      <c r="G837">
        <v>30</v>
      </c>
      <c r="O837">
        <v>70</v>
      </c>
    </row>
    <row r="838" spans="1:15" x14ac:dyDescent="0.25">
      <c r="A838" t="s">
        <v>1457</v>
      </c>
      <c r="B838" t="s">
        <v>944</v>
      </c>
      <c r="C838">
        <v>166526</v>
      </c>
      <c r="D838">
        <v>166526</v>
      </c>
      <c r="H838">
        <v>20</v>
      </c>
      <c r="I838">
        <v>60</v>
      </c>
      <c r="J838">
        <v>20</v>
      </c>
      <c r="K838">
        <v>10</v>
      </c>
      <c r="L838">
        <v>10</v>
      </c>
      <c r="M838">
        <v>120</v>
      </c>
    </row>
    <row r="839" spans="1:15" x14ac:dyDescent="0.25">
      <c r="A839" t="s">
        <v>1458</v>
      </c>
      <c r="B839" t="s">
        <v>166</v>
      </c>
      <c r="C839">
        <v>168397</v>
      </c>
      <c r="D839">
        <v>168397</v>
      </c>
      <c r="H839">
        <v>10</v>
      </c>
      <c r="I839">
        <v>30</v>
      </c>
      <c r="J839">
        <v>10</v>
      </c>
      <c r="K839">
        <v>10</v>
      </c>
      <c r="L839">
        <v>0</v>
      </c>
      <c r="M839">
        <v>60</v>
      </c>
    </row>
    <row r="840" spans="1:15" x14ac:dyDescent="0.25">
      <c r="A840" t="s">
        <v>1459</v>
      </c>
      <c r="B840" t="s">
        <v>1075</v>
      </c>
      <c r="C840">
        <v>165487</v>
      </c>
      <c r="D840">
        <v>165487</v>
      </c>
      <c r="H840">
        <v>20</v>
      </c>
      <c r="I840">
        <v>50</v>
      </c>
      <c r="J840">
        <v>10</v>
      </c>
      <c r="K840">
        <v>10</v>
      </c>
      <c r="L840">
        <v>10</v>
      </c>
      <c r="M840">
        <v>100</v>
      </c>
    </row>
    <row r="841" spans="1:15" x14ac:dyDescent="0.25">
      <c r="A841" t="s">
        <v>1460</v>
      </c>
      <c r="B841" t="s">
        <v>1461</v>
      </c>
      <c r="C841">
        <v>167848</v>
      </c>
      <c r="D841">
        <v>167848</v>
      </c>
      <c r="H841">
        <v>10</v>
      </c>
      <c r="I841">
        <v>20</v>
      </c>
      <c r="J841">
        <v>10</v>
      </c>
      <c r="K841">
        <v>10</v>
      </c>
      <c r="L841">
        <v>0</v>
      </c>
      <c r="M841">
        <v>50</v>
      </c>
    </row>
    <row r="842" spans="1:15" x14ac:dyDescent="0.25">
      <c r="A842" t="s">
        <v>1462</v>
      </c>
      <c r="B842" t="s">
        <v>330</v>
      </c>
      <c r="C842">
        <v>165494</v>
      </c>
      <c r="D842">
        <v>165494</v>
      </c>
      <c r="E842">
        <v>20</v>
      </c>
      <c r="F842">
        <v>10</v>
      </c>
      <c r="G842">
        <v>40</v>
      </c>
      <c r="O842">
        <v>70</v>
      </c>
    </row>
    <row r="843" spans="1:15" x14ac:dyDescent="0.25">
      <c r="A843" t="s">
        <v>1463</v>
      </c>
      <c r="B843" t="s">
        <v>1464</v>
      </c>
      <c r="C843">
        <v>162638</v>
      </c>
      <c r="D843">
        <v>162638</v>
      </c>
    </row>
    <row r="844" spans="1:15" x14ac:dyDescent="0.25">
      <c r="A844" t="s">
        <v>1463</v>
      </c>
      <c r="B844" t="s">
        <v>1465</v>
      </c>
      <c r="C844">
        <v>168467</v>
      </c>
      <c r="D844">
        <v>168467</v>
      </c>
      <c r="H844">
        <v>10</v>
      </c>
      <c r="I844">
        <v>20</v>
      </c>
      <c r="J844">
        <v>10</v>
      </c>
      <c r="K844">
        <v>10</v>
      </c>
      <c r="L844">
        <v>10</v>
      </c>
      <c r="M844">
        <v>60</v>
      </c>
    </row>
    <row r="845" spans="1:15" x14ac:dyDescent="0.25">
      <c r="A845" t="s">
        <v>1466</v>
      </c>
      <c r="B845" t="s">
        <v>1467</v>
      </c>
      <c r="C845">
        <v>159844</v>
      </c>
      <c r="D845">
        <v>159844</v>
      </c>
    </row>
    <row r="846" spans="1:15" x14ac:dyDescent="0.25">
      <c r="A846" t="s">
        <v>1468</v>
      </c>
      <c r="B846" t="s">
        <v>1469</v>
      </c>
      <c r="C846">
        <v>166173</v>
      </c>
      <c r="D846">
        <v>166173</v>
      </c>
    </row>
    <row r="847" spans="1:15" x14ac:dyDescent="0.25">
      <c r="A847" t="s">
        <v>1470</v>
      </c>
      <c r="B847" t="s">
        <v>1471</v>
      </c>
      <c r="C847">
        <v>166335</v>
      </c>
      <c r="D847">
        <v>166335</v>
      </c>
      <c r="E847">
        <v>50</v>
      </c>
      <c r="F847">
        <v>30</v>
      </c>
      <c r="G847">
        <v>50</v>
      </c>
      <c r="O847">
        <v>130</v>
      </c>
    </row>
    <row r="848" spans="1:15" x14ac:dyDescent="0.25">
      <c r="A848" t="s">
        <v>1472</v>
      </c>
      <c r="B848" t="s">
        <v>166</v>
      </c>
      <c r="C848">
        <v>166841</v>
      </c>
      <c r="D848">
        <v>166841</v>
      </c>
      <c r="E848">
        <v>50</v>
      </c>
      <c r="F848">
        <v>30</v>
      </c>
      <c r="G848">
        <v>50</v>
      </c>
      <c r="O848">
        <v>130</v>
      </c>
    </row>
    <row r="849" spans="1:15" x14ac:dyDescent="0.25">
      <c r="A849" t="s">
        <v>1473</v>
      </c>
      <c r="B849" t="s">
        <v>1474</v>
      </c>
      <c r="C849">
        <v>167508</v>
      </c>
      <c r="D849">
        <v>167508</v>
      </c>
      <c r="H849">
        <v>0</v>
      </c>
      <c r="I849">
        <v>40</v>
      </c>
      <c r="J849">
        <v>10</v>
      </c>
      <c r="K849">
        <v>10</v>
      </c>
      <c r="L849">
        <v>10</v>
      </c>
      <c r="M849">
        <v>70</v>
      </c>
    </row>
    <row r="850" spans="1:15" x14ac:dyDescent="0.25">
      <c r="A850" t="s">
        <v>1473</v>
      </c>
      <c r="B850" t="s">
        <v>1158</v>
      </c>
      <c r="C850">
        <v>167507</v>
      </c>
      <c r="D850">
        <v>167507</v>
      </c>
      <c r="H850">
        <v>0</v>
      </c>
      <c r="I850">
        <v>20</v>
      </c>
      <c r="J850">
        <v>10</v>
      </c>
      <c r="K850">
        <v>10</v>
      </c>
      <c r="L850">
        <v>10</v>
      </c>
      <c r="M850">
        <v>50</v>
      </c>
    </row>
    <row r="851" spans="1:15" x14ac:dyDescent="0.25">
      <c r="A851" t="s">
        <v>1475</v>
      </c>
      <c r="B851" t="s">
        <v>1240</v>
      </c>
      <c r="C851">
        <v>167689</v>
      </c>
      <c r="D851">
        <v>167689</v>
      </c>
      <c r="H851">
        <v>0</v>
      </c>
      <c r="I851">
        <v>50</v>
      </c>
      <c r="J851">
        <v>20</v>
      </c>
      <c r="K851">
        <v>0</v>
      </c>
      <c r="L851">
        <v>0</v>
      </c>
      <c r="M851">
        <v>70</v>
      </c>
    </row>
    <row r="852" spans="1:15" x14ac:dyDescent="0.25">
      <c r="A852" t="s">
        <v>1476</v>
      </c>
      <c r="B852" t="s">
        <v>1477</v>
      </c>
      <c r="C852">
        <v>165849</v>
      </c>
      <c r="D852">
        <v>165849</v>
      </c>
      <c r="H852">
        <v>10</v>
      </c>
      <c r="I852">
        <v>20</v>
      </c>
      <c r="J852">
        <v>20</v>
      </c>
      <c r="K852">
        <v>0</v>
      </c>
      <c r="L852">
        <v>0</v>
      </c>
      <c r="M852">
        <v>50</v>
      </c>
    </row>
    <row r="853" spans="1:15" x14ac:dyDescent="0.25">
      <c r="A853" t="s">
        <v>1478</v>
      </c>
      <c r="B853" t="s">
        <v>1479</v>
      </c>
      <c r="C853">
        <v>166754</v>
      </c>
      <c r="D853">
        <v>166754</v>
      </c>
      <c r="H853">
        <v>10</v>
      </c>
      <c r="I853">
        <v>50</v>
      </c>
      <c r="J853">
        <v>10</v>
      </c>
      <c r="K853">
        <v>10</v>
      </c>
      <c r="L853">
        <v>10</v>
      </c>
      <c r="M853">
        <v>90</v>
      </c>
      <c r="N853" t="s">
        <v>549</v>
      </c>
    </row>
    <row r="854" spans="1:15" x14ac:dyDescent="0.25">
      <c r="A854" t="s">
        <v>1480</v>
      </c>
      <c r="B854" t="s">
        <v>1481</v>
      </c>
      <c r="C854">
        <v>167275</v>
      </c>
      <c r="D854">
        <v>167275</v>
      </c>
      <c r="E854">
        <v>10</v>
      </c>
      <c r="F854">
        <v>20</v>
      </c>
      <c r="G854">
        <v>30</v>
      </c>
      <c r="O854">
        <v>60</v>
      </c>
    </row>
    <row r="855" spans="1:15" x14ac:dyDescent="0.25">
      <c r="A855" t="s">
        <v>1482</v>
      </c>
      <c r="B855" t="s">
        <v>1483</v>
      </c>
      <c r="C855">
        <v>166076</v>
      </c>
      <c r="D855">
        <v>166076</v>
      </c>
      <c r="E855">
        <v>10</v>
      </c>
      <c r="F855">
        <v>10</v>
      </c>
      <c r="G855">
        <v>40</v>
      </c>
      <c r="O855">
        <v>60</v>
      </c>
    </row>
    <row r="856" spans="1:15" x14ac:dyDescent="0.25">
      <c r="A856" t="s">
        <v>1484</v>
      </c>
      <c r="B856" t="s">
        <v>1485</v>
      </c>
      <c r="C856">
        <v>167880</v>
      </c>
      <c r="D856">
        <v>167880</v>
      </c>
      <c r="E856">
        <v>10</v>
      </c>
      <c r="F856">
        <v>20</v>
      </c>
      <c r="G856">
        <v>20</v>
      </c>
      <c r="N856" t="s">
        <v>549</v>
      </c>
      <c r="O856">
        <v>50</v>
      </c>
    </row>
    <row r="857" spans="1:15" x14ac:dyDescent="0.25">
      <c r="A857" t="s">
        <v>1486</v>
      </c>
      <c r="B857" t="s">
        <v>1487</v>
      </c>
      <c r="C857">
        <v>167131</v>
      </c>
      <c r="D857">
        <v>167131</v>
      </c>
      <c r="H857">
        <v>0</v>
      </c>
      <c r="I857">
        <v>20</v>
      </c>
      <c r="J857">
        <v>10</v>
      </c>
      <c r="K857">
        <v>0</v>
      </c>
      <c r="L857">
        <v>0</v>
      </c>
      <c r="M857">
        <v>30</v>
      </c>
    </row>
    <row r="858" spans="1:15" x14ac:dyDescent="0.25">
      <c r="A858" t="s">
        <v>1488</v>
      </c>
      <c r="B858" t="s">
        <v>1489</v>
      </c>
      <c r="C858">
        <v>166053</v>
      </c>
      <c r="D858">
        <v>166053</v>
      </c>
      <c r="H858">
        <v>10</v>
      </c>
      <c r="I858">
        <v>60</v>
      </c>
      <c r="J858">
        <v>0</v>
      </c>
      <c r="M858">
        <v>70</v>
      </c>
    </row>
    <row r="859" spans="1:15" x14ac:dyDescent="0.25">
      <c r="A859" t="s">
        <v>1490</v>
      </c>
      <c r="B859" t="s">
        <v>1491</v>
      </c>
      <c r="C859">
        <v>163084</v>
      </c>
      <c r="D859">
        <v>163084</v>
      </c>
      <c r="E859">
        <v>40</v>
      </c>
      <c r="F859">
        <v>40</v>
      </c>
      <c r="G859">
        <v>40</v>
      </c>
      <c r="O859">
        <v>120</v>
      </c>
    </row>
    <row r="860" spans="1:15" x14ac:dyDescent="0.25">
      <c r="A860" t="s">
        <v>1492</v>
      </c>
      <c r="B860" t="s">
        <v>1493</v>
      </c>
      <c r="C860">
        <v>163309</v>
      </c>
      <c r="D860">
        <v>163309</v>
      </c>
    </row>
    <row r="861" spans="1:15" x14ac:dyDescent="0.25">
      <c r="A861" t="s">
        <v>1494</v>
      </c>
      <c r="B861" t="s">
        <v>1495</v>
      </c>
      <c r="C861">
        <v>167120</v>
      </c>
      <c r="D861">
        <v>167120</v>
      </c>
      <c r="E861">
        <v>40</v>
      </c>
      <c r="F861">
        <v>40</v>
      </c>
      <c r="G861">
        <v>30</v>
      </c>
      <c r="O861">
        <v>110</v>
      </c>
    </row>
    <row r="862" spans="1:15" x14ac:dyDescent="0.25">
      <c r="A862" t="s">
        <v>1496</v>
      </c>
      <c r="B862" t="s">
        <v>1497</v>
      </c>
      <c r="C862">
        <v>159662</v>
      </c>
      <c r="D862">
        <v>159662</v>
      </c>
      <c r="E862">
        <v>40</v>
      </c>
      <c r="F862">
        <v>20</v>
      </c>
      <c r="G862">
        <v>20</v>
      </c>
      <c r="O862">
        <v>80</v>
      </c>
    </row>
    <row r="863" spans="1:15" x14ac:dyDescent="0.25">
      <c r="A863" t="s">
        <v>1498</v>
      </c>
      <c r="B863" t="s">
        <v>1499</v>
      </c>
      <c r="C863">
        <v>163367</v>
      </c>
      <c r="D863">
        <v>163367</v>
      </c>
      <c r="E863">
        <v>50</v>
      </c>
      <c r="F863">
        <v>10</v>
      </c>
      <c r="G863">
        <v>40</v>
      </c>
      <c r="O863">
        <v>100</v>
      </c>
    </row>
    <row r="864" spans="1:15" x14ac:dyDescent="0.25">
      <c r="A864" t="s">
        <v>1500</v>
      </c>
      <c r="B864" t="s">
        <v>1501</v>
      </c>
      <c r="C864">
        <v>167225</v>
      </c>
      <c r="D864">
        <v>167225</v>
      </c>
      <c r="H864">
        <v>0</v>
      </c>
      <c r="I864">
        <v>20</v>
      </c>
      <c r="J864">
        <v>10</v>
      </c>
      <c r="K864">
        <v>0</v>
      </c>
      <c r="L864">
        <v>0</v>
      </c>
      <c r="M864">
        <v>30</v>
      </c>
    </row>
    <row r="865" spans="1:15" x14ac:dyDescent="0.25">
      <c r="A865" t="s">
        <v>1502</v>
      </c>
      <c r="B865" t="s">
        <v>963</v>
      </c>
      <c r="C865">
        <v>167191</v>
      </c>
      <c r="D865">
        <v>167191</v>
      </c>
      <c r="H865">
        <v>0</v>
      </c>
      <c r="I865">
        <v>40</v>
      </c>
      <c r="J865">
        <v>10</v>
      </c>
      <c r="K865">
        <v>0</v>
      </c>
      <c r="L865">
        <v>0</v>
      </c>
      <c r="M865">
        <v>50</v>
      </c>
    </row>
    <row r="866" spans="1:15" x14ac:dyDescent="0.25">
      <c r="A866" t="s">
        <v>1503</v>
      </c>
      <c r="B866" t="s">
        <v>176</v>
      </c>
      <c r="C866">
        <v>166136</v>
      </c>
      <c r="D866">
        <v>166136</v>
      </c>
      <c r="H866">
        <v>10</v>
      </c>
      <c r="I866">
        <v>20</v>
      </c>
      <c r="J866">
        <v>10</v>
      </c>
      <c r="K866">
        <v>10</v>
      </c>
      <c r="L866">
        <v>10</v>
      </c>
      <c r="M866">
        <v>60</v>
      </c>
    </row>
    <row r="867" spans="1:15" x14ac:dyDescent="0.25">
      <c r="A867" t="s">
        <v>1504</v>
      </c>
      <c r="B867" t="s">
        <v>1505</v>
      </c>
      <c r="C867">
        <v>168426</v>
      </c>
      <c r="D867">
        <v>168426</v>
      </c>
    </row>
    <row r="868" spans="1:15" x14ac:dyDescent="0.25">
      <c r="A868" t="s">
        <v>1506</v>
      </c>
      <c r="B868" t="s">
        <v>1507</v>
      </c>
      <c r="C868">
        <v>167774</v>
      </c>
      <c r="D868">
        <v>167774</v>
      </c>
      <c r="H868">
        <v>20</v>
      </c>
      <c r="I868">
        <v>40</v>
      </c>
      <c r="J868">
        <v>20</v>
      </c>
      <c r="K868">
        <v>0</v>
      </c>
      <c r="L868">
        <v>0</v>
      </c>
      <c r="M868">
        <v>80</v>
      </c>
    </row>
    <row r="869" spans="1:15" x14ac:dyDescent="0.25">
      <c r="A869" t="s">
        <v>1508</v>
      </c>
      <c r="B869" t="s">
        <v>636</v>
      </c>
      <c r="C869">
        <v>168373</v>
      </c>
      <c r="D869">
        <v>168373</v>
      </c>
      <c r="E869">
        <v>40</v>
      </c>
      <c r="F869">
        <v>30</v>
      </c>
      <c r="G869">
        <v>40</v>
      </c>
      <c r="O869">
        <v>110</v>
      </c>
    </row>
    <row r="870" spans="1:15" x14ac:dyDescent="0.25">
      <c r="A870" t="s">
        <v>1509</v>
      </c>
      <c r="B870" t="s">
        <v>1510</v>
      </c>
      <c r="C870">
        <v>165866</v>
      </c>
      <c r="D870">
        <v>165866</v>
      </c>
    </row>
    <row r="871" spans="1:15" x14ac:dyDescent="0.25">
      <c r="A871" t="s">
        <v>1511</v>
      </c>
      <c r="B871" t="s">
        <v>176</v>
      </c>
      <c r="C871">
        <v>168047</v>
      </c>
      <c r="D871">
        <v>168047</v>
      </c>
    </row>
    <row r="872" spans="1:15" x14ac:dyDescent="0.25">
      <c r="A872" t="s">
        <v>1512</v>
      </c>
      <c r="B872" t="s">
        <v>1513</v>
      </c>
      <c r="C872">
        <v>166834</v>
      </c>
      <c r="D872">
        <v>166834</v>
      </c>
      <c r="H872">
        <v>20</v>
      </c>
      <c r="I872">
        <v>60</v>
      </c>
      <c r="J872">
        <v>10</v>
      </c>
      <c r="K872">
        <v>0</v>
      </c>
      <c r="L872">
        <v>10</v>
      </c>
      <c r="M872">
        <v>100</v>
      </c>
    </row>
    <row r="873" spans="1:15" x14ac:dyDescent="0.25">
      <c r="A873" t="s">
        <v>1514</v>
      </c>
      <c r="B873" t="s">
        <v>352</v>
      </c>
      <c r="C873">
        <v>164845</v>
      </c>
      <c r="D873">
        <v>164845</v>
      </c>
      <c r="H873">
        <v>10</v>
      </c>
      <c r="I873">
        <v>30</v>
      </c>
      <c r="J873">
        <v>10</v>
      </c>
      <c r="K873">
        <v>10</v>
      </c>
      <c r="L873">
        <v>10</v>
      </c>
      <c r="M873">
        <v>70</v>
      </c>
    </row>
    <row r="874" spans="1:15" x14ac:dyDescent="0.25">
      <c r="A874" t="s">
        <v>1515</v>
      </c>
      <c r="B874" t="s">
        <v>1177</v>
      </c>
      <c r="C874">
        <v>164846</v>
      </c>
      <c r="D874">
        <v>164846</v>
      </c>
    </row>
    <row r="875" spans="1:15" x14ac:dyDescent="0.25">
      <c r="A875" t="s">
        <v>1516</v>
      </c>
      <c r="B875" t="s">
        <v>209</v>
      </c>
      <c r="C875">
        <v>165309</v>
      </c>
      <c r="D875">
        <v>165309</v>
      </c>
      <c r="H875">
        <v>20</v>
      </c>
      <c r="I875">
        <v>30</v>
      </c>
      <c r="J875">
        <v>10</v>
      </c>
      <c r="K875">
        <v>0</v>
      </c>
      <c r="L875">
        <v>10</v>
      </c>
      <c r="M875">
        <v>70</v>
      </c>
    </row>
    <row r="876" spans="1:15" x14ac:dyDescent="0.25">
      <c r="A876" t="s">
        <v>1517</v>
      </c>
      <c r="B876" t="s">
        <v>1518</v>
      </c>
      <c r="C876">
        <v>166717</v>
      </c>
      <c r="D876">
        <v>166717</v>
      </c>
      <c r="H876">
        <v>10</v>
      </c>
      <c r="I876">
        <v>40</v>
      </c>
      <c r="J876">
        <v>10</v>
      </c>
      <c r="K876">
        <v>10</v>
      </c>
      <c r="L876">
        <v>10</v>
      </c>
      <c r="M876">
        <v>80</v>
      </c>
    </row>
    <row r="877" spans="1:15" x14ac:dyDescent="0.25">
      <c r="A877" t="s">
        <v>1519</v>
      </c>
      <c r="B877" t="s">
        <v>174</v>
      </c>
      <c r="C877">
        <v>166150</v>
      </c>
      <c r="D877">
        <v>166150</v>
      </c>
      <c r="H877">
        <v>20</v>
      </c>
      <c r="I877">
        <v>40</v>
      </c>
      <c r="J877">
        <v>10</v>
      </c>
      <c r="K877">
        <v>10</v>
      </c>
      <c r="L877">
        <v>0</v>
      </c>
      <c r="M877">
        <v>80</v>
      </c>
      <c r="N877" t="s">
        <v>20</v>
      </c>
    </row>
    <row r="878" spans="1:15" x14ac:dyDescent="0.25">
      <c r="A878" t="s">
        <v>1520</v>
      </c>
      <c r="B878" t="s">
        <v>1521</v>
      </c>
      <c r="C878">
        <v>168753</v>
      </c>
      <c r="D878">
        <v>168753</v>
      </c>
      <c r="H878">
        <v>0</v>
      </c>
      <c r="I878">
        <v>50</v>
      </c>
      <c r="J878">
        <v>10</v>
      </c>
      <c r="K878">
        <v>10</v>
      </c>
      <c r="L878">
        <v>10</v>
      </c>
      <c r="M878">
        <v>80</v>
      </c>
    </row>
    <row r="879" spans="1:15" x14ac:dyDescent="0.25">
      <c r="A879" t="s">
        <v>1522</v>
      </c>
      <c r="B879" t="s">
        <v>286</v>
      </c>
      <c r="C879">
        <v>167336</v>
      </c>
      <c r="D879">
        <v>167336</v>
      </c>
      <c r="E879">
        <v>10</v>
      </c>
      <c r="F879">
        <v>20</v>
      </c>
      <c r="G879">
        <v>10</v>
      </c>
      <c r="O879">
        <v>40</v>
      </c>
    </row>
    <row r="880" spans="1:15" x14ac:dyDescent="0.25">
      <c r="A880" t="s">
        <v>1523</v>
      </c>
      <c r="B880" t="s">
        <v>1524</v>
      </c>
      <c r="C880">
        <v>163453</v>
      </c>
      <c r="D880">
        <v>163453</v>
      </c>
      <c r="H880">
        <v>10</v>
      </c>
      <c r="I880">
        <v>40</v>
      </c>
      <c r="J880">
        <v>10</v>
      </c>
      <c r="K880">
        <v>10</v>
      </c>
      <c r="L880">
        <v>10</v>
      </c>
      <c r="M880">
        <v>80</v>
      </c>
    </row>
    <row r="881" spans="1:18" x14ac:dyDescent="0.25">
      <c r="A881" t="s">
        <v>1525</v>
      </c>
      <c r="B881" t="s">
        <v>1526</v>
      </c>
      <c r="C881">
        <v>165879</v>
      </c>
      <c r="D881">
        <v>165879</v>
      </c>
      <c r="E881">
        <v>0</v>
      </c>
      <c r="F881">
        <v>10</v>
      </c>
      <c r="G881">
        <v>60</v>
      </c>
      <c r="O881">
        <v>70</v>
      </c>
    </row>
    <row r="882" spans="1:18" x14ac:dyDescent="0.25">
      <c r="A882" t="s">
        <v>1527</v>
      </c>
      <c r="B882" t="s">
        <v>1528</v>
      </c>
      <c r="C882">
        <v>163500</v>
      </c>
      <c r="D882">
        <v>163500</v>
      </c>
    </row>
    <row r="883" spans="1:18" x14ac:dyDescent="0.25">
      <c r="A883" t="s">
        <v>1529</v>
      </c>
      <c r="B883" t="s">
        <v>140</v>
      </c>
      <c r="C883">
        <v>166816</v>
      </c>
      <c r="D883">
        <v>166816</v>
      </c>
      <c r="H883">
        <v>20</v>
      </c>
      <c r="I883">
        <v>40</v>
      </c>
      <c r="J883">
        <v>20</v>
      </c>
      <c r="K883">
        <v>10</v>
      </c>
      <c r="L883">
        <v>10</v>
      </c>
      <c r="M883">
        <v>100</v>
      </c>
    </row>
    <row r="884" spans="1:18" x14ac:dyDescent="0.25">
      <c r="A884" t="s">
        <v>1530</v>
      </c>
      <c r="B884" t="s">
        <v>1531</v>
      </c>
      <c r="C884">
        <v>168158</v>
      </c>
      <c r="D884">
        <v>168158</v>
      </c>
      <c r="H884">
        <v>10</v>
      </c>
      <c r="I884">
        <v>60</v>
      </c>
      <c r="J884">
        <v>20</v>
      </c>
      <c r="K884">
        <v>10</v>
      </c>
      <c r="L884">
        <v>10</v>
      </c>
      <c r="M884">
        <v>110</v>
      </c>
    </row>
    <row r="885" spans="1:18" x14ac:dyDescent="0.25">
      <c r="A885" t="s">
        <v>1532</v>
      </c>
      <c r="B885" t="s">
        <v>1533</v>
      </c>
      <c r="C885">
        <v>168257</v>
      </c>
      <c r="D885">
        <v>168257</v>
      </c>
      <c r="H885">
        <v>0</v>
      </c>
      <c r="I885">
        <v>0</v>
      </c>
      <c r="J885">
        <v>20</v>
      </c>
      <c r="K885">
        <v>10</v>
      </c>
      <c r="L885">
        <v>0</v>
      </c>
      <c r="M885">
        <v>30</v>
      </c>
    </row>
    <row r="886" spans="1:18" x14ac:dyDescent="0.25">
      <c r="A886" t="s">
        <v>1534</v>
      </c>
      <c r="B886" t="s">
        <v>1535</v>
      </c>
      <c r="C886">
        <v>167581</v>
      </c>
      <c r="D886">
        <v>167581</v>
      </c>
      <c r="H886">
        <v>10</v>
      </c>
      <c r="I886" t="s">
        <v>20</v>
      </c>
      <c r="J886">
        <v>20</v>
      </c>
      <c r="M886">
        <v>30</v>
      </c>
    </row>
    <row r="887" spans="1:18" x14ac:dyDescent="0.25">
      <c r="A887" t="s">
        <v>1536</v>
      </c>
      <c r="B887" t="s">
        <v>761</v>
      </c>
      <c r="C887">
        <v>164622</v>
      </c>
      <c r="D887">
        <v>164622</v>
      </c>
    </row>
    <row r="888" spans="1:18" x14ac:dyDescent="0.25">
      <c r="A888" t="s">
        <v>1536</v>
      </c>
      <c r="B888" t="s">
        <v>1537</v>
      </c>
      <c r="C888">
        <v>165325</v>
      </c>
      <c r="D888">
        <v>165325</v>
      </c>
      <c r="H888">
        <v>20</v>
      </c>
      <c r="I888">
        <v>40</v>
      </c>
      <c r="J888">
        <v>20</v>
      </c>
      <c r="M888">
        <v>80</v>
      </c>
    </row>
    <row r="889" spans="1:18" x14ac:dyDescent="0.25">
      <c r="A889" t="s">
        <v>1538</v>
      </c>
      <c r="B889" t="s">
        <v>1539</v>
      </c>
      <c r="C889">
        <v>167613</v>
      </c>
      <c r="D889">
        <v>167613</v>
      </c>
      <c r="H889">
        <v>10</v>
      </c>
      <c r="I889">
        <v>30</v>
      </c>
      <c r="J889">
        <v>10</v>
      </c>
      <c r="K889">
        <v>10</v>
      </c>
      <c r="L889">
        <v>10</v>
      </c>
      <c r="M889">
        <v>70</v>
      </c>
    </row>
    <row r="890" spans="1:18" x14ac:dyDescent="0.25">
      <c r="A890" t="s">
        <v>1540</v>
      </c>
      <c r="B890" t="s">
        <v>1541</v>
      </c>
      <c r="C890">
        <v>168306</v>
      </c>
      <c r="D890">
        <v>168306</v>
      </c>
      <c r="H890">
        <v>0</v>
      </c>
      <c r="I890">
        <v>50</v>
      </c>
      <c r="J890">
        <v>10</v>
      </c>
      <c r="K890">
        <v>0</v>
      </c>
      <c r="L890">
        <v>10</v>
      </c>
      <c r="M890">
        <v>70</v>
      </c>
    </row>
    <row r="891" spans="1:18" x14ac:dyDescent="0.25">
      <c r="A891" t="s">
        <v>1542</v>
      </c>
      <c r="B891" t="s">
        <v>1543</v>
      </c>
      <c r="C891">
        <v>157611</v>
      </c>
      <c r="D891">
        <v>157611</v>
      </c>
      <c r="E891">
        <v>10</v>
      </c>
      <c r="F891">
        <v>10</v>
      </c>
      <c r="G891" t="s">
        <v>20</v>
      </c>
      <c r="O891">
        <v>20</v>
      </c>
      <c r="R891" t="s">
        <v>20</v>
      </c>
    </row>
    <row r="892" spans="1:18" x14ac:dyDescent="0.25">
      <c r="A892" t="s">
        <v>1544</v>
      </c>
      <c r="B892" t="s">
        <v>1545</v>
      </c>
      <c r="C892">
        <v>165994</v>
      </c>
      <c r="D892">
        <v>165994</v>
      </c>
      <c r="E892">
        <v>10</v>
      </c>
      <c r="F892">
        <v>0</v>
      </c>
      <c r="G892">
        <v>30</v>
      </c>
      <c r="O892">
        <v>40</v>
      </c>
    </row>
    <row r="893" spans="1:18" x14ac:dyDescent="0.25">
      <c r="A893" t="s">
        <v>1546</v>
      </c>
      <c r="B893" t="s">
        <v>45</v>
      </c>
      <c r="C893">
        <v>168912</v>
      </c>
      <c r="D893">
        <v>168912</v>
      </c>
      <c r="E893">
        <v>40</v>
      </c>
      <c r="F893">
        <v>30</v>
      </c>
      <c r="G893">
        <v>20</v>
      </c>
      <c r="O893">
        <v>90</v>
      </c>
    </row>
    <row r="894" spans="1:18" x14ac:dyDescent="0.25">
      <c r="A894" t="s">
        <v>1547</v>
      </c>
      <c r="B894" t="s">
        <v>1548</v>
      </c>
      <c r="C894">
        <v>165449</v>
      </c>
      <c r="D894">
        <v>165449</v>
      </c>
    </row>
    <row r="895" spans="1:18" x14ac:dyDescent="0.25">
      <c r="A895" t="s">
        <v>1549</v>
      </c>
      <c r="B895" t="s">
        <v>1550</v>
      </c>
      <c r="C895">
        <v>167086</v>
      </c>
      <c r="D895">
        <v>167086</v>
      </c>
    </row>
    <row r="896" spans="1:18" x14ac:dyDescent="0.25">
      <c r="A896" t="s">
        <v>1551</v>
      </c>
      <c r="B896" t="s">
        <v>166</v>
      </c>
      <c r="C896">
        <v>167856</v>
      </c>
      <c r="D896">
        <v>167856</v>
      </c>
      <c r="E896">
        <v>10</v>
      </c>
      <c r="F896">
        <v>20</v>
      </c>
      <c r="G896">
        <v>40</v>
      </c>
      <c r="O896">
        <v>70</v>
      </c>
    </row>
    <row r="897" spans="1:18" x14ac:dyDescent="0.25">
      <c r="A897" t="s">
        <v>1551</v>
      </c>
      <c r="B897" t="s">
        <v>1552</v>
      </c>
      <c r="C897">
        <v>168744</v>
      </c>
      <c r="D897">
        <v>168744</v>
      </c>
      <c r="E897">
        <v>30</v>
      </c>
      <c r="F897">
        <v>30</v>
      </c>
      <c r="G897">
        <v>40</v>
      </c>
      <c r="O897">
        <v>100</v>
      </c>
    </row>
    <row r="898" spans="1:18" x14ac:dyDescent="0.25">
      <c r="A898" t="s">
        <v>1551</v>
      </c>
      <c r="B898" t="s">
        <v>1553</v>
      </c>
      <c r="C898">
        <v>165913</v>
      </c>
      <c r="D898">
        <v>165913</v>
      </c>
    </row>
    <row r="899" spans="1:18" x14ac:dyDescent="0.25">
      <c r="A899" t="s">
        <v>1554</v>
      </c>
      <c r="B899" t="s">
        <v>1555</v>
      </c>
      <c r="C899">
        <v>166135</v>
      </c>
      <c r="D899">
        <v>166135</v>
      </c>
      <c r="E899">
        <v>10</v>
      </c>
      <c r="F899">
        <v>10</v>
      </c>
      <c r="G899">
        <v>0</v>
      </c>
      <c r="O899">
        <v>20</v>
      </c>
    </row>
    <row r="900" spans="1:18" x14ac:dyDescent="0.25">
      <c r="A900" t="s">
        <v>1556</v>
      </c>
      <c r="B900" t="s">
        <v>1557</v>
      </c>
      <c r="C900">
        <v>168080</v>
      </c>
      <c r="D900">
        <v>168080</v>
      </c>
    </row>
    <row r="901" spans="1:18" x14ac:dyDescent="0.25">
      <c r="A901" t="s">
        <v>1558</v>
      </c>
      <c r="B901" t="s">
        <v>1559</v>
      </c>
      <c r="C901">
        <v>166078</v>
      </c>
      <c r="D901">
        <v>166078</v>
      </c>
      <c r="E901">
        <v>0</v>
      </c>
      <c r="F901">
        <v>20</v>
      </c>
      <c r="G901">
        <v>20</v>
      </c>
      <c r="O901">
        <v>40</v>
      </c>
    </row>
    <row r="902" spans="1:18" x14ac:dyDescent="0.25">
      <c r="A902" t="s">
        <v>1558</v>
      </c>
      <c r="B902" t="s">
        <v>99</v>
      </c>
      <c r="C902">
        <v>168853</v>
      </c>
      <c r="D902">
        <v>168853</v>
      </c>
    </row>
    <row r="903" spans="1:18" x14ac:dyDescent="0.25">
      <c r="A903" t="s">
        <v>1558</v>
      </c>
      <c r="B903" t="s">
        <v>1560</v>
      </c>
      <c r="C903">
        <v>153582</v>
      </c>
      <c r="D903">
        <v>153582</v>
      </c>
      <c r="E903">
        <v>20</v>
      </c>
      <c r="F903">
        <v>10</v>
      </c>
      <c r="G903">
        <v>10</v>
      </c>
      <c r="O903">
        <v>40</v>
      </c>
    </row>
    <row r="904" spans="1:18" x14ac:dyDescent="0.25">
      <c r="A904" t="s">
        <v>1561</v>
      </c>
      <c r="B904" t="s">
        <v>43</v>
      </c>
      <c r="C904">
        <v>161845</v>
      </c>
      <c r="D904">
        <v>161845</v>
      </c>
      <c r="E904">
        <v>10</v>
      </c>
      <c r="F904">
        <v>20</v>
      </c>
      <c r="G904">
        <v>30</v>
      </c>
      <c r="O904">
        <v>60</v>
      </c>
    </row>
    <row r="905" spans="1:18" x14ac:dyDescent="0.25">
      <c r="A905" t="s">
        <v>1562</v>
      </c>
      <c r="B905" t="s">
        <v>830</v>
      </c>
      <c r="C905">
        <v>167213</v>
      </c>
      <c r="D905">
        <v>167213</v>
      </c>
      <c r="E905">
        <v>30</v>
      </c>
      <c r="F905">
        <v>30</v>
      </c>
      <c r="G905">
        <v>30</v>
      </c>
      <c r="O905">
        <v>90</v>
      </c>
      <c r="R905" t="s">
        <v>20</v>
      </c>
    </row>
    <row r="906" spans="1:18" x14ac:dyDescent="0.25">
      <c r="A906" t="s">
        <v>1563</v>
      </c>
      <c r="B906" t="s">
        <v>1564</v>
      </c>
      <c r="C906">
        <v>167847</v>
      </c>
      <c r="D906">
        <v>167847</v>
      </c>
      <c r="E906">
        <v>10</v>
      </c>
      <c r="F906">
        <v>0</v>
      </c>
      <c r="G906">
        <v>10</v>
      </c>
      <c r="O906">
        <v>20</v>
      </c>
    </row>
    <row r="907" spans="1:18" x14ac:dyDescent="0.25">
      <c r="A907" t="s">
        <v>1565</v>
      </c>
      <c r="B907" t="s">
        <v>1495</v>
      </c>
      <c r="C907">
        <v>162977</v>
      </c>
      <c r="D907">
        <v>162977</v>
      </c>
      <c r="E907">
        <v>50</v>
      </c>
      <c r="F907">
        <v>30</v>
      </c>
      <c r="G907">
        <v>40</v>
      </c>
      <c r="O907">
        <v>120</v>
      </c>
    </row>
    <row r="908" spans="1:18" x14ac:dyDescent="0.25">
      <c r="A908" t="s">
        <v>1566</v>
      </c>
      <c r="B908" t="s">
        <v>674</v>
      </c>
      <c r="C908">
        <v>166578</v>
      </c>
      <c r="D908">
        <v>166578</v>
      </c>
      <c r="H908">
        <v>10</v>
      </c>
      <c r="I908">
        <v>30</v>
      </c>
      <c r="J908">
        <v>20</v>
      </c>
      <c r="K908">
        <v>10</v>
      </c>
      <c r="L908">
        <v>0</v>
      </c>
      <c r="M908">
        <v>70</v>
      </c>
    </row>
    <row r="909" spans="1:18" x14ac:dyDescent="0.25">
      <c r="A909" t="s">
        <v>1566</v>
      </c>
      <c r="B909" t="s">
        <v>1567</v>
      </c>
      <c r="C909">
        <v>167391</v>
      </c>
      <c r="D909">
        <v>167391</v>
      </c>
      <c r="H909">
        <v>10</v>
      </c>
      <c r="I909">
        <v>50</v>
      </c>
      <c r="J909">
        <v>20</v>
      </c>
      <c r="K909">
        <v>10</v>
      </c>
      <c r="L909">
        <v>10</v>
      </c>
      <c r="M909">
        <v>100</v>
      </c>
    </row>
    <row r="910" spans="1:18" x14ac:dyDescent="0.25">
      <c r="A910" t="s">
        <v>1568</v>
      </c>
      <c r="B910" t="s">
        <v>367</v>
      </c>
      <c r="C910">
        <v>168863</v>
      </c>
      <c r="D910">
        <v>168863</v>
      </c>
      <c r="E910">
        <v>20</v>
      </c>
      <c r="F910">
        <v>10</v>
      </c>
      <c r="O910">
        <v>30</v>
      </c>
    </row>
    <row r="911" spans="1:18" x14ac:dyDescent="0.25">
      <c r="A911" t="s">
        <v>1569</v>
      </c>
      <c r="B911" t="s">
        <v>228</v>
      </c>
      <c r="C911">
        <v>166285</v>
      </c>
      <c r="D911">
        <v>166285</v>
      </c>
      <c r="H911">
        <v>20</v>
      </c>
      <c r="I911">
        <v>30</v>
      </c>
      <c r="J911">
        <v>10</v>
      </c>
      <c r="K911">
        <v>10</v>
      </c>
      <c r="L911">
        <v>0</v>
      </c>
      <c r="M911">
        <v>70</v>
      </c>
    </row>
    <row r="912" spans="1:18" x14ac:dyDescent="0.25">
      <c r="A912" t="s">
        <v>1570</v>
      </c>
      <c r="B912" t="s">
        <v>1308</v>
      </c>
      <c r="C912">
        <v>163835</v>
      </c>
      <c r="D912">
        <v>163835</v>
      </c>
      <c r="E912">
        <v>40</v>
      </c>
      <c r="F912">
        <v>30</v>
      </c>
      <c r="G912">
        <v>50</v>
      </c>
      <c r="O912">
        <v>120</v>
      </c>
    </row>
    <row r="913" spans="1:15" x14ac:dyDescent="0.25">
      <c r="A913" t="s">
        <v>1571</v>
      </c>
      <c r="B913" t="s">
        <v>1572</v>
      </c>
      <c r="C913">
        <v>168836</v>
      </c>
      <c r="D913">
        <v>168836</v>
      </c>
    </row>
    <row r="914" spans="1:15" x14ac:dyDescent="0.25">
      <c r="A914" t="s">
        <v>1573</v>
      </c>
      <c r="B914" t="s">
        <v>367</v>
      </c>
      <c r="C914">
        <v>168892</v>
      </c>
      <c r="D914">
        <v>168892</v>
      </c>
      <c r="H914">
        <v>0</v>
      </c>
      <c r="I914">
        <v>40</v>
      </c>
      <c r="J914">
        <v>10</v>
      </c>
      <c r="K914">
        <v>10</v>
      </c>
      <c r="L914">
        <v>10</v>
      </c>
      <c r="M914">
        <v>70</v>
      </c>
    </row>
    <row r="915" spans="1:15" x14ac:dyDescent="0.25">
      <c r="A915" t="s">
        <v>1574</v>
      </c>
      <c r="B915" t="s">
        <v>166</v>
      </c>
      <c r="C915">
        <v>166393</v>
      </c>
      <c r="D915">
        <v>166393</v>
      </c>
      <c r="E915">
        <v>40</v>
      </c>
      <c r="F915">
        <v>10</v>
      </c>
      <c r="G915">
        <v>30</v>
      </c>
      <c r="O915">
        <v>80</v>
      </c>
    </row>
    <row r="916" spans="1:15" x14ac:dyDescent="0.25">
      <c r="A916" t="s">
        <v>1574</v>
      </c>
      <c r="B916" t="s">
        <v>197</v>
      </c>
      <c r="C916">
        <v>166058</v>
      </c>
      <c r="D916">
        <v>166058</v>
      </c>
      <c r="H916">
        <v>10</v>
      </c>
      <c r="I916">
        <v>30</v>
      </c>
      <c r="J916">
        <v>0</v>
      </c>
      <c r="K916">
        <v>10</v>
      </c>
      <c r="L916">
        <v>0</v>
      </c>
      <c r="M916">
        <v>50</v>
      </c>
    </row>
    <row r="917" spans="1:15" x14ac:dyDescent="0.25">
      <c r="A917" t="s">
        <v>1574</v>
      </c>
      <c r="B917" t="s">
        <v>1575</v>
      </c>
      <c r="C917">
        <v>168126</v>
      </c>
      <c r="D917">
        <v>168126</v>
      </c>
      <c r="E917">
        <v>20</v>
      </c>
      <c r="F917">
        <v>0</v>
      </c>
      <c r="G917">
        <v>30</v>
      </c>
      <c r="O917">
        <v>50</v>
      </c>
    </row>
    <row r="918" spans="1:15" x14ac:dyDescent="0.25">
      <c r="A918" t="s">
        <v>1576</v>
      </c>
      <c r="B918" t="s">
        <v>1577</v>
      </c>
      <c r="C918">
        <v>167162</v>
      </c>
      <c r="D918">
        <v>167162</v>
      </c>
      <c r="E918">
        <v>20</v>
      </c>
      <c r="F918">
        <v>0</v>
      </c>
      <c r="G918">
        <v>20</v>
      </c>
      <c r="O918">
        <v>40</v>
      </c>
    </row>
    <row r="919" spans="1:15" x14ac:dyDescent="0.25">
      <c r="A919" t="s">
        <v>1578</v>
      </c>
      <c r="B919" t="s">
        <v>1579</v>
      </c>
      <c r="C919">
        <v>167410</v>
      </c>
      <c r="D919">
        <v>167410</v>
      </c>
      <c r="E919">
        <v>30</v>
      </c>
      <c r="F919">
        <v>20</v>
      </c>
      <c r="G919">
        <v>40</v>
      </c>
      <c r="O919">
        <v>90</v>
      </c>
    </row>
    <row r="920" spans="1:15" x14ac:dyDescent="0.25">
      <c r="A920" t="s">
        <v>1580</v>
      </c>
      <c r="B920" t="s">
        <v>1581</v>
      </c>
      <c r="C920">
        <v>167223</v>
      </c>
      <c r="D920">
        <v>167223</v>
      </c>
      <c r="H920">
        <v>10</v>
      </c>
      <c r="I920">
        <v>60</v>
      </c>
      <c r="J920">
        <v>10</v>
      </c>
      <c r="K920">
        <v>0</v>
      </c>
      <c r="L920">
        <v>10</v>
      </c>
      <c r="M920">
        <v>90</v>
      </c>
    </row>
    <row r="921" spans="1:15" x14ac:dyDescent="0.25">
      <c r="A921" t="s">
        <v>1582</v>
      </c>
      <c r="B921" t="s">
        <v>1583</v>
      </c>
      <c r="C921">
        <v>167805</v>
      </c>
      <c r="D921">
        <v>167805</v>
      </c>
      <c r="H921">
        <v>10</v>
      </c>
      <c r="I921">
        <v>30</v>
      </c>
      <c r="J921">
        <v>10</v>
      </c>
      <c r="K921">
        <v>0</v>
      </c>
      <c r="L921">
        <v>0</v>
      </c>
      <c r="M921">
        <v>50</v>
      </c>
    </row>
    <row r="922" spans="1:15" x14ac:dyDescent="0.25">
      <c r="A922" t="s">
        <v>1584</v>
      </c>
      <c r="B922" t="s">
        <v>510</v>
      </c>
      <c r="C922">
        <v>167141</v>
      </c>
      <c r="D922">
        <v>167141</v>
      </c>
      <c r="E922">
        <v>40</v>
      </c>
      <c r="F922">
        <v>30</v>
      </c>
      <c r="G922">
        <v>20</v>
      </c>
      <c r="O922">
        <v>90</v>
      </c>
    </row>
    <row r="923" spans="1:15" x14ac:dyDescent="0.25">
      <c r="A923" t="s">
        <v>1585</v>
      </c>
      <c r="B923" t="s">
        <v>1586</v>
      </c>
      <c r="C923">
        <v>168283</v>
      </c>
      <c r="D923">
        <v>168283</v>
      </c>
      <c r="H923">
        <v>0</v>
      </c>
      <c r="I923">
        <v>30</v>
      </c>
      <c r="J923">
        <v>10</v>
      </c>
      <c r="K923">
        <v>10</v>
      </c>
      <c r="L923">
        <v>0</v>
      </c>
      <c r="M923">
        <v>50</v>
      </c>
    </row>
    <row r="924" spans="1:15" x14ac:dyDescent="0.25">
      <c r="A924" t="s">
        <v>1587</v>
      </c>
      <c r="B924" t="s">
        <v>1588</v>
      </c>
      <c r="C924">
        <v>166958</v>
      </c>
      <c r="D924">
        <v>166958</v>
      </c>
      <c r="E924">
        <v>40</v>
      </c>
      <c r="F924">
        <v>20</v>
      </c>
      <c r="G924">
        <v>50</v>
      </c>
      <c r="N924" t="s">
        <v>20</v>
      </c>
      <c r="O924">
        <v>110</v>
      </c>
    </row>
    <row r="925" spans="1:15" x14ac:dyDescent="0.25">
      <c r="A925" t="s">
        <v>1589</v>
      </c>
      <c r="B925" t="s">
        <v>1590</v>
      </c>
      <c r="C925">
        <v>167132</v>
      </c>
      <c r="D925">
        <v>167132</v>
      </c>
      <c r="H925">
        <v>10</v>
      </c>
      <c r="I925">
        <v>30</v>
      </c>
      <c r="J925">
        <v>10</v>
      </c>
      <c r="K925">
        <v>10</v>
      </c>
      <c r="L925">
        <v>0</v>
      </c>
      <c r="M925">
        <v>60</v>
      </c>
    </row>
    <row r="926" spans="1:15" x14ac:dyDescent="0.25">
      <c r="A926" t="s">
        <v>1591</v>
      </c>
      <c r="B926" t="s">
        <v>1592</v>
      </c>
      <c r="C926">
        <v>166923</v>
      </c>
      <c r="D926">
        <v>166923</v>
      </c>
      <c r="E926">
        <v>10</v>
      </c>
      <c r="F926">
        <v>20</v>
      </c>
      <c r="G926">
        <v>20</v>
      </c>
      <c r="O926">
        <v>50</v>
      </c>
    </row>
    <row r="927" spans="1:15" x14ac:dyDescent="0.25">
      <c r="A927" t="s">
        <v>1593</v>
      </c>
      <c r="B927" t="s">
        <v>1594</v>
      </c>
      <c r="C927">
        <v>167161</v>
      </c>
      <c r="D927">
        <v>167161</v>
      </c>
      <c r="E927">
        <v>20</v>
      </c>
      <c r="F927">
        <v>40</v>
      </c>
      <c r="G927">
        <v>50</v>
      </c>
      <c r="O927">
        <v>110</v>
      </c>
    </row>
    <row r="928" spans="1:15" x14ac:dyDescent="0.25">
      <c r="A928" t="s">
        <v>1595</v>
      </c>
      <c r="B928" t="s">
        <v>1171</v>
      </c>
      <c r="C928">
        <v>168852</v>
      </c>
      <c r="D928">
        <v>168852</v>
      </c>
      <c r="H928">
        <v>20</v>
      </c>
      <c r="I928">
        <v>10</v>
      </c>
      <c r="J928">
        <v>20</v>
      </c>
      <c r="K928">
        <v>10</v>
      </c>
      <c r="L928">
        <v>0</v>
      </c>
      <c r="M928">
        <v>60</v>
      </c>
    </row>
    <row r="929" spans="1:15" x14ac:dyDescent="0.25">
      <c r="A929" t="s">
        <v>1596</v>
      </c>
      <c r="B929" t="s">
        <v>460</v>
      </c>
      <c r="C929">
        <v>164516</v>
      </c>
      <c r="D929">
        <v>164516</v>
      </c>
    </row>
    <row r="930" spans="1:15" x14ac:dyDescent="0.25">
      <c r="A930" t="s">
        <v>1597</v>
      </c>
      <c r="B930" t="s">
        <v>43</v>
      </c>
      <c r="C930">
        <v>168178</v>
      </c>
      <c r="D930">
        <v>168178</v>
      </c>
      <c r="E930">
        <v>10</v>
      </c>
      <c r="F930">
        <v>30</v>
      </c>
      <c r="G930">
        <v>50</v>
      </c>
      <c r="O930">
        <v>90</v>
      </c>
    </row>
    <row r="931" spans="1:15" x14ac:dyDescent="0.25">
      <c r="A931" t="s">
        <v>1598</v>
      </c>
      <c r="B931" t="s">
        <v>67</v>
      </c>
      <c r="C931">
        <v>167113</v>
      </c>
      <c r="D931">
        <v>167113</v>
      </c>
      <c r="E931">
        <v>30</v>
      </c>
      <c r="F931">
        <v>40</v>
      </c>
      <c r="G931">
        <v>50</v>
      </c>
      <c r="N931" t="s">
        <v>549</v>
      </c>
      <c r="O931">
        <v>120</v>
      </c>
    </row>
    <row r="932" spans="1:15" x14ac:dyDescent="0.25">
      <c r="A932" t="s">
        <v>1599</v>
      </c>
      <c r="B932" t="s">
        <v>546</v>
      </c>
      <c r="C932">
        <v>167714</v>
      </c>
      <c r="D932">
        <v>167714</v>
      </c>
      <c r="E932">
        <v>20</v>
      </c>
      <c r="F932">
        <v>10</v>
      </c>
      <c r="G932">
        <v>20</v>
      </c>
      <c r="O932">
        <v>50</v>
      </c>
    </row>
    <row r="933" spans="1:15" x14ac:dyDescent="0.25">
      <c r="A933" t="s">
        <v>1600</v>
      </c>
      <c r="B933" t="s">
        <v>1601</v>
      </c>
      <c r="C933">
        <v>168802</v>
      </c>
      <c r="D933">
        <v>168802</v>
      </c>
      <c r="H933">
        <v>0</v>
      </c>
      <c r="I933">
        <v>30</v>
      </c>
      <c r="J933">
        <v>0</v>
      </c>
      <c r="K933">
        <v>10</v>
      </c>
      <c r="L933">
        <v>0</v>
      </c>
      <c r="M933">
        <v>40</v>
      </c>
    </row>
    <row r="934" spans="1:15" x14ac:dyDescent="0.25">
      <c r="A934" t="s">
        <v>1602</v>
      </c>
      <c r="B934" t="s">
        <v>1225</v>
      </c>
      <c r="C934">
        <v>162825</v>
      </c>
      <c r="D934">
        <v>162825</v>
      </c>
      <c r="E934">
        <v>20</v>
      </c>
      <c r="F934">
        <v>30</v>
      </c>
      <c r="G934">
        <v>60</v>
      </c>
      <c r="O934">
        <v>110</v>
      </c>
    </row>
    <row r="935" spans="1:15" x14ac:dyDescent="0.25">
      <c r="A935" t="s">
        <v>1603</v>
      </c>
      <c r="B935" t="s">
        <v>1604</v>
      </c>
      <c r="C935">
        <v>166950</v>
      </c>
      <c r="D935">
        <v>166950</v>
      </c>
      <c r="H935">
        <v>0</v>
      </c>
      <c r="I935">
        <v>30</v>
      </c>
      <c r="J935">
        <v>0</v>
      </c>
      <c r="K935">
        <v>10</v>
      </c>
      <c r="L935">
        <v>10</v>
      </c>
      <c r="M935">
        <v>50</v>
      </c>
    </row>
    <row r="936" spans="1:15" x14ac:dyDescent="0.25">
      <c r="A936" t="s">
        <v>1605</v>
      </c>
      <c r="B936" t="s">
        <v>209</v>
      </c>
      <c r="C936">
        <v>168557</v>
      </c>
      <c r="D936">
        <v>168557</v>
      </c>
      <c r="H936">
        <v>10</v>
      </c>
      <c r="I936">
        <v>40</v>
      </c>
      <c r="J936">
        <v>20</v>
      </c>
      <c r="K936">
        <v>10</v>
      </c>
      <c r="L936">
        <v>10</v>
      </c>
      <c r="M936">
        <v>90</v>
      </c>
    </row>
    <row r="937" spans="1:15" x14ac:dyDescent="0.25">
      <c r="A937" t="s">
        <v>1606</v>
      </c>
      <c r="B937" t="s">
        <v>1607</v>
      </c>
      <c r="C937">
        <v>167682</v>
      </c>
      <c r="D937">
        <v>167682</v>
      </c>
      <c r="H937">
        <v>10</v>
      </c>
      <c r="I937">
        <v>50</v>
      </c>
      <c r="J937">
        <v>20</v>
      </c>
      <c r="K937">
        <v>10</v>
      </c>
      <c r="L937">
        <v>10</v>
      </c>
      <c r="M937">
        <v>100</v>
      </c>
    </row>
    <row r="938" spans="1:15" x14ac:dyDescent="0.25">
      <c r="A938" t="s">
        <v>1608</v>
      </c>
      <c r="B938" t="s">
        <v>1609</v>
      </c>
      <c r="C938">
        <v>168748</v>
      </c>
      <c r="D938">
        <v>168748</v>
      </c>
    </row>
    <row r="939" spans="1:15" x14ac:dyDescent="0.25">
      <c r="A939" t="s">
        <v>1610</v>
      </c>
      <c r="B939" t="s">
        <v>1611</v>
      </c>
      <c r="C939">
        <v>166726</v>
      </c>
      <c r="D939">
        <v>166726</v>
      </c>
      <c r="E939">
        <v>50</v>
      </c>
      <c r="F939">
        <v>20</v>
      </c>
      <c r="G939">
        <v>40</v>
      </c>
      <c r="O939">
        <v>110</v>
      </c>
    </row>
    <row r="940" spans="1:15" x14ac:dyDescent="0.25">
      <c r="A940" t="s">
        <v>1612</v>
      </c>
      <c r="B940" t="s">
        <v>396</v>
      </c>
      <c r="C940">
        <v>166468</v>
      </c>
      <c r="D940">
        <v>166468</v>
      </c>
      <c r="H940">
        <v>10</v>
      </c>
      <c r="I940">
        <v>30</v>
      </c>
      <c r="J940">
        <v>10</v>
      </c>
      <c r="K940">
        <v>0</v>
      </c>
      <c r="L940">
        <v>0</v>
      </c>
      <c r="M940">
        <v>50</v>
      </c>
    </row>
    <row r="941" spans="1:15" x14ac:dyDescent="0.25">
      <c r="A941" t="s">
        <v>1613</v>
      </c>
      <c r="B941" t="s">
        <v>1614</v>
      </c>
      <c r="C941">
        <v>168572</v>
      </c>
      <c r="D941">
        <v>168572</v>
      </c>
      <c r="E941">
        <v>20</v>
      </c>
      <c r="F941">
        <v>40</v>
      </c>
      <c r="G941">
        <v>30</v>
      </c>
      <c r="O941">
        <v>90</v>
      </c>
    </row>
    <row r="942" spans="1:15" x14ac:dyDescent="0.25">
      <c r="A942" t="s">
        <v>1615</v>
      </c>
      <c r="B942" t="s">
        <v>1616</v>
      </c>
      <c r="C942">
        <v>167742</v>
      </c>
      <c r="D942">
        <v>167742</v>
      </c>
      <c r="E942">
        <v>50</v>
      </c>
      <c r="F942">
        <v>20</v>
      </c>
      <c r="G942">
        <v>60</v>
      </c>
      <c r="O942">
        <v>130</v>
      </c>
    </row>
    <row r="943" spans="1:15" x14ac:dyDescent="0.25">
      <c r="A943" t="s">
        <v>1617</v>
      </c>
      <c r="B943" t="s">
        <v>1618</v>
      </c>
      <c r="C943">
        <v>168726</v>
      </c>
      <c r="D943">
        <v>168726</v>
      </c>
      <c r="H943">
        <v>20</v>
      </c>
      <c r="I943">
        <v>40</v>
      </c>
      <c r="J943">
        <v>20</v>
      </c>
      <c r="K943">
        <v>10</v>
      </c>
      <c r="L943">
        <v>0</v>
      </c>
      <c r="M943">
        <v>90</v>
      </c>
    </row>
    <row r="944" spans="1:15" x14ac:dyDescent="0.25">
      <c r="A944" t="s">
        <v>1619</v>
      </c>
      <c r="B944" t="s">
        <v>1620</v>
      </c>
      <c r="C944">
        <v>163270</v>
      </c>
      <c r="D944">
        <v>163270</v>
      </c>
    </row>
    <row r="945" spans="1:15" x14ac:dyDescent="0.25">
      <c r="A945" t="s">
        <v>1621</v>
      </c>
      <c r="B945" t="s">
        <v>1622</v>
      </c>
      <c r="C945">
        <v>163809</v>
      </c>
      <c r="D945">
        <v>163809</v>
      </c>
    </row>
    <row r="946" spans="1:15" x14ac:dyDescent="0.25">
      <c r="A946" t="s">
        <v>1623</v>
      </c>
      <c r="B946" t="s">
        <v>1624</v>
      </c>
      <c r="C946">
        <v>167195</v>
      </c>
      <c r="D946">
        <v>167195</v>
      </c>
      <c r="E946">
        <v>20</v>
      </c>
      <c r="F946">
        <v>10</v>
      </c>
      <c r="G946">
        <v>20</v>
      </c>
      <c r="O946">
        <v>50</v>
      </c>
    </row>
    <row r="947" spans="1:15" x14ac:dyDescent="0.25">
      <c r="A947" t="s">
        <v>1625</v>
      </c>
      <c r="B947" t="s">
        <v>551</v>
      </c>
      <c r="C947">
        <v>167495</v>
      </c>
      <c r="D947">
        <v>167495</v>
      </c>
      <c r="H947">
        <v>20</v>
      </c>
      <c r="I947">
        <v>50</v>
      </c>
      <c r="J947">
        <v>20</v>
      </c>
      <c r="K947">
        <v>10</v>
      </c>
      <c r="L947">
        <v>10</v>
      </c>
      <c r="M947">
        <v>110</v>
      </c>
    </row>
    <row r="948" spans="1:15" x14ac:dyDescent="0.25">
      <c r="A948" t="s">
        <v>1626</v>
      </c>
      <c r="B948" t="s">
        <v>510</v>
      </c>
      <c r="C948">
        <v>162443</v>
      </c>
      <c r="D948">
        <v>162443</v>
      </c>
      <c r="E948">
        <v>20</v>
      </c>
      <c r="F948">
        <v>40</v>
      </c>
      <c r="G948">
        <v>40</v>
      </c>
      <c r="O948">
        <v>100</v>
      </c>
    </row>
    <row r="949" spans="1:15" x14ac:dyDescent="0.25">
      <c r="A949" t="s">
        <v>1627</v>
      </c>
      <c r="B949" t="s">
        <v>49</v>
      </c>
      <c r="C949">
        <v>167212</v>
      </c>
      <c r="D949">
        <v>167212</v>
      </c>
      <c r="H949">
        <v>0</v>
      </c>
      <c r="I949" t="s">
        <v>20</v>
      </c>
      <c r="J949">
        <v>10</v>
      </c>
      <c r="M949">
        <v>10</v>
      </c>
    </row>
    <row r="950" spans="1:15" x14ac:dyDescent="0.25">
      <c r="A950" t="s">
        <v>1628</v>
      </c>
      <c r="B950" t="s">
        <v>1629</v>
      </c>
      <c r="C950">
        <v>165906</v>
      </c>
      <c r="D950">
        <v>165906</v>
      </c>
    </row>
    <row r="951" spans="1:15" x14ac:dyDescent="0.25">
      <c r="A951" t="s">
        <v>1630</v>
      </c>
      <c r="B951" t="s">
        <v>1631</v>
      </c>
      <c r="C951">
        <v>165048</v>
      </c>
      <c r="D951">
        <v>165048</v>
      </c>
      <c r="E951">
        <v>20</v>
      </c>
      <c r="F951">
        <v>20</v>
      </c>
      <c r="G951">
        <v>30</v>
      </c>
      <c r="O951">
        <v>70</v>
      </c>
    </row>
    <row r="952" spans="1:15" x14ac:dyDescent="0.25">
      <c r="A952" t="s">
        <v>1632</v>
      </c>
      <c r="B952" t="s">
        <v>1633</v>
      </c>
      <c r="C952">
        <v>166495</v>
      </c>
      <c r="D952">
        <v>166495</v>
      </c>
      <c r="H952">
        <v>0</v>
      </c>
      <c r="I952">
        <v>30</v>
      </c>
      <c r="J952">
        <v>20</v>
      </c>
      <c r="K952">
        <v>0</v>
      </c>
      <c r="L952">
        <v>0</v>
      </c>
      <c r="M952">
        <v>50</v>
      </c>
    </row>
    <row r="953" spans="1:15" x14ac:dyDescent="0.25">
      <c r="A953" t="s">
        <v>1634</v>
      </c>
      <c r="B953" t="s">
        <v>1635</v>
      </c>
      <c r="C953">
        <v>168633</v>
      </c>
      <c r="D953">
        <v>168633</v>
      </c>
      <c r="E953">
        <v>10</v>
      </c>
      <c r="F953">
        <v>30</v>
      </c>
      <c r="G953">
        <v>10</v>
      </c>
      <c r="O953">
        <v>50</v>
      </c>
    </row>
    <row r="954" spans="1:15" x14ac:dyDescent="0.25">
      <c r="A954" t="s">
        <v>1636</v>
      </c>
      <c r="B954" t="s">
        <v>1637</v>
      </c>
      <c r="C954">
        <v>168386</v>
      </c>
      <c r="D954">
        <v>168386</v>
      </c>
      <c r="E954">
        <v>10</v>
      </c>
      <c r="F954">
        <v>10</v>
      </c>
      <c r="G954">
        <v>20</v>
      </c>
      <c r="O954">
        <v>40</v>
      </c>
    </row>
    <row r="955" spans="1:15" x14ac:dyDescent="0.25">
      <c r="A955" t="s">
        <v>1638</v>
      </c>
      <c r="B955" t="s">
        <v>1639</v>
      </c>
      <c r="C955">
        <v>164987</v>
      </c>
      <c r="D955">
        <v>164987</v>
      </c>
      <c r="E955">
        <v>20</v>
      </c>
      <c r="F955">
        <v>30</v>
      </c>
      <c r="G955">
        <v>30</v>
      </c>
      <c r="O955">
        <v>80</v>
      </c>
    </row>
    <row r="956" spans="1:15" x14ac:dyDescent="0.25">
      <c r="A956" t="s">
        <v>1640</v>
      </c>
      <c r="B956" t="s">
        <v>1219</v>
      </c>
      <c r="C956">
        <v>166232</v>
      </c>
      <c r="D956">
        <v>166232</v>
      </c>
      <c r="H956">
        <v>10</v>
      </c>
      <c r="I956">
        <v>10</v>
      </c>
      <c r="J956">
        <v>0</v>
      </c>
      <c r="K956">
        <v>0</v>
      </c>
      <c r="L956">
        <v>10</v>
      </c>
      <c r="M956">
        <v>30</v>
      </c>
    </row>
    <row r="957" spans="1:15" x14ac:dyDescent="0.25">
      <c r="A957" t="s">
        <v>1641</v>
      </c>
      <c r="B957" t="s">
        <v>1642</v>
      </c>
      <c r="C957">
        <v>166182</v>
      </c>
      <c r="D957">
        <v>166182</v>
      </c>
      <c r="H957">
        <v>20</v>
      </c>
      <c r="I957">
        <v>30</v>
      </c>
      <c r="J957">
        <v>10</v>
      </c>
      <c r="K957">
        <v>0</v>
      </c>
      <c r="L957">
        <v>0</v>
      </c>
      <c r="M957">
        <v>60</v>
      </c>
    </row>
    <row r="958" spans="1:15" x14ac:dyDescent="0.25">
      <c r="A958" t="s">
        <v>1643</v>
      </c>
      <c r="B958" t="s">
        <v>1644</v>
      </c>
      <c r="C958">
        <v>165921</v>
      </c>
      <c r="D958">
        <v>165921</v>
      </c>
      <c r="E958">
        <v>40</v>
      </c>
      <c r="F958">
        <v>0</v>
      </c>
      <c r="G958">
        <v>40</v>
      </c>
      <c r="O958">
        <v>80</v>
      </c>
    </row>
    <row r="959" spans="1:15" x14ac:dyDescent="0.25">
      <c r="A959" t="s">
        <v>1645</v>
      </c>
      <c r="B959" t="s">
        <v>1646</v>
      </c>
      <c r="C959">
        <v>166245</v>
      </c>
      <c r="D959">
        <v>166245</v>
      </c>
      <c r="H959">
        <v>10</v>
      </c>
      <c r="I959">
        <v>40</v>
      </c>
      <c r="J959">
        <v>10</v>
      </c>
      <c r="K959">
        <v>10</v>
      </c>
      <c r="L959">
        <v>10</v>
      </c>
      <c r="M959">
        <v>80</v>
      </c>
    </row>
    <row r="960" spans="1:15" x14ac:dyDescent="0.25">
      <c r="A960" t="s">
        <v>1647</v>
      </c>
      <c r="B960" t="s">
        <v>174</v>
      </c>
      <c r="C960">
        <v>168458</v>
      </c>
      <c r="D960">
        <v>168458</v>
      </c>
      <c r="E960">
        <v>40</v>
      </c>
      <c r="F960">
        <v>30</v>
      </c>
      <c r="G960">
        <v>20</v>
      </c>
      <c r="O960">
        <v>90</v>
      </c>
    </row>
    <row r="961" spans="1:15" x14ac:dyDescent="0.25">
      <c r="A961" t="s">
        <v>1648</v>
      </c>
      <c r="B961" t="s">
        <v>1649</v>
      </c>
      <c r="C961">
        <v>167819</v>
      </c>
      <c r="D961">
        <v>167819</v>
      </c>
    </row>
    <row r="962" spans="1:15" x14ac:dyDescent="0.25">
      <c r="A962" t="s">
        <v>1650</v>
      </c>
      <c r="B962" t="s">
        <v>1651</v>
      </c>
      <c r="C962">
        <v>165876</v>
      </c>
      <c r="D962">
        <v>165876</v>
      </c>
      <c r="H962">
        <v>10</v>
      </c>
      <c r="I962">
        <v>50</v>
      </c>
      <c r="J962">
        <v>20</v>
      </c>
      <c r="K962">
        <v>10</v>
      </c>
      <c r="L962">
        <v>10</v>
      </c>
      <c r="M962">
        <v>100</v>
      </c>
    </row>
    <row r="963" spans="1:15" x14ac:dyDescent="0.25">
      <c r="A963" t="s">
        <v>1652</v>
      </c>
      <c r="B963" t="s">
        <v>808</v>
      </c>
      <c r="C963">
        <v>165537</v>
      </c>
      <c r="D963">
        <v>165537</v>
      </c>
    </row>
    <row r="964" spans="1:15" x14ac:dyDescent="0.25">
      <c r="A964" t="s">
        <v>1653</v>
      </c>
      <c r="B964" t="s">
        <v>1240</v>
      </c>
      <c r="C964">
        <v>167370</v>
      </c>
      <c r="D964">
        <v>167370</v>
      </c>
      <c r="E964">
        <v>0</v>
      </c>
      <c r="F964">
        <v>20</v>
      </c>
      <c r="G964">
        <v>30</v>
      </c>
      <c r="O964">
        <v>50</v>
      </c>
    </row>
    <row r="965" spans="1:15" x14ac:dyDescent="0.25">
      <c r="A965" t="s">
        <v>1654</v>
      </c>
      <c r="B965" t="s">
        <v>1043</v>
      </c>
      <c r="C965">
        <v>165693</v>
      </c>
      <c r="D965">
        <v>165693</v>
      </c>
      <c r="H965">
        <v>20</v>
      </c>
      <c r="I965">
        <v>50</v>
      </c>
      <c r="J965">
        <v>10</v>
      </c>
      <c r="K965">
        <v>10</v>
      </c>
      <c r="L965">
        <v>10</v>
      </c>
      <c r="M965">
        <v>100</v>
      </c>
    </row>
    <row r="966" spans="1:15" x14ac:dyDescent="0.25">
      <c r="A966" t="s">
        <v>1655</v>
      </c>
      <c r="B966" t="s">
        <v>1656</v>
      </c>
      <c r="C966">
        <v>165987</v>
      </c>
      <c r="D966">
        <v>165987</v>
      </c>
    </row>
    <row r="967" spans="1:15" x14ac:dyDescent="0.25">
      <c r="A967" t="s">
        <v>1657</v>
      </c>
      <c r="B967" t="s">
        <v>1658</v>
      </c>
      <c r="C967">
        <v>168664</v>
      </c>
      <c r="D967">
        <v>168664</v>
      </c>
      <c r="H967">
        <v>10</v>
      </c>
      <c r="I967">
        <v>10</v>
      </c>
      <c r="J967">
        <v>0</v>
      </c>
      <c r="K967">
        <v>10</v>
      </c>
      <c r="L967">
        <v>10</v>
      </c>
      <c r="M967">
        <v>40</v>
      </c>
    </row>
    <row r="968" spans="1:15" x14ac:dyDescent="0.25">
      <c r="A968" t="s">
        <v>1659</v>
      </c>
      <c r="B968" t="s">
        <v>1660</v>
      </c>
      <c r="C968">
        <v>168163</v>
      </c>
      <c r="D968">
        <v>168163</v>
      </c>
      <c r="E968">
        <v>30</v>
      </c>
      <c r="F968">
        <v>10</v>
      </c>
      <c r="G968">
        <v>10</v>
      </c>
      <c r="O968">
        <v>50</v>
      </c>
    </row>
    <row r="969" spans="1:15" x14ac:dyDescent="0.25">
      <c r="A969" t="s">
        <v>1661</v>
      </c>
      <c r="B969" t="s">
        <v>1662</v>
      </c>
      <c r="C969">
        <v>166991</v>
      </c>
      <c r="D969">
        <v>166991</v>
      </c>
      <c r="H969">
        <v>20</v>
      </c>
      <c r="I969">
        <v>30</v>
      </c>
      <c r="J969">
        <v>10</v>
      </c>
      <c r="K969">
        <v>10</v>
      </c>
      <c r="L969">
        <v>10</v>
      </c>
      <c r="M969">
        <v>80</v>
      </c>
    </row>
    <row r="970" spans="1:15" x14ac:dyDescent="0.25">
      <c r="A970" t="s">
        <v>1663</v>
      </c>
      <c r="B970" t="s">
        <v>1664</v>
      </c>
      <c r="C970">
        <v>166380</v>
      </c>
      <c r="D970">
        <v>166380</v>
      </c>
      <c r="E970">
        <v>40</v>
      </c>
      <c r="F970">
        <v>30</v>
      </c>
      <c r="G970">
        <v>40</v>
      </c>
      <c r="O970">
        <v>110</v>
      </c>
    </row>
    <row r="971" spans="1:15" x14ac:dyDescent="0.25">
      <c r="A971" t="s">
        <v>1665</v>
      </c>
      <c r="B971" t="s">
        <v>1075</v>
      </c>
      <c r="C971">
        <v>166031</v>
      </c>
      <c r="D971">
        <v>166031</v>
      </c>
      <c r="E971">
        <v>0</v>
      </c>
      <c r="F971">
        <v>20</v>
      </c>
      <c r="O971">
        <v>20</v>
      </c>
    </row>
    <row r="972" spans="1:15" x14ac:dyDescent="0.25">
      <c r="A972" t="s">
        <v>1666</v>
      </c>
      <c r="B972" t="s">
        <v>890</v>
      </c>
      <c r="C972">
        <v>168104</v>
      </c>
      <c r="D972">
        <v>168104</v>
      </c>
      <c r="E972">
        <v>50</v>
      </c>
      <c r="F972">
        <v>30</v>
      </c>
      <c r="G972">
        <v>40</v>
      </c>
      <c r="O972">
        <v>120</v>
      </c>
    </row>
    <row r="973" spans="1:15" x14ac:dyDescent="0.25">
      <c r="A973" t="s">
        <v>1667</v>
      </c>
      <c r="B973" t="s">
        <v>495</v>
      </c>
      <c r="C973">
        <v>164626</v>
      </c>
      <c r="D973">
        <v>164626</v>
      </c>
    </row>
    <row r="974" spans="1:15" x14ac:dyDescent="0.25">
      <c r="A974" t="s">
        <v>1668</v>
      </c>
      <c r="B974" t="s">
        <v>1669</v>
      </c>
      <c r="C974">
        <v>168406</v>
      </c>
      <c r="D974">
        <v>168406</v>
      </c>
      <c r="H974">
        <v>20</v>
      </c>
      <c r="I974">
        <v>40</v>
      </c>
      <c r="J974">
        <v>20</v>
      </c>
      <c r="K974">
        <v>10</v>
      </c>
      <c r="L974">
        <v>0</v>
      </c>
      <c r="M974">
        <v>90</v>
      </c>
    </row>
    <row r="975" spans="1:15" x14ac:dyDescent="0.25">
      <c r="A975" t="s">
        <v>1670</v>
      </c>
      <c r="B975" t="s">
        <v>1671</v>
      </c>
      <c r="C975">
        <v>166279</v>
      </c>
      <c r="D975">
        <v>166279</v>
      </c>
      <c r="H975">
        <v>20</v>
      </c>
      <c r="I975">
        <v>40</v>
      </c>
      <c r="J975">
        <v>0</v>
      </c>
      <c r="K975">
        <v>10</v>
      </c>
      <c r="L975">
        <v>0</v>
      </c>
      <c r="M975">
        <v>70</v>
      </c>
    </row>
    <row r="976" spans="1:15" x14ac:dyDescent="0.25">
      <c r="A976" t="s">
        <v>1672</v>
      </c>
      <c r="B976" t="s">
        <v>1673</v>
      </c>
      <c r="C976">
        <v>168161</v>
      </c>
      <c r="D976">
        <v>168161</v>
      </c>
      <c r="H976">
        <v>0</v>
      </c>
      <c r="I976">
        <v>40</v>
      </c>
      <c r="J976">
        <v>10</v>
      </c>
      <c r="K976">
        <v>0</v>
      </c>
      <c r="L976">
        <v>0</v>
      </c>
      <c r="M976">
        <v>50</v>
      </c>
    </row>
    <row r="977" spans="1:18" x14ac:dyDescent="0.25">
      <c r="A977" t="s">
        <v>1674</v>
      </c>
      <c r="B977" t="s">
        <v>1675</v>
      </c>
      <c r="C977">
        <v>166851</v>
      </c>
      <c r="D977">
        <v>166851</v>
      </c>
      <c r="H977">
        <v>20</v>
      </c>
      <c r="I977">
        <v>30</v>
      </c>
      <c r="J977">
        <v>10</v>
      </c>
      <c r="K977">
        <v>10</v>
      </c>
      <c r="L977">
        <v>0</v>
      </c>
      <c r="M977">
        <v>70</v>
      </c>
    </row>
    <row r="978" spans="1:18" x14ac:dyDescent="0.25">
      <c r="A978" t="s">
        <v>1676</v>
      </c>
      <c r="B978" t="s">
        <v>1677</v>
      </c>
      <c r="C978">
        <v>165351</v>
      </c>
      <c r="D978">
        <v>165351</v>
      </c>
      <c r="H978">
        <v>10</v>
      </c>
      <c r="I978">
        <v>50</v>
      </c>
      <c r="J978">
        <v>10</v>
      </c>
      <c r="K978">
        <v>10</v>
      </c>
      <c r="L978">
        <v>10</v>
      </c>
      <c r="M978">
        <v>90</v>
      </c>
    </row>
    <row r="979" spans="1:18" x14ac:dyDescent="0.25">
      <c r="A979" t="s">
        <v>1678</v>
      </c>
      <c r="B979" t="s">
        <v>455</v>
      </c>
      <c r="C979">
        <v>166576</v>
      </c>
      <c r="D979">
        <v>166576</v>
      </c>
      <c r="E979">
        <v>0</v>
      </c>
      <c r="F979">
        <v>20</v>
      </c>
      <c r="G979">
        <v>10</v>
      </c>
      <c r="O979">
        <v>30</v>
      </c>
    </row>
    <row r="980" spans="1:18" x14ac:dyDescent="0.25">
      <c r="A980" t="s">
        <v>1679</v>
      </c>
      <c r="B980" t="s">
        <v>1680</v>
      </c>
      <c r="C980">
        <v>168493</v>
      </c>
      <c r="D980">
        <v>168493</v>
      </c>
      <c r="H980">
        <v>10</v>
      </c>
      <c r="I980">
        <v>40</v>
      </c>
      <c r="J980">
        <v>10</v>
      </c>
      <c r="K980">
        <v>10</v>
      </c>
      <c r="L980">
        <v>0</v>
      </c>
      <c r="M980">
        <v>70</v>
      </c>
    </row>
    <row r="981" spans="1:18" x14ac:dyDescent="0.25">
      <c r="A981" t="s">
        <v>1681</v>
      </c>
      <c r="B981" t="s">
        <v>352</v>
      </c>
      <c r="C981">
        <v>167635</v>
      </c>
      <c r="D981">
        <v>167635</v>
      </c>
      <c r="H981">
        <v>10</v>
      </c>
      <c r="I981">
        <v>30</v>
      </c>
      <c r="J981">
        <v>20</v>
      </c>
      <c r="K981">
        <v>0</v>
      </c>
      <c r="L981">
        <v>10</v>
      </c>
      <c r="M981">
        <v>70</v>
      </c>
    </row>
    <row r="982" spans="1:18" x14ac:dyDescent="0.25">
      <c r="A982" t="s">
        <v>1682</v>
      </c>
      <c r="B982" t="s">
        <v>1683</v>
      </c>
      <c r="C982">
        <v>166318</v>
      </c>
      <c r="D982">
        <v>166318</v>
      </c>
      <c r="E982">
        <v>40</v>
      </c>
      <c r="F982">
        <v>30</v>
      </c>
      <c r="G982">
        <v>30</v>
      </c>
      <c r="O982">
        <v>100</v>
      </c>
    </row>
    <row r="983" spans="1:18" x14ac:dyDescent="0.25">
      <c r="A983" t="s">
        <v>1684</v>
      </c>
      <c r="B983" t="s">
        <v>1043</v>
      </c>
      <c r="C983">
        <v>168496</v>
      </c>
      <c r="D983">
        <v>168496</v>
      </c>
      <c r="H983">
        <v>10</v>
      </c>
      <c r="I983">
        <v>50</v>
      </c>
      <c r="J983">
        <v>20</v>
      </c>
      <c r="K983">
        <v>10</v>
      </c>
      <c r="L983">
        <v>0</v>
      </c>
      <c r="M983">
        <v>90</v>
      </c>
    </row>
    <row r="984" spans="1:18" x14ac:dyDescent="0.25">
      <c r="A984" t="s">
        <v>1685</v>
      </c>
      <c r="B984" t="s">
        <v>1686</v>
      </c>
      <c r="C984">
        <v>166957</v>
      </c>
      <c r="D984">
        <v>166957</v>
      </c>
      <c r="H984">
        <v>10</v>
      </c>
      <c r="I984">
        <v>10</v>
      </c>
      <c r="J984">
        <v>10</v>
      </c>
      <c r="K984">
        <v>0</v>
      </c>
      <c r="L984">
        <v>10</v>
      </c>
      <c r="M984">
        <v>40</v>
      </c>
    </row>
    <row r="985" spans="1:18" x14ac:dyDescent="0.25">
      <c r="A985" t="s">
        <v>1687</v>
      </c>
      <c r="B985" t="s">
        <v>1688</v>
      </c>
      <c r="C985">
        <v>166351</v>
      </c>
      <c r="D985">
        <v>166351</v>
      </c>
      <c r="E985">
        <v>50</v>
      </c>
      <c r="F985">
        <v>30</v>
      </c>
      <c r="G985">
        <v>30</v>
      </c>
      <c r="O985">
        <v>110</v>
      </c>
    </row>
    <row r="986" spans="1:18" x14ac:dyDescent="0.25">
      <c r="A986" t="s">
        <v>1689</v>
      </c>
      <c r="B986" t="s">
        <v>1690</v>
      </c>
      <c r="C986">
        <v>167843</v>
      </c>
      <c r="D986">
        <v>167843</v>
      </c>
      <c r="E986">
        <v>50</v>
      </c>
      <c r="F986">
        <v>40</v>
      </c>
      <c r="G986">
        <v>40</v>
      </c>
      <c r="O986">
        <v>130</v>
      </c>
    </row>
    <row r="987" spans="1:18" x14ac:dyDescent="0.25">
      <c r="A987" t="s">
        <v>1691</v>
      </c>
      <c r="B987" t="s">
        <v>1692</v>
      </c>
      <c r="C987">
        <v>168324</v>
      </c>
      <c r="D987">
        <v>168324</v>
      </c>
      <c r="E987">
        <v>30</v>
      </c>
      <c r="F987">
        <v>0</v>
      </c>
      <c r="G987">
        <v>20</v>
      </c>
      <c r="O987">
        <v>50</v>
      </c>
    </row>
    <row r="988" spans="1:18" x14ac:dyDescent="0.25">
      <c r="A988" t="s">
        <v>1693</v>
      </c>
      <c r="B988" t="s">
        <v>1694</v>
      </c>
      <c r="C988">
        <v>165355</v>
      </c>
      <c r="D988">
        <v>165355</v>
      </c>
      <c r="H988">
        <v>0</v>
      </c>
      <c r="I988">
        <v>10</v>
      </c>
      <c r="J988">
        <v>20</v>
      </c>
      <c r="K988">
        <v>10</v>
      </c>
      <c r="L988">
        <v>0</v>
      </c>
      <c r="M988">
        <v>40</v>
      </c>
    </row>
    <row r="989" spans="1:18" x14ac:dyDescent="0.25">
      <c r="A989" t="s">
        <v>1693</v>
      </c>
      <c r="B989" t="s">
        <v>1695</v>
      </c>
      <c r="C989">
        <v>167204</v>
      </c>
      <c r="D989">
        <v>167204</v>
      </c>
      <c r="E989">
        <v>30</v>
      </c>
      <c r="F989">
        <v>10</v>
      </c>
      <c r="G989">
        <v>30</v>
      </c>
      <c r="O989">
        <v>70</v>
      </c>
    </row>
    <row r="990" spans="1:18" x14ac:dyDescent="0.25">
      <c r="A990" t="s">
        <v>1696</v>
      </c>
      <c r="B990" t="s">
        <v>24</v>
      </c>
      <c r="C990">
        <v>165394</v>
      </c>
      <c r="D990">
        <v>165394</v>
      </c>
      <c r="E990">
        <v>40</v>
      </c>
      <c r="F990">
        <v>40</v>
      </c>
      <c r="G990">
        <v>30</v>
      </c>
      <c r="O990">
        <v>110</v>
      </c>
      <c r="R990" t="s">
        <v>20</v>
      </c>
    </row>
    <row r="991" spans="1:18" x14ac:dyDescent="0.25">
      <c r="A991" t="s">
        <v>1697</v>
      </c>
      <c r="B991" t="s">
        <v>768</v>
      </c>
      <c r="C991">
        <v>166186</v>
      </c>
      <c r="D991">
        <v>166186</v>
      </c>
      <c r="H991">
        <v>20</v>
      </c>
      <c r="I991">
        <v>30</v>
      </c>
      <c r="J991">
        <v>20</v>
      </c>
      <c r="K991">
        <v>0</v>
      </c>
      <c r="L991">
        <v>10</v>
      </c>
      <c r="M991">
        <v>80</v>
      </c>
    </row>
    <row r="992" spans="1:18" x14ac:dyDescent="0.25">
      <c r="A992" t="s">
        <v>1698</v>
      </c>
      <c r="B992" t="s">
        <v>1699</v>
      </c>
      <c r="C992">
        <v>167211</v>
      </c>
      <c r="D992">
        <v>167211</v>
      </c>
      <c r="H992">
        <v>10</v>
      </c>
      <c r="I992">
        <v>30</v>
      </c>
      <c r="J992">
        <v>10</v>
      </c>
      <c r="K992">
        <v>10</v>
      </c>
      <c r="L992">
        <v>10</v>
      </c>
      <c r="M992">
        <v>70</v>
      </c>
    </row>
    <row r="993" spans="1:18" x14ac:dyDescent="0.25">
      <c r="A993" t="s">
        <v>1700</v>
      </c>
      <c r="B993" t="s">
        <v>1701</v>
      </c>
      <c r="C993">
        <v>168223</v>
      </c>
      <c r="D993">
        <v>168223</v>
      </c>
      <c r="H993">
        <v>0</v>
      </c>
      <c r="I993">
        <v>20</v>
      </c>
      <c r="J993">
        <v>0</v>
      </c>
      <c r="K993">
        <v>0</v>
      </c>
      <c r="L993">
        <v>0</v>
      </c>
      <c r="M993">
        <v>20</v>
      </c>
    </row>
    <row r="994" spans="1:18" x14ac:dyDescent="0.25">
      <c r="A994" t="s">
        <v>1702</v>
      </c>
      <c r="B994" t="s">
        <v>1703</v>
      </c>
      <c r="C994">
        <v>151533</v>
      </c>
      <c r="D994">
        <v>151533</v>
      </c>
      <c r="H994">
        <v>20</v>
      </c>
      <c r="I994">
        <v>50</v>
      </c>
      <c r="J994">
        <v>20</v>
      </c>
      <c r="K994">
        <v>10</v>
      </c>
      <c r="L994">
        <v>10</v>
      </c>
      <c r="M994">
        <v>110</v>
      </c>
    </row>
    <row r="995" spans="1:18" x14ac:dyDescent="0.25">
      <c r="A995" t="s">
        <v>1704</v>
      </c>
      <c r="B995" t="s">
        <v>1705</v>
      </c>
      <c r="C995">
        <v>165318</v>
      </c>
      <c r="D995">
        <v>165318</v>
      </c>
      <c r="E995">
        <v>40</v>
      </c>
      <c r="F995">
        <v>40</v>
      </c>
      <c r="G995">
        <v>40</v>
      </c>
      <c r="O995">
        <v>120</v>
      </c>
    </row>
    <row r="996" spans="1:18" x14ac:dyDescent="0.25">
      <c r="A996" t="s">
        <v>1706</v>
      </c>
      <c r="B996" t="s">
        <v>1707</v>
      </c>
      <c r="C996">
        <v>167463</v>
      </c>
      <c r="D996">
        <v>167463</v>
      </c>
      <c r="H996">
        <v>20</v>
      </c>
      <c r="I996">
        <v>50</v>
      </c>
      <c r="J996">
        <v>20</v>
      </c>
      <c r="K996">
        <v>10</v>
      </c>
      <c r="L996">
        <v>10</v>
      </c>
      <c r="M996">
        <v>110</v>
      </c>
    </row>
    <row r="997" spans="1:18" x14ac:dyDescent="0.25">
      <c r="A997" t="s">
        <v>1708</v>
      </c>
      <c r="B997" t="s">
        <v>1709</v>
      </c>
      <c r="C997">
        <v>165035</v>
      </c>
      <c r="D997">
        <v>165035</v>
      </c>
      <c r="H997">
        <v>20</v>
      </c>
      <c r="I997">
        <v>30</v>
      </c>
      <c r="J997">
        <v>10</v>
      </c>
      <c r="K997">
        <v>0</v>
      </c>
      <c r="L997">
        <v>0</v>
      </c>
      <c r="M997">
        <v>60</v>
      </c>
    </row>
    <row r="998" spans="1:18" x14ac:dyDescent="0.25">
      <c r="A998" t="s">
        <v>1710</v>
      </c>
      <c r="B998" t="s">
        <v>577</v>
      </c>
      <c r="C998">
        <v>168650</v>
      </c>
      <c r="D998">
        <v>168650</v>
      </c>
    </row>
    <row r="999" spans="1:18" x14ac:dyDescent="0.25">
      <c r="A999" t="s">
        <v>1711</v>
      </c>
      <c r="B999" t="s">
        <v>168</v>
      </c>
      <c r="C999">
        <v>168883</v>
      </c>
      <c r="D999">
        <v>168883</v>
      </c>
      <c r="E999">
        <v>20</v>
      </c>
      <c r="F999">
        <v>30</v>
      </c>
      <c r="G999">
        <v>20</v>
      </c>
      <c r="O999">
        <v>70</v>
      </c>
    </row>
    <row r="1000" spans="1:18" x14ac:dyDescent="0.25">
      <c r="A1000" t="s">
        <v>1711</v>
      </c>
      <c r="B1000" t="s">
        <v>498</v>
      </c>
      <c r="C1000">
        <v>167712</v>
      </c>
      <c r="D1000">
        <v>167712</v>
      </c>
      <c r="H1000">
        <v>10</v>
      </c>
      <c r="I1000">
        <v>50</v>
      </c>
      <c r="J1000">
        <v>20</v>
      </c>
      <c r="K1000">
        <v>10</v>
      </c>
      <c r="L1000">
        <v>0</v>
      </c>
      <c r="M1000">
        <v>90</v>
      </c>
    </row>
    <row r="1001" spans="1:18" x14ac:dyDescent="0.25">
      <c r="A1001" t="s">
        <v>1712</v>
      </c>
      <c r="B1001" t="s">
        <v>1713</v>
      </c>
      <c r="C1001">
        <v>167665</v>
      </c>
      <c r="D1001">
        <v>167665</v>
      </c>
      <c r="H1001">
        <v>10</v>
      </c>
      <c r="I1001">
        <v>30</v>
      </c>
      <c r="J1001">
        <v>10</v>
      </c>
      <c r="K1001">
        <v>0</v>
      </c>
      <c r="L1001">
        <v>0</v>
      </c>
      <c r="M1001">
        <v>50</v>
      </c>
    </row>
    <row r="1002" spans="1:18" x14ac:dyDescent="0.25">
      <c r="A1002" t="s">
        <v>1714</v>
      </c>
      <c r="B1002" t="s">
        <v>495</v>
      </c>
      <c r="C1002">
        <v>168103</v>
      </c>
      <c r="D1002">
        <v>168103</v>
      </c>
      <c r="H1002">
        <v>0</v>
      </c>
      <c r="I1002">
        <v>30</v>
      </c>
      <c r="J1002">
        <v>10</v>
      </c>
      <c r="K1002">
        <v>0</v>
      </c>
      <c r="L1002">
        <v>0</v>
      </c>
      <c r="M1002">
        <v>40</v>
      </c>
      <c r="R1002" t="s">
        <v>20</v>
      </c>
    </row>
    <row r="1003" spans="1:18" x14ac:dyDescent="0.25">
      <c r="A1003" t="s">
        <v>1715</v>
      </c>
      <c r="B1003" t="s">
        <v>1716</v>
      </c>
      <c r="C1003">
        <v>167338</v>
      </c>
      <c r="D1003">
        <v>167338</v>
      </c>
      <c r="E1003">
        <v>10</v>
      </c>
      <c r="F1003">
        <v>20</v>
      </c>
      <c r="G1003">
        <v>40</v>
      </c>
      <c r="O1003">
        <v>70</v>
      </c>
    </row>
    <row r="1004" spans="1:18" x14ac:dyDescent="0.25">
      <c r="A1004" t="s">
        <v>1717</v>
      </c>
      <c r="B1004" t="s">
        <v>1219</v>
      </c>
      <c r="C1004">
        <v>164039</v>
      </c>
      <c r="D1004">
        <v>164039</v>
      </c>
      <c r="E1004">
        <v>20</v>
      </c>
      <c r="F1004">
        <v>40</v>
      </c>
      <c r="G1004">
        <v>30</v>
      </c>
      <c r="O1004">
        <v>90</v>
      </c>
    </row>
    <row r="1005" spans="1:18" x14ac:dyDescent="0.25">
      <c r="A1005" t="s">
        <v>1718</v>
      </c>
      <c r="B1005" t="s">
        <v>1719</v>
      </c>
      <c r="C1005">
        <v>165770</v>
      </c>
      <c r="D1005">
        <v>165770</v>
      </c>
      <c r="E1005">
        <v>20</v>
      </c>
      <c r="F1005">
        <v>30</v>
      </c>
      <c r="G1005">
        <v>20</v>
      </c>
      <c r="O1005">
        <v>70</v>
      </c>
    </row>
    <row r="1006" spans="1:18" x14ac:dyDescent="0.25">
      <c r="A1006" t="s">
        <v>1720</v>
      </c>
      <c r="B1006" t="s">
        <v>1721</v>
      </c>
      <c r="C1006">
        <v>164691</v>
      </c>
      <c r="D1006">
        <v>164691</v>
      </c>
      <c r="N1006" t="s">
        <v>549</v>
      </c>
    </row>
    <row r="1007" spans="1:18" x14ac:dyDescent="0.25">
      <c r="A1007" t="s">
        <v>1722</v>
      </c>
      <c r="B1007" t="s">
        <v>1723</v>
      </c>
      <c r="C1007">
        <v>167638</v>
      </c>
      <c r="D1007">
        <v>167638</v>
      </c>
      <c r="H1007">
        <v>0</v>
      </c>
      <c r="I1007">
        <v>40</v>
      </c>
      <c r="J1007">
        <v>10</v>
      </c>
      <c r="K1007">
        <v>10</v>
      </c>
      <c r="L1007">
        <v>10</v>
      </c>
      <c r="M1007">
        <v>70</v>
      </c>
    </row>
    <row r="1008" spans="1:18" x14ac:dyDescent="0.25">
      <c r="A1008" t="s">
        <v>1724</v>
      </c>
      <c r="B1008" t="s">
        <v>1725</v>
      </c>
      <c r="C1008">
        <v>161264</v>
      </c>
      <c r="D1008">
        <v>161264</v>
      </c>
    </row>
    <row r="1009" spans="1:15" x14ac:dyDescent="0.25">
      <c r="A1009" t="s">
        <v>1726</v>
      </c>
      <c r="B1009" t="s">
        <v>1727</v>
      </c>
      <c r="C1009">
        <v>167786</v>
      </c>
      <c r="D1009">
        <v>167786</v>
      </c>
      <c r="H1009">
        <v>20</v>
      </c>
      <c r="I1009">
        <v>30</v>
      </c>
      <c r="J1009">
        <v>20</v>
      </c>
      <c r="K1009">
        <v>10</v>
      </c>
      <c r="L1009">
        <v>0</v>
      </c>
      <c r="M1009">
        <v>80</v>
      </c>
    </row>
    <row r="1010" spans="1:15" x14ac:dyDescent="0.25">
      <c r="A1010" t="s">
        <v>1728</v>
      </c>
      <c r="B1010" t="s">
        <v>1729</v>
      </c>
      <c r="C1010">
        <v>166065</v>
      </c>
      <c r="D1010">
        <v>166065</v>
      </c>
      <c r="E1010">
        <v>50</v>
      </c>
      <c r="F1010">
        <v>10</v>
      </c>
      <c r="G1010">
        <v>30</v>
      </c>
      <c r="O1010">
        <v>90</v>
      </c>
    </row>
    <row r="1011" spans="1:15" x14ac:dyDescent="0.25">
      <c r="A1011" t="s">
        <v>1730</v>
      </c>
      <c r="B1011" t="s">
        <v>697</v>
      </c>
      <c r="C1011">
        <v>163089</v>
      </c>
      <c r="D1011">
        <v>163089</v>
      </c>
      <c r="E1011">
        <v>50</v>
      </c>
      <c r="F1011">
        <v>20</v>
      </c>
      <c r="G1011">
        <v>30</v>
      </c>
      <c r="O1011">
        <v>100</v>
      </c>
    </row>
    <row r="1012" spans="1:15" x14ac:dyDescent="0.25">
      <c r="A1012" t="s">
        <v>1731</v>
      </c>
      <c r="B1012" t="s">
        <v>1732</v>
      </c>
      <c r="C1012">
        <v>168281</v>
      </c>
      <c r="D1012">
        <v>168281</v>
      </c>
      <c r="E1012">
        <v>50</v>
      </c>
      <c r="F1012">
        <v>20</v>
      </c>
      <c r="G1012">
        <v>40</v>
      </c>
      <c r="O1012">
        <v>110</v>
      </c>
    </row>
    <row r="1013" spans="1:15" x14ac:dyDescent="0.25">
      <c r="A1013" t="s">
        <v>1733</v>
      </c>
      <c r="B1013" t="s">
        <v>199</v>
      </c>
      <c r="C1013">
        <v>164312</v>
      </c>
      <c r="D1013">
        <v>164312</v>
      </c>
    </row>
    <row r="1014" spans="1:15" x14ac:dyDescent="0.25">
      <c r="A1014" t="s">
        <v>1734</v>
      </c>
      <c r="B1014" t="s">
        <v>1735</v>
      </c>
      <c r="C1014">
        <v>168322</v>
      </c>
      <c r="D1014">
        <v>168322</v>
      </c>
      <c r="E1014">
        <v>10</v>
      </c>
      <c r="F1014">
        <v>0</v>
      </c>
      <c r="G1014">
        <v>10</v>
      </c>
      <c r="O1014">
        <v>20</v>
      </c>
    </row>
    <row r="1015" spans="1:15" x14ac:dyDescent="0.25">
      <c r="A1015" t="s">
        <v>1736</v>
      </c>
      <c r="B1015" t="s">
        <v>1737</v>
      </c>
      <c r="C1015">
        <v>164610</v>
      </c>
      <c r="D1015">
        <v>164610</v>
      </c>
      <c r="E1015">
        <v>30</v>
      </c>
      <c r="F1015">
        <v>0</v>
      </c>
      <c r="G1015">
        <v>50</v>
      </c>
      <c r="O1015">
        <v>80</v>
      </c>
    </row>
    <row r="1016" spans="1:15" x14ac:dyDescent="0.25">
      <c r="A1016" t="s">
        <v>1738</v>
      </c>
      <c r="B1016" t="s">
        <v>1739</v>
      </c>
      <c r="C1016">
        <v>168262</v>
      </c>
      <c r="D1016">
        <v>168262</v>
      </c>
      <c r="H1016">
        <v>0</v>
      </c>
      <c r="I1016">
        <v>30</v>
      </c>
      <c r="J1016">
        <v>0</v>
      </c>
      <c r="M1016">
        <v>30</v>
      </c>
    </row>
    <row r="1017" spans="1:15" x14ac:dyDescent="0.25">
      <c r="A1017" t="s">
        <v>1740</v>
      </c>
      <c r="B1017" t="s">
        <v>1741</v>
      </c>
      <c r="C1017">
        <v>167747</v>
      </c>
      <c r="D1017">
        <v>167747</v>
      </c>
      <c r="H1017">
        <v>20</v>
      </c>
      <c r="I1017">
        <v>40</v>
      </c>
      <c r="J1017">
        <v>10</v>
      </c>
      <c r="K1017">
        <v>0</v>
      </c>
      <c r="L1017">
        <v>10</v>
      </c>
      <c r="M1017">
        <v>80</v>
      </c>
    </row>
    <row r="1018" spans="1:15" x14ac:dyDescent="0.25">
      <c r="A1018" t="s">
        <v>1742</v>
      </c>
      <c r="B1018" t="s">
        <v>1743</v>
      </c>
      <c r="C1018">
        <v>167087</v>
      </c>
      <c r="D1018">
        <v>167087</v>
      </c>
    </row>
    <row r="1019" spans="1:15" x14ac:dyDescent="0.25">
      <c r="A1019" t="s">
        <v>1744</v>
      </c>
      <c r="B1019" t="s">
        <v>1745</v>
      </c>
      <c r="C1019">
        <v>167290</v>
      </c>
      <c r="D1019">
        <v>167290</v>
      </c>
      <c r="H1019">
        <v>20</v>
      </c>
      <c r="I1019">
        <v>50</v>
      </c>
      <c r="J1019">
        <v>0</v>
      </c>
      <c r="K1019">
        <v>10</v>
      </c>
      <c r="L1019">
        <v>10</v>
      </c>
      <c r="M1019">
        <v>90</v>
      </c>
    </row>
    <row r="1020" spans="1:15" x14ac:dyDescent="0.25">
      <c r="A1020" t="s">
        <v>1746</v>
      </c>
      <c r="B1020" t="s">
        <v>232</v>
      </c>
      <c r="C1020">
        <v>166170</v>
      </c>
      <c r="D1020">
        <v>166170</v>
      </c>
      <c r="E1020">
        <v>50</v>
      </c>
      <c r="F1020">
        <v>40</v>
      </c>
      <c r="G1020">
        <v>20</v>
      </c>
      <c r="O1020">
        <v>110</v>
      </c>
    </row>
    <row r="1021" spans="1:15" x14ac:dyDescent="0.25">
      <c r="A1021" t="s">
        <v>1747</v>
      </c>
      <c r="B1021" t="s">
        <v>1748</v>
      </c>
      <c r="C1021">
        <v>165699</v>
      </c>
      <c r="D1021">
        <v>165699</v>
      </c>
      <c r="E1021">
        <v>50</v>
      </c>
      <c r="F1021">
        <v>20</v>
      </c>
      <c r="G1021">
        <v>60</v>
      </c>
      <c r="O1021">
        <v>130</v>
      </c>
    </row>
    <row r="1022" spans="1:15" x14ac:dyDescent="0.25">
      <c r="A1022" t="s">
        <v>1749</v>
      </c>
      <c r="B1022" t="s">
        <v>958</v>
      </c>
      <c r="C1022">
        <v>168087</v>
      </c>
      <c r="D1022">
        <v>168087</v>
      </c>
      <c r="H1022">
        <v>0</v>
      </c>
      <c r="I1022">
        <v>30</v>
      </c>
      <c r="J1022">
        <v>10</v>
      </c>
      <c r="K1022">
        <v>10</v>
      </c>
      <c r="L1022">
        <v>0</v>
      </c>
      <c r="M1022">
        <v>50</v>
      </c>
    </row>
    <row r="1023" spans="1:15" x14ac:dyDescent="0.25">
      <c r="A1023" t="s">
        <v>1750</v>
      </c>
      <c r="B1023" t="s">
        <v>1751</v>
      </c>
      <c r="C1023">
        <v>167069</v>
      </c>
      <c r="D1023">
        <v>167069</v>
      </c>
      <c r="H1023">
        <v>20</v>
      </c>
      <c r="I1023">
        <v>40</v>
      </c>
      <c r="J1023">
        <v>20</v>
      </c>
      <c r="K1023">
        <v>10</v>
      </c>
      <c r="L1023">
        <v>0</v>
      </c>
      <c r="M1023">
        <v>90</v>
      </c>
    </row>
    <row r="1024" spans="1:15" x14ac:dyDescent="0.25">
      <c r="A1024" t="s">
        <v>1752</v>
      </c>
      <c r="B1024" t="s">
        <v>396</v>
      </c>
      <c r="C1024">
        <v>166375</v>
      </c>
      <c r="D1024">
        <v>166375</v>
      </c>
      <c r="H1024">
        <v>0</v>
      </c>
      <c r="I1024">
        <v>30</v>
      </c>
      <c r="J1024">
        <v>10</v>
      </c>
      <c r="K1024">
        <v>0</v>
      </c>
      <c r="L1024">
        <v>0</v>
      </c>
      <c r="M1024">
        <v>40</v>
      </c>
    </row>
    <row r="1025" spans="1:18" x14ac:dyDescent="0.25">
      <c r="A1025" t="s">
        <v>1753</v>
      </c>
      <c r="B1025" t="s">
        <v>1754</v>
      </c>
      <c r="C1025">
        <v>159828</v>
      </c>
      <c r="D1025">
        <v>159828</v>
      </c>
      <c r="H1025">
        <v>10</v>
      </c>
      <c r="I1025">
        <v>40</v>
      </c>
      <c r="J1025">
        <v>10</v>
      </c>
      <c r="K1025">
        <v>10</v>
      </c>
      <c r="L1025">
        <v>0</v>
      </c>
      <c r="M1025">
        <v>70</v>
      </c>
    </row>
    <row r="1026" spans="1:18" x14ac:dyDescent="0.25">
      <c r="A1026" t="s">
        <v>1755</v>
      </c>
      <c r="B1026" t="s">
        <v>1059</v>
      </c>
      <c r="C1026">
        <v>165869</v>
      </c>
      <c r="D1026">
        <v>165869</v>
      </c>
      <c r="H1026">
        <v>20</v>
      </c>
      <c r="I1026">
        <v>40</v>
      </c>
      <c r="J1026">
        <v>20</v>
      </c>
      <c r="K1026">
        <v>10</v>
      </c>
      <c r="L1026">
        <v>10</v>
      </c>
      <c r="M1026">
        <v>100</v>
      </c>
    </row>
    <row r="1027" spans="1:18" x14ac:dyDescent="0.25">
      <c r="A1027" t="s">
        <v>1756</v>
      </c>
      <c r="B1027" t="s">
        <v>53</v>
      </c>
      <c r="C1027">
        <v>168377</v>
      </c>
      <c r="D1027">
        <v>168377</v>
      </c>
      <c r="H1027">
        <v>0</v>
      </c>
      <c r="I1027">
        <v>20</v>
      </c>
      <c r="J1027">
        <v>10</v>
      </c>
      <c r="K1027">
        <v>0</v>
      </c>
      <c r="L1027">
        <v>0</v>
      </c>
      <c r="M1027">
        <v>30</v>
      </c>
    </row>
    <row r="1028" spans="1:18" x14ac:dyDescent="0.25">
      <c r="A1028" t="s">
        <v>1757</v>
      </c>
      <c r="B1028" t="s">
        <v>306</v>
      </c>
      <c r="C1028">
        <v>168798</v>
      </c>
      <c r="D1028">
        <v>168798</v>
      </c>
      <c r="E1028">
        <v>10</v>
      </c>
      <c r="O1028">
        <v>10</v>
      </c>
    </row>
    <row r="1029" spans="1:18" x14ac:dyDescent="0.25">
      <c r="A1029" t="s">
        <v>1758</v>
      </c>
      <c r="B1029" t="s">
        <v>1759</v>
      </c>
      <c r="C1029">
        <v>165656</v>
      </c>
      <c r="D1029">
        <v>165656</v>
      </c>
      <c r="H1029">
        <v>10</v>
      </c>
      <c r="I1029">
        <v>60</v>
      </c>
      <c r="J1029">
        <v>10</v>
      </c>
      <c r="K1029">
        <v>10</v>
      </c>
      <c r="L1029">
        <v>10</v>
      </c>
      <c r="M1029">
        <v>100</v>
      </c>
    </row>
    <row r="1030" spans="1:18" x14ac:dyDescent="0.25">
      <c r="A1030" t="s">
        <v>1760</v>
      </c>
      <c r="B1030" t="s">
        <v>340</v>
      </c>
      <c r="C1030">
        <v>168563</v>
      </c>
      <c r="D1030">
        <v>168563</v>
      </c>
      <c r="H1030">
        <v>20</v>
      </c>
      <c r="I1030">
        <v>30</v>
      </c>
      <c r="J1030">
        <v>10</v>
      </c>
      <c r="K1030">
        <v>0</v>
      </c>
      <c r="L1030">
        <v>10</v>
      </c>
      <c r="M1030">
        <v>70</v>
      </c>
    </row>
    <row r="1031" spans="1:18" x14ac:dyDescent="0.25">
      <c r="A1031" t="s">
        <v>1761</v>
      </c>
      <c r="B1031" t="s">
        <v>99</v>
      </c>
      <c r="C1031">
        <v>165295</v>
      </c>
      <c r="D1031">
        <v>165295</v>
      </c>
      <c r="E1031">
        <v>20</v>
      </c>
      <c r="F1031">
        <v>20</v>
      </c>
      <c r="G1031">
        <v>30</v>
      </c>
      <c r="O1031">
        <v>70</v>
      </c>
    </row>
    <row r="1032" spans="1:18" x14ac:dyDescent="0.25">
      <c r="A1032" t="s">
        <v>1762</v>
      </c>
      <c r="B1032" t="s">
        <v>486</v>
      </c>
      <c r="C1032">
        <v>167020</v>
      </c>
      <c r="D1032">
        <v>167020</v>
      </c>
      <c r="E1032">
        <v>50</v>
      </c>
      <c r="F1032">
        <v>20</v>
      </c>
      <c r="G1032">
        <v>40</v>
      </c>
      <c r="O1032">
        <v>110</v>
      </c>
      <c r="R1032" t="s">
        <v>20</v>
      </c>
    </row>
    <row r="1033" spans="1:18" x14ac:dyDescent="0.25">
      <c r="A1033" t="s">
        <v>1763</v>
      </c>
      <c r="B1033" t="s">
        <v>367</v>
      </c>
      <c r="C1033">
        <v>167452</v>
      </c>
      <c r="D1033">
        <v>167452</v>
      </c>
      <c r="H1033">
        <v>0</v>
      </c>
      <c r="I1033">
        <v>40</v>
      </c>
      <c r="J1033">
        <v>20</v>
      </c>
      <c r="K1033">
        <v>10</v>
      </c>
      <c r="L1033">
        <v>10</v>
      </c>
      <c r="M1033">
        <v>80</v>
      </c>
    </row>
    <row r="1034" spans="1:18" x14ac:dyDescent="0.25">
      <c r="A1034" t="s">
        <v>1764</v>
      </c>
      <c r="B1034" t="s">
        <v>1765</v>
      </c>
      <c r="C1034">
        <v>166089</v>
      </c>
      <c r="D1034">
        <v>166089</v>
      </c>
      <c r="E1034">
        <v>40</v>
      </c>
      <c r="F1034">
        <v>40</v>
      </c>
      <c r="G1034">
        <v>30</v>
      </c>
      <c r="O1034">
        <v>110</v>
      </c>
    </row>
    <row r="1035" spans="1:18" x14ac:dyDescent="0.25">
      <c r="A1035" t="s">
        <v>1766</v>
      </c>
      <c r="B1035" t="s">
        <v>1199</v>
      </c>
      <c r="C1035">
        <v>167340</v>
      </c>
      <c r="D1035">
        <v>167340</v>
      </c>
      <c r="E1035">
        <v>10</v>
      </c>
      <c r="F1035">
        <v>20</v>
      </c>
      <c r="G1035">
        <v>40</v>
      </c>
      <c r="O1035">
        <v>70</v>
      </c>
    </row>
    <row r="1036" spans="1:18" x14ac:dyDescent="0.25">
      <c r="A1036" t="s">
        <v>1767</v>
      </c>
      <c r="B1036" t="s">
        <v>1768</v>
      </c>
      <c r="C1036">
        <v>165675</v>
      </c>
      <c r="D1036">
        <v>165675</v>
      </c>
      <c r="E1036">
        <v>40</v>
      </c>
      <c r="F1036">
        <v>20</v>
      </c>
      <c r="G1036">
        <v>20</v>
      </c>
      <c r="O1036">
        <v>80</v>
      </c>
    </row>
    <row r="1037" spans="1:18" x14ac:dyDescent="0.25">
      <c r="A1037" t="s">
        <v>1769</v>
      </c>
      <c r="B1037" t="s">
        <v>1770</v>
      </c>
      <c r="C1037">
        <v>168911</v>
      </c>
      <c r="D1037">
        <v>168911</v>
      </c>
      <c r="H1037">
        <v>10</v>
      </c>
      <c r="I1037">
        <v>50</v>
      </c>
      <c r="J1037">
        <v>20</v>
      </c>
      <c r="K1037">
        <v>10</v>
      </c>
      <c r="L1037">
        <v>10</v>
      </c>
      <c r="M1037">
        <v>100</v>
      </c>
    </row>
    <row r="1038" spans="1:18" x14ac:dyDescent="0.25">
      <c r="A1038" t="s">
        <v>1771</v>
      </c>
      <c r="B1038" t="s">
        <v>1772</v>
      </c>
      <c r="C1038">
        <v>164443</v>
      </c>
      <c r="D1038">
        <v>164443</v>
      </c>
      <c r="E1038">
        <v>40</v>
      </c>
      <c r="F1038">
        <v>30</v>
      </c>
      <c r="G1038">
        <v>40</v>
      </c>
      <c r="O1038">
        <v>110</v>
      </c>
    </row>
    <row r="1039" spans="1:18" x14ac:dyDescent="0.25">
      <c r="A1039" t="s">
        <v>1773</v>
      </c>
      <c r="B1039" t="s">
        <v>1078</v>
      </c>
      <c r="C1039">
        <v>166359</v>
      </c>
      <c r="D1039">
        <v>166359</v>
      </c>
    </row>
    <row r="1040" spans="1:18" x14ac:dyDescent="0.25">
      <c r="A1040" t="s">
        <v>1774</v>
      </c>
      <c r="B1040" t="s">
        <v>1775</v>
      </c>
      <c r="C1040">
        <v>165375</v>
      </c>
      <c r="D1040">
        <v>165375</v>
      </c>
      <c r="E1040">
        <v>20</v>
      </c>
      <c r="F1040">
        <v>10</v>
      </c>
      <c r="G1040">
        <v>30</v>
      </c>
      <c r="O1040">
        <v>60</v>
      </c>
    </row>
    <row r="1041" spans="1:15" x14ac:dyDescent="0.25">
      <c r="A1041" t="s">
        <v>1776</v>
      </c>
      <c r="B1041" t="s">
        <v>1777</v>
      </c>
      <c r="C1041">
        <v>168029</v>
      </c>
      <c r="D1041">
        <v>168029</v>
      </c>
    </row>
    <row r="1042" spans="1:15" x14ac:dyDescent="0.25">
      <c r="A1042" t="s">
        <v>1778</v>
      </c>
      <c r="B1042" t="s">
        <v>126</v>
      </c>
      <c r="C1042">
        <v>168316</v>
      </c>
      <c r="D1042">
        <v>168316</v>
      </c>
      <c r="E1042">
        <v>20</v>
      </c>
      <c r="F1042">
        <v>20</v>
      </c>
      <c r="G1042">
        <v>40</v>
      </c>
      <c r="O1042">
        <v>80</v>
      </c>
    </row>
    <row r="1043" spans="1:15" x14ac:dyDescent="0.25">
      <c r="A1043" t="s">
        <v>1779</v>
      </c>
      <c r="B1043" t="s">
        <v>209</v>
      </c>
      <c r="C1043">
        <v>165686</v>
      </c>
      <c r="D1043">
        <v>165686</v>
      </c>
      <c r="E1043">
        <v>50</v>
      </c>
      <c r="F1043">
        <v>40</v>
      </c>
      <c r="G1043">
        <v>40</v>
      </c>
      <c r="O1043">
        <v>130</v>
      </c>
    </row>
    <row r="1044" spans="1:15" x14ac:dyDescent="0.25">
      <c r="A1044" t="s">
        <v>1780</v>
      </c>
      <c r="B1044" t="s">
        <v>1781</v>
      </c>
      <c r="C1044">
        <v>168220</v>
      </c>
      <c r="D1044">
        <v>168220</v>
      </c>
      <c r="E1044">
        <v>40</v>
      </c>
      <c r="F1044">
        <v>30</v>
      </c>
      <c r="G1044">
        <v>20</v>
      </c>
      <c r="O1044">
        <v>90</v>
      </c>
    </row>
    <row r="1045" spans="1:15" x14ac:dyDescent="0.25">
      <c r="A1045" t="s">
        <v>1782</v>
      </c>
      <c r="B1045" t="s">
        <v>1783</v>
      </c>
      <c r="C1045">
        <v>168115</v>
      </c>
      <c r="D1045">
        <v>168115</v>
      </c>
      <c r="H1045">
        <v>10</v>
      </c>
      <c r="I1045">
        <v>40</v>
      </c>
      <c r="J1045">
        <v>20</v>
      </c>
      <c r="K1045">
        <v>0</v>
      </c>
      <c r="L1045">
        <v>0</v>
      </c>
      <c r="M1045">
        <v>70</v>
      </c>
    </row>
    <row r="1046" spans="1:15" x14ac:dyDescent="0.25">
      <c r="A1046" t="s">
        <v>1784</v>
      </c>
      <c r="B1046" t="s">
        <v>558</v>
      </c>
      <c r="C1046">
        <v>167668</v>
      </c>
      <c r="D1046">
        <v>167668</v>
      </c>
      <c r="E1046">
        <v>30</v>
      </c>
      <c r="F1046">
        <v>30</v>
      </c>
      <c r="G1046">
        <v>40</v>
      </c>
      <c r="O1046">
        <v>100</v>
      </c>
    </row>
    <row r="1047" spans="1:15" x14ac:dyDescent="0.25">
      <c r="A1047" t="s">
        <v>1785</v>
      </c>
      <c r="B1047" t="s">
        <v>1786</v>
      </c>
      <c r="C1047">
        <v>166269</v>
      </c>
      <c r="D1047">
        <v>166269</v>
      </c>
      <c r="H1047">
        <v>0</v>
      </c>
      <c r="I1047">
        <v>50</v>
      </c>
      <c r="J1047">
        <v>20</v>
      </c>
      <c r="M1047">
        <v>70</v>
      </c>
    </row>
    <row r="1048" spans="1:15" x14ac:dyDescent="0.25">
      <c r="A1048" t="s">
        <v>1787</v>
      </c>
      <c r="B1048" t="s">
        <v>1788</v>
      </c>
      <c r="C1048">
        <v>166747</v>
      </c>
      <c r="D1048">
        <v>166747</v>
      </c>
      <c r="E1048">
        <v>30</v>
      </c>
      <c r="F1048">
        <v>20</v>
      </c>
      <c r="G1048">
        <v>10</v>
      </c>
      <c r="O1048">
        <v>60</v>
      </c>
    </row>
    <row r="1049" spans="1:15" x14ac:dyDescent="0.25">
      <c r="A1049" t="s">
        <v>1789</v>
      </c>
      <c r="B1049" t="s">
        <v>1790</v>
      </c>
      <c r="C1049">
        <v>168417</v>
      </c>
      <c r="D1049">
        <v>168417</v>
      </c>
      <c r="H1049">
        <v>10</v>
      </c>
      <c r="I1049">
        <v>30</v>
      </c>
      <c r="J1049">
        <v>20</v>
      </c>
      <c r="K1049">
        <v>0</v>
      </c>
      <c r="L1049">
        <v>0</v>
      </c>
      <c r="M1049">
        <v>60</v>
      </c>
    </row>
    <row r="1050" spans="1:15" x14ac:dyDescent="0.25">
      <c r="A1050" t="s">
        <v>1791</v>
      </c>
      <c r="B1050" t="s">
        <v>1792</v>
      </c>
      <c r="C1050">
        <v>168508</v>
      </c>
      <c r="D1050">
        <v>168508</v>
      </c>
      <c r="H1050">
        <v>10</v>
      </c>
      <c r="I1050">
        <v>60</v>
      </c>
      <c r="J1050">
        <v>20</v>
      </c>
      <c r="K1050">
        <v>10</v>
      </c>
      <c r="L1050">
        <v>0</v>
      </c>
      <c r="M1050">
        <v>100</v>
      </c>
    </row>
    <row r="1051" spans="1:15" x14ac:dyDescent="0.25">
      <c r="A1051" t="s">
        <v>1793</v>
      </c>
      <c r="B1051" t="s">
        <v>1794</v>
      </c>
      <c r="C1051">
        <v>166452</v>
      </c>
      <c r="D1051">
        <v>166452</v>
      </c>
      <c r="H1051">
        <v>20</v>
      </c>
      <c r="I1051">
        <v>30</v>
      </c>
      <c r="J1051">
        <v>20</v>
      </c>
      <c r="K1051">
        <v>10</v>
      </c>
      <c r="L1051">
        <v>10</v>
      </c>
      <c r="M1051">
        <v>90</v>
      </c>
    </row>
    <row r="1052" spans="1:15" x14ac:dyDescent="0.25">
      <c r="A1052" t="s">
        <v>1795</v>
      </c>
      <c r="B1052" t="s">
        <v>1796</v>
      </c>
      <c r="C1052">
        <v>166774</v>
      </c>
      <c r="D1052">
        <v>166774</v>
      </c>
    </row>
    <row r="1053" spans="1:15" x14ac:dyDescent="0.25">
      <c r="A1053" t="s">
        <v>1797</v>
      </c>
      <c r="B1053" t="s">
        <v>1798</v>
      </c>
      <c r="C1053">
        <v>165789</v>
      </c>
      <c r="D1053">
        <v>165789</v>
      </c>
      <c r="E1053">
        <v>30</v>
      </c>
      <c r="F1053">
        <v>10</v>
      </c>
      <c r="G1053">
        <v>30</v>
      </c>
      <c r="O1053">
        <v>70</v>
      </c>
    </row>
    <row r="1054" spans="1:15" x14ac:dyDescent="0.25">
      <c r="A1054" t="s">
        <v>1799</v>
      </c>
      <c r="B1054" t="s">
        <v>1800</v>
      </c>
      <c r="C1054">
        <v>166484</v>
      </c>
      <c r="D1054">
        <v>166484</v>
      </c>
    </row>
    <row r="1055" spans="1:15" x14ac:dyDescent="0.25">
      <c r="A1055" t="s">
        <v>1801</v>
      </c>
      <c r="B1055" t="s">
        <v>725</v>
      </c>
      <c r="C1055">
        <v>165116</v>
      </c>
      <c r="D1055">
        <v>165116</v>
      </c>
    </row>
    <row r="1056" spans="1:15" x14ac:dyDescent="0.25">
      <c r="A1056" t="s">
        <v>1802</v>
      </c>
      <c r="B1056" t="s">
        <v>126</v>
      </c>
      <c r="C1056">
        <v>165574</v>
      </c>
      <c r="D1056">
        <v>165574</v>
      </c>
    </row>
    <row r="1057" spans="1:15" x14ac:dyDescent="0.25">
      <c r="A1057" t="s">
        <v>1803</v>
      </c>
      <c r="B1057" t="s">
        <v>1557</v>
      </c>
      <c r="C1057">
        <v>168372</v>
      </c>
      <c r="D1057">
        <v>168372</v>
      </c>
      <c r="E1057">
        <v>20</v>
      </c>
      <c r="F1057">
        <v>10</v>
      </c>
      <c r="G1057">
        <v>20</v>
      </c>
      <c r="O1057">
        <v>50</v>
      </c>
    </row>
    <row r="1058" spans="1:15" x14ac:dyDescent="0.25">
      <c r="A1058" t="s">
        <v>1804</v>
      </c>
      <c r="B1058" t="s">
        <v>1805</v>
      </c>
      <c r="C1058">
        <v>168489</v>
      </c>
      <c r="D1058">
        <v>168489</v>
      </c>
    </row>
    <row r="1059" spans="1:15" x14ac:dyDescent="0.25">
      <c r="A1059" t="s">
        <v>1806</v>
      </c>
      <c r="B1059" t="s">
        <v>1807</v>
      </c>
      <c r="C1059">
        <v>166542</v>
      </c>
      <c r="D1059">
        <v>166542</v>
      </c>
      <c r="E1059">
        <v>40</v>
      </c>
      <c r="F1059">
        <v>10</v>
      </c>
      <c r="G1059">
        <v>10</v>
      </c>
      <c r="O1059">
        <v>60</v>
      </c>
    </row>
    <row r="1060" spans="1:15" x14ac:dyDescent="0.25">
      <c r="A1060" t="s">
        <v>1808</v>
      </c>
      <c r="B1060" t="s">
        <v>270</v>
      </c>
      <c r="C1060">
        <v>166068</v>
      </c>
      <c r="D1060">
        <v>166068</v>
      </c>
    </row>
    <row r="1061" spans="1:15" x14ac:dyDescent="0.25">
      <c r="A1061" t="s">
        <v>1809</v>
      </c>
      <c r="B1061" t="s">
        <v>1639</v>
      </c>
      <c r="C1061">
        <v>168565</v>
      </c>
      <c r="D1061">
        <v>168565</v>
      </c>
      <c r="E1061">
        <v>20</v>
      </c>
      <c r="F1061">
        <v>30</v>
      </c>
      <c r="G1061">
        <v>50</v>
      </c>
      <c r="O1061">
        <v>100</v>
      </c>
    </row>
    <row r="1062" spans="1:15" x14ac:dyDescent="0.25">
      <c r="A1062" t="s">
        <v>1810</v>
      </c>
      <c r="B1062" t="s">
        <v>168</v>
      </c>
      <c r="C1062">
        <v>168481</v>
      </c>
      <c r="D1062">
        <v>168481</v>
      </c>
      <c r="E1062">
        <v>10</v>
      </c>
      <c r="F1062">
        <v>20</v>
      </c>
      <c r="G1062">
        <v>30</v>
      </c>
      <c r="O1062">
        <v>60</v>
      </c>
    </row>
    <row r="1063" spans="1:15" x14ac:dyDescent="0.25">
      <c r="A1063" t="s">
        <v>1811</v>
      </c>
      <c r="B1063" t="s">
        <v>1812</v>
      </c>
      <c r="C1063">
        <v>166445</v>
      </c>
      <c r="D1063">
        <v>166445</v>
      </c>
      <c r="H1063">
        <v>20</v>
      </c>
      <c r="I1063">
        <v>30</v>
      </c>
      <c r="J1063">
        <v>20</v>
      </c>
      <c r="K1063">
        <v>0</v>
      </c>
      <c r="L1063">
        <v>0</v>
      </c>
      <c r="M1063">
        <v>70</v>
      </c>
    </row>
    <row r="1064" spans="1:15" x14ac:dyDescent="0.25">
      <c r="A1064" t="s">
        <v>1813</v>
      </c>
      <c r="B1064" t="s">
        <v>1814</v>
      </c>
      <c r="C1064">
        <v>166052</v>
      </c>
      <c r="D1064">
        <v>166052</v>
      </c>
      <c r="H1064">
        <v>10</v>
      </c>
      <c r="I1064">
        <v>30</v>
      </c>
      <c r="J1064">
        <v>10</v>
      </c>
      <c r="K1064">
        <v>0</v>
      </c>
      <c r="L1064">
        <v>0</v>
      </c>
      <c r="M1064">
        <v>50</v>
      </c>
    </row>
    <row r="1065" spans="1:15" x14ac:dyDescent="0.25">
      <c r="A1065" t="s">
        <v>1815</v>
      </c>
      <c r="B1065" t="s">
        <v>1177</v>
      </c>
      <c r="C1065">
        <v>166715</v>
      </c>
      <c r="D1065">
        <v>166715</v>
      </c>
      <c r="H1065">
        <v>0</v>
      </c>
      <c r="I1065">
        <v>30</v>
      </c>
      <c r="J1065">
        <v>0</v>
      </c>
      <c r="K1065">
        <v>0</v>
      </c>
      <c r="L1065">
        <v>0</v>
      </c>
      <c r="M1065">
        <v>30</v>
      </c>
    </row>
    <row r="1066" spans="1:15" x14ac:dyDescent="0.25">
      <c r="A1066" t="s">
        <v>1816</v>
      </c>
      <c r="B1066" t="s">
        <v>924</v>
      </c>
      <c r="C1066">
        <v>168043</v>
      </c>
      <c r="D1066">
        <v>168043</v>
      </c>
      <c r="H1066">
        <v>20</v>
      </c>
      <c r="I1066">
        <v>30</v>
      </c>
      <c r="J1066">
        <v>10</v>
      </c>
      <c r="K1066">
        <v>0</v>
      </c>
      <c r="L1066">
        <v>10</v>
      </c>
      <c r="M1066">
        <v>70</v>
      </c>
    </row>
    <row r="1067" spans="1:15" x14ac:dyDescent="0.25">
      <c r="A1067" t="s">
        <v>1817</v>
      </c>
      <c r="B1067" t="s">
        <v>1818</v>
      </c>
      <c r="C1067">
        <v>166771</v>
      </c>
      <c r="D1067">
        <v>166771</v>
      </c>
      <c r="H1067">
        <v>0</v>
      </c>
      <c r="I1067">
        <v>20</v>
      </c>
      <c r="J1067">
        <v>10</v>
      </c>
      <c r="K1067">
        <v>10</v>
      </c>
      <c r="L1067">
        <v>10</v>
      </c>
      <c r="M1067">
        <v>50</v>
      </c>
    </row>
    <row r="1068" spans="1:15" x14ac:dyDescent="0.25">
      <c r="A1068" t="s">
        <v>1819</v>
      </c>
      <c r="B1068" t="s">
        <v>1820</v>
      </c>
      <c r="C1068">
        <v>166071</v>
      </c>
      <c r="D1068">
        <v>166071</v>
      </c>
      <c r="H1068">
        <v>10</v>
      </c>
      <c r="I1068">
        <v>50</v>
      </c>
      <c r="J1068">
        <v>10</v>
      </c>
      <c r="K1068">
        <v>10</v>
      </c>
      <c r="L1068">
        <v>10</v>
      </c>
      <c r="M1068">
        <v>90</v>
      </c>
    </row>
    <row r="1069" spans="1:15" x14ac:dyDescent="0.25">
      <c r="A1069" t="s">
        <v>1821</v>
      </c>
      <c r="B1069" t="s">
        <v>1822</v>
      </c>
      <c r="C1069">
        <v>165490</v>
      </c>
      <c r="D1069">
        <v>165490</v>
      </c>
      <c r="E1069">
        <v>20</v>
      </c>
      <c r="F1069">
        <v>0</v>
      </c>
      <c r="G1069">
        <v>30</v>
      </c>
      <c r="O1069">
        <v>50</v>
      </c>
    </row>
    <row r="1070" spans="1:15" x14ac:dyDescent="0.25">
      <c r="A1070" t="s">
        <v>1823</v>
      </c>
      <c r="B1070" t="s">
        <v>1824</v>
      </c>
      <c r="C1070">
        <v>168003</v>
      </c>
      <c r="D1070">
        <v>168003</v>
      </c>
      <c r="H1070">
        <v>0</v>
      </c>
      <c r="I1070">
        <v>40</v>
      </c>
      <c r="J1070">
        <v>10</v>
      </c>
      <c r="K1070">
        <v>10</v>
      </c>
      <c r="L1070">
        <v>0</v>
      </c>
      <c r="M1070">
        <v>60</v>
      </c>
    </row>
    <row r="1071" spans="1:15" x14ac:dyDescent="0.25">
      <c r="A1071" t="s">
        <v>1825</v>
      </c>
      <c r="B1071" t="s">
        <v>59</v>
      </c>
      <c r="C1071">
        <v>166090</v>
      </c>
      <c r="D1071">
        <v>166090</v>
      </c>
      <c r="E1071">
        <v>20</v>
      </c>
      <c r="F1071">
        <v>10</v>
      </c>
      <c r="G1071">
        <v>30</v>
      </c>
      <c r="O1071">
        <v>60</v>
      </c>
    </row>
    <row r="1072" spans="1:15" x14ac:dyDescent="0.25">
      <c r="A1072" t="s">
        <v>1826</v>
      </c>
      <c r="B1072" t="s">
        <v>1827</v>
      </c>
      <c r="C1072">
        <v>167641</v>
      </c>
      <c r="D1072">
        <v>167641</v>
      </c>
      <c r="H1072">
        <v>10</v>
      </c>
      <c r="I1072">
        <v>40</v>
      </c>
      <c r="J1072">
        <v>10</v>
      </c>
      <c r="K1072">
        <v>10</v>
      </c>
      <c r="L1072">
        <v>10</v>
      </c>
      <c r="M1072">
        <v>80</v>
      </c>
    </row>
    <row r="1073" spans="1:15" x14ac:dyDescent="0.25">
      <c r="A1073" t="s">
        <v>1828</v>
      </c>
      <c r="B1073" t="s">
        <v>1829</v>
      </c>
      <c r="C1073">
        <v>168519</v>
      </c>
      <c r="D1073">
        <v>168519</v>
      </c>
      <c r="E1073">
        <v>30</v>
      </c>
      <c r="O1073">
        <v>30</v>
      </c>
    </row>
    <row r="1074" spans="1:15" x14ac:dyDescent="0.25">
      <c r="A1074" t="s">
        <v>1830</v>
      </c>
      <c r="B1074" t="s">
        <v>396</v>
      </c>
      <c r="C1074">
        <v>166302</v>
      </c>
      <c r="D1074">
        <v>166302</v>
      </c>
      <c r="H1074">
        <v>0</v>
      </c>
      <c r="I1074">
        <v>20</v>
      </c>
      <c r="J1074">
        <v>10</v>
      </c>
      <c r="K1074">
        <v>10</v>
      </c>
      <c r="L1074">
        <v>0</v>
      </c>
      <c r="M1074">
        <v>40</v>
      </c>
    </row>
    <row r="1075" spans="1:15" x14ac:dyDescent="0.25">
      <c r="A1075" t="s">
        <v>1831</v>
      </c>
      <c r="B1075" t="s">
        <v>1832</v>
      </c>
      <c r="C1075">
        <v>168135</v>
      </c>
      <c r="D1075">
        <v>168135</v>
      </c>
      <c r="H1075">
        <v>20</v>
      </c>
      <c r="I1075">
        <v>30</v>
      </c>
      <c r="J1075">
        <v>10</v>
      </c>
      <c r="K1075">
        <v>0</v>
      </c>
      <c r="L1075">
        <v>0</v>
      </c>
      <c r="M1075">
        <v>60</v>
      </c>
    </row>
    <row r="1076" spans="1:15" x14ac:dyDescent="0.25">
      <c r="A1076" t="s">
        <v>1831</v>
      </c>
      <c r="B1076" t="s">
        <v>1833</v>
      </c>
      <c r="C1076">
        <v>162405</v>
      </c>
      <c r="D1076">
        <v>162405</v>
      </c>
      <c r="E1076">
        <v>20</v>
      </c>
      <c r="F1076">
        <v>20</v>
      </c>
      <c r="G1076">
        <v>30</v>
      </c>
      <c r="O1076">
        <v>70</v>
      </c>
    </row>
    <row r="1077" spans="1:15" x14ac:dyDescent="0.25">
      <c r="A1077" t="s">
        <v>1834</v>
      </c>
      <c r="B1077" t="s">
        <v>1835</v>
      </c>
      <c r="C1077">
        <v>165726</v>
      </c>
      <c r="D1077">
        <v>165726</v>
      </c>
      <c r="H1077">
        <v>0</v>
      </c>
      <c r="I1077">
        <v>40</v>
      </c>
      <c r="J1077">
        <v>10</v>
      </c>
      <c r="K1077">
        <v>0</v>
      </c>
      <c r="L1077">
        <v>10</v>
      </c>
      <c r="M1077">
        <v>60</v>
      </c>
    </row>
    <row r="1078" spans="1:15" x14ac:dyDescent="0.25">
      <c r="A1078" t="s">
        <v>1836</v>
      </c>
      <c r="B1078" t="s">
        <v>1837</v>
      </c>
      <c r="C1078">
        <v>168504</v>
      </c>
      <c r="D1078">
        <v>168504</v>
      </c>
      <c r="H1078">
        <v>0</v>
      </c>
      <c r="I1078">
        <v>30</v>
      </c>
      <c r="J1078">
        <v>10</v>
      </c>
      <c r="K1078">
        <v>0</v>
      </c>
      <c r="L1078">
        <v>10</v>
      </c>
      <c r="M1078">
        <v>50</v>
      </c>
    </row>
    <row r="1079" spans="1:15" x14ac:dyDescent="0.25">
      <c r="A1079" t="s">
        <v>1838</v>
      </c>
      <c r="B1079" t="s">
        <v>1839</v>
      </c>
      <c r="C1079">
        <v>168654</v>
      </c>
      <c r="D1079">
        <v>168654</v>
      </c>
      <c r="E1079">
        <v>0</v>
      </c>
      <c r="F1079">
        <v>30</v>
      </c>
      <c r="G1079">
        <v>10</v>
      </c>
      <c r="O1079">
        <v>40</v>
      </c>
    </row>
    <row r="1080" spans="1:15" x14ac:dyDescent="0.25">
      <c r="A1080" t="s">
        <v>1840</v>
      </c>
      <c r="B1080" t="s">
        <v>1841</v>
      </c>
      <c r="C1080">
        <v>167159</v>
      </c>
      <c r="D1080">
        <v>167159</v>
      </c>
      <c r="H1080">
        <v>10</v>
      </c>
      <c r="I1080">
        <v>50</v>
      </c>
      <c r="J1080">
        <v>20</v>
      </c>
      <c r="K1080">
        <v>10</v>
      </c>
      <c r="L1080">
        <v>10</v>
      </c>
      <c r="M1080">
        <v>100</v>
      </c>
    </row>
    <row r="1081" spans="1:15" x14ac:dyDescent="0.25">
      <c r="A1081" t="s">
        <v>1842</v>
      </c>
      <c r="B1081" t="s">
        <v>302</v>
      </c>
      <c r="C1081">
        <v>166208</v>
      </c>
      <c r="D1081">
        <v>166208</v>
      </c>
      <c r="H1081">
        <v>10</v>
      </c>
      <c r="I1081">
        <v>50</v>
      </c>
      <c r="J1081">
        <v>10</v>
      </c>
      <c r="K1081">
        <v>10</v>
      </c>
      <c r="L1081">
        <v>10</v>
      </c>
      <c r="M1081">
        <v>90</v>
      </c>
    </row>
    <row r="1082" spans="1:15" x14ac:dyDescent="0.25">
      <c r="A1082" t="s">
        <v>1843</v>
      </c>
      <c r="B1082" t="s">
        <v>1844</v>
      </c>
      <c r="C1082">
        <v>164997</v>
      </c>
      <c r="D1082">
        <v>164997</v>
      </c>
    </row>
    <row r="1083" spans="1:15" x14ac:dyDescent="0.25">
      <c r="A1083" t="s">
        <v>1845</v>
      </c>
      <c r="B1083" t="s">
        <v>49</v>
      </c>
      <c r="C1083">
        <v>167150</v>
      </c>
      <c r="D1083">
        <v>167150</v>
      </c>
      <c r="E1083">
        <v>50</v>
      </c>
      <c r="F1083">
        <v>30</v>
      </c>
      <c r="G1083">
        <v>40</v>
      </c>
      <c r="O1083">
        <v>120</v>
      </c>
    </row>
    <row r="1084" spans="1:15" x14ac:dyDescent="0.25">
      <c r="A1084" t="s">
        <v>1846</v>
      </c>
      <c r="B1084" t="s">
        <v>197</v>
      </c>
      <c r="C1084">
        <v>165286</v>
      </c>
      <c r="D1084">
        <v>165286</v>
      </c>
    </row>
    <row r="1085" spans="1:15" x14ac:dyDescent="0.25">
      <c r="A1085" t="s">
        <v>1847</v>
      </c>
      <c r="B1085" t="s">
        <v>49</v>
      </c>
      <c r="C1085">
        <v>167538</v>
      </c>
      <c r="D1085">
        <v>167538</v>
      </c>
      <c r="E1085">
        <v>10</v>
      </c>
      <c r="F1085">
        <v>0</v>
      </c>
      <c r="G1085">
        <v>30</v>
      </c>
      <c r="O1085">
        <v>40</v>
      </c>
    </row>
    <row r="1086" spans="1:15" x14ac:dyDescent="0.25">
      <c r="A1086" t="s">
        <v>1848</v>
      </c>
      <c r="B1086" t="s">
        <v>1849</v>
      </c>
      <c r="C1086">
        <v>166952</v>
      </c>
      <c r="D1086">
        <v>166952</v>
      </c>
    </row>
    <row r="1087" spans="1:15" x14ac:dyDescent="0.25">
      <c r="A1087" t="s">
        <v>1850</v>
      </c>
      <c r="B1087" t="s">
        <v>1851</v>
      </c>
      <c r="C1087">
        <v>166389</v>
      </c>
      <c r="D1087">
        <v>166389</v>
      </c>
      <c r="H1087">
        <v>10</v>
      </c>
      <c r="I1087">
        <v>50</v>
      </c>
      <c r="J1087">
        <v>10</v>
      </c>
      <c r="K1087">
        <v>10</v>
      </c>
      <c r="L1087">
        <v>10</v>
      </c>
      <c r="M1087">
        <v>90</v>
      </c>
    </row>
    <row r="1088" spans="1:15" x14ac:dyDescent="0.25">
      <c r="A1088" t="s">
        <v>1852</v>
      </c>
      <c r="B1088" t="s">
        <v>1853</v>
      </c>
      <c r="C1088">
        <v>168122</v>
      </c>
      <c r="D1088">
        <v>168122</v>
      </c>
    </row>
    <row r="1089" spans="1:18" x14ac:dyDescent="0.25">
      <c r="A1089" t="s">
        <v>1854</v>
      </c>
      <c r="B1089" t="s">
        <v>674</v>
      </c>
      <c r="C1089">
        <v>165954</v>
      </c>
      <c r="D1089">
        <v>165954</v>
      </c>
      <c r="E1089">
        <v>40</v>
      </c>
      <c r="F1089">
        <v>10</v>
      </c>
      <c r="G1089">
        <v>30</v>
      </c>
      <c r="O1089">
        <v>80</v>
      </c>
    </row>
    <row r="1090" spans="1:18" x14ac:dyDescent="0.25">
      <c r="A1090" t="s">
        <v>1855</v>
      </c>
      <c r="B1090" t="s">
        <v>1087</v>
      </c>
      <c r="C1090">
        <v>168727</v>
      </c>
      <c r="D1090">
        <v>168727</v>
      </c>
      <c r="H1090">
        <v>0</v>
      </c>
      <c r="I1090">
        <v>30</v>
      </c>
      <c r="J1090">
        <v>20</v>
      </c>
      <c r="K1090">
        <v>0</v>
      </c>
      <c r="L1090">
        <v>0</v>
      </c>
      <c r="M1090">
        <v>50</v>
      </c>
    </row>
    <row r="1091" spans="1:18" x14ac:dyDescent="0.25">
      <c r="A1091" t="s">
        <v>1856</v>
      </c>
      <c r="B1091" t="s">
        <v>577</v>
      </c>
      <c r="C1091">
        <v>166737</v>
      </c>
      <c r="D1091">
        <v>166737</v>
      </c>
      <c r="H1091">
        <v>10</v>
      </c>
      <c r="I1091">
        <v>30</v>
      </c>
      <c r="J1091">
        <v>20</v>
      </c>
      <c r="K1091">
        <v>0</v>
      </c>
      <c r="L1091">
        <v>0</v>
      </c>
      <c r="M1091">
        <v>60</v>
      </c>
    </row>
    <row r="1092" spans="1:18" x14ac:dyDescent="0.25">
      <c r="A1092" t="s">
        <v>1857</v>
      </c>
      <c r="B1092" t="s">
        <v>1858</v>
      </c>
      <c r="C1092">
        <v>166454</v>
      </c>
      <c r="D1092">
        <v>166454</v>
      </c>
      <c r="E1092">
        <v>30</v>
      </c>
      <c r="F1092">
        <v>30</v>
      </c>
      <c r="G1092">
        <v>20</v>
      </c>
      <c r="O1092">
        <v>80</v>
      </c>
    </row>
    <row r="1093" spans="1:18" x14ac:dyDescent="0.25">
      <c r="A1093" t="s">
        <v>1859</v>
      </c>
      <c r="B1093" t="s">
        <v>1860</v>
      </c>
      <c r="C1093">
        <v>167741</v>
      </c>
      <c r="D1093">
        <v>167741</v>
      </c>
      <c r="H1093">
        <v>10</v>
      </c>
      <c r="I1093">
        <v>40</v>
      </c>
      <c r="J1093">
        <v>10</v>
      </c>
      <c r="K1093">
        <v>10</v>
      </c>
      <c r="L1093">
        <v>10</v>
      </c>
      <c r="M1093">
        <v>80</v>
      </c>
    </row>
    <row r="1094" spans="1:18" x14ac:dyDescent="0.25">
      <c r="A1094" t="s">
        <v>1861</v>
      </c>
      <c r="B1094" t="s">
        <v>1862</v>
      </c>
      <c r="C1094">
        <v>166188</v>
      </c>
      <c r="D1094">
        <v>166188</v>
      </c>
      <c r="H1094">
        <v>10</v>
      </c>
      <c r="I1094">
        <v>0</v>
      </c>
      <c r="J1094">
        <v>20</v>
      </c>
      <c r="K1094">
        <v>10</v>
      </c>
      <c r="L1094">
        <v>0</v>
      </c>
      <c r="M1094">
        <v>40</v>
      </c>
    </row>
    <row r="1095" spans="1:18" x14ac:dyDescent="0.25">
      <c r="A1095" t="s">
        <v>1863</v>
      </c>
      <c r="B1095" t="s">
        <v>1308</v>
      </c>
      <c r="C1095">
        <v>166871</v>
      </c>
      <c r="D1095">
        <v>166871</v>
      </c>
      <c r="H1095">
        <v>20</v>
      </c>
      <c r="I1095">
        <v>40</v>
      </c>
      <c r="J1095">
        <v>10</v>
      </c>
      <c r="K1095">
        <v>0</v>
      </c>
      <c r="L1095">
        <v>10</v>
      </c>
      <c r="M1095">
        <v>80</v>
      </c>
    </row>
    <row r="1096" spans="1:18" x14ac:dyDescent="0.25">
      <c r="A1096" t="s">
        <v>1864</v>
      </c>
      <c r="B1096" t="s">
        <v>53</v>
      </c>
      <c r="C1096">
        <v>168469</v>
      </c>
      <c r="D1096">
        <v>168469</v>
      </c>
      <c r="E1096">
        <v>30</v>
      </c>
      <c r="F1096">
        <v>20</v>
      </c>
      <c r="G1096">
        <v>10</v>
      </c>
      <c r="O1096">
        <v>60</v>
      </c>
    </row>
    <row r="1097" spans="1:18" x14ac:dyDescent="0.25">
      <c r="A1097" t="s">
        <v>1865</v>
      </c>
      <c r="B1097" t="s">
        <v>1866</v>
      </c>
      <c r="C1097">
        <v>168483</v>
      </c>
      <c r="D1097">
        <v>168483</v>
      </c>
      <c r="E1097">
        <v>10</v>
      </c>
      <c r="F1097">
        <v>20</v>
      </c>
      <c r="G1097">
        <v>10</v>
      </c>
      <c r="O1097">
        <v>40</v>
      </c>
    </row>
    <row r="1098" spans="1:18" x14ac:dyDescent="0.25">
      <c r="A1098" t="s">
        <v>1867</v>
      </c>
      <c r="B1098" t="s">
        <v>1868</v>
      </c>
      <c r="C1098">
        <v>162750</v>
      </c>
      <c r="D1098">
        <v>162750</v>
      </c>
      <c r="H1098">
        <v>0</v>
      </c>
      <c r="I1098">
        <v>10</v>
      </c>
      <c r="J1098">
        <v>10</v>
      </c>
      <c r="K1098">
        <v>0</v>
      </c>
      <c r="L1098">
        <v>0</v>
      </c>
      <c r="M1098">
        <v>20</v>
      </c>
    </row>
    <row r="1099" spans="1:18" x14ac:dyDescent="0.25">
      <c r="A1099" t="s">
        <v>1869</v>
      </c>
      <c r="B1099" t="s">
        <v>797</v>
      </c>
      <c r="C1099">
        <v>156857</v>
      </c>
      <c r="D1099">
        <v>156857</v>
      </c>
    </row>
    <row r="1100" spans="1:18" x14ac:dyDescent="0.25">
      <c r="A1100" t="s">
        <v>1870</v>
      </c>
      <c r="B1100" t="s">
        <v>457</v>
      </c>
      <c r="C1100">
        <v>168782</v>
      </c>
      <c r="D1100">
        <v>168782</v>
      </c>
      <c r="H1100">
        <v>0</v>
      </c>
      <c r="I1100">
        <v>30</v>
      </c>
      <c r="J1100">
        <v>10</v>
      </c>
      <c r="K1100">
        <v>0</v>
      </c>
      <c r="L1100">
        <v>10</v>
      </c>
      <c r="M1100">
        <v>50</v>
      </c>
    </row>
    <row r="1101" spans="1:18" x14ac:dyDescent="0.25">
      <c r="A1101" t="s">
        <v>1871</v>
      </c>
      <c r="B1101" t="s">
        <v>1872</v>
      </c>
      <c r="C1101">
        <v>167564</v>
      </c>
      <c r="D1101">
        <v>167564</v>
      </c>
      <c r="H1101">
        <v>10</v>
      </c>
      <c r="I1101">
        <v>40</v>
      </c>
      <c r="J1101">
        <v>10</v>
      </c>
      <c r="K1101">
        <v>10</v>
      </c>
      <c r="L1101">
        <v>10</v>
      </c>
      <c r="M1101">
        <v>80</v>
      </c>
      <c r="R1101">
        <v>0</v>
      </c>
    </row>
    <row r="1102" spans="1:18" x14ac:dyDescent="0.25">
      <c r="A1102" t="s">
        <v>1873</v>
      </c>
      <c r="B1102" t="s">
        <v>1874</v>
      </c>
      <c r="C1102">
        <v>167400</v>
      </c>
      <c r="D1102">
        <v>167400</v>
      </c>
    </row>
    <row r="1103" spans="1:18" x14ac:dyDescent="0.25">
      <c r="A1103" t="s">
        <v>1875</v>
      </c>
      <c r="B1103" t="s">
        <v>577</v>
      </c>
      <c r="C1103">
        <v>166122</v>
      </c>
      <c r="D1103">
        <v>166122</v>
      </c>
      <c r="E1103">
        <v>0</v>
      </c>
      <c r="F1103">
        <v>40</v>
      </c>
      <c r="G1103">
        <v>50</v>
      </c>
      <c r="O1103">
        <v>90</v>
      </c>
    </row>
    <row r="1104" spans="1:18" x14ac:dyDescent="0.25">
      <c r="A1104" t="s">
        <v>1876</v>
      </c>
      <c r="B1104" t="s">
        <v>1877</v>
      </c>
      <c r="C1104">
        <v>168141</v>
      </c>
      <c r="D1104">
        <v>168141</v>
      </c>
      <c r="H1104">
        <v>20</v>
      </c>
      <c r="I1104">
        <v>60</v>
      </c>
      <c r="J1104">
        <v>20</v>
      </c>
      <c r="K1104">
        <v>10</v>
      </c>
      <c r="L1104">
        <v>10</v>
      </c>
      <c r="M1104">
        <v>120</v>
      </c>
    </row>
    <row r="1105" spans="1:18" x14ac:dyDescent="0.25">
      <c r="A1105" t="s">
        <v>1878</v>
      </c>
      <c r="B1105" t="s">
        <v>489</v>
      </c>
      <c r="C1105">
        <v>162538</v>
      </c>
      <c r="D1105">
        <v>162538</v>
      </c>
    </row>
    <row r="1106" spans="1:18" x14ac:dyDescent="0.25">
      <c r="A1106" t="s">
        <v>1879</v>
      </c>
      <c r="B1106" t="s">
        <v>83</v>
      </c>
      <c r="C1106">
        <v>166977</v>
      </c>
      <c r="D1106">
        <v>166977</v>
      </c>
      <c r="H1106">
        <v>10</v>
      </c>
      <c r="I1106">
        <v>40</v>
      </c>
      <c r="J1106">
        <v>10</v>
      </c>
      <c r="K1106">
        <v>10</v>
      </c>
      <c r="L1106">
        <v>0</v>
      </c>
      <c r="M1106">
        <v>70</v>
      </c>
    </row>
    <row r="1107" spans="1:18" x14ac:dyDescent="0.25">
      <c r="A1107" t="s">
        <v>1880</v>
      </c>
      <c r="B1107" t="s">
        <v>53</v>
      </c>
      <c r="C1107">
        <v>167077</v>
      </c>
      <c r="D1107">
        <v>167077</v>
      </c>
      <c r="E1107">
        <v>20</v>
      </c>
      <c r="F1107">
        <v>10</v>
      </c>
      <c r="G1107">
        <v>40</v>
      </c>
      <c r="O1107">
        <v>70</v>
      </c>
    </row>
    <row r="1108" spans="1:18" x14ac:dyDescent="0.25">
      <c r="A1108" t="s">
        <v>1881</v>
      </c>
      <c r="B1108" t="s">
        <v>1882</v>
      </c>
      <c r="C1108">
        <v>167071</v>
      </c>
      <c r="D1108">
        <v>167071</v>
      </c>
      <c r="H1108">
        <v>10</v>
      </c>
      <c r="I1108">
        <v>50</v>
      </c>
      <c r="J1108">
        <v>20</v>
      </c>
      <c r="K1108">
        <v>0</v>
      </c>
      <c r="L1108">
        <v>10</v>
      </c>
      <c r="M1108">
        <v>90</v>
      </c>
    </row>
    <row r="1109" spans="1:18" x14ac:dyDescent="0.25">
      <c r="A1109" t="s">
        <v>1883</v>
      </c>
      <c r="B1109" t="s">
        <v>1884</v>
      </c>
      <c r="C1109">
        <v>155064</v>
      </c>
      <c r="D1109">
        <v>155064</v>
      </c>
      <c r="H1109">
        <v>0</v>
      </c>
      <c r="I1109">
        <v>10</v>
      </c>
      <c r="J1109">
        <v>10</v>
      </c>
      <c r="K1109">
        <v>0</v>
      </c>
      <c r="L1109">
        <v>10</v>
      </c>
      <c r="M1109">
        <v>30</v>
      </c>
    </row>
    <row r="1110" spans="1:18" x14ac:dyDescent="0.25">
      <c r="A1110" t="s">
        <v>1885</v>
      </c>
      <c r="B1110" t="s">
        <v>1886</v>
      </c>
      <c r="C1110">
        <v>168031</v>
      </c>
      <c r="D1110">
        <v>168031</v>
      </c>
    </row>
    <row r="1111" spans="1:18" x14ac:dyDescent="0.25">
      <c r="A1111" t="s">
        <v>1887</v>
      </c>
      <c r="B1111" t="s">
        <v>1888</v>
      </c>
      <c r="C1111">
        <v>164527</v>
      </c>
      <c r="D1111">
        <v>164527</v>
      </c>
      <c r="E1111">
        <v>50</v>
      </c>
      <c r="F1111">
        <v>40</v>
      </c>
      <c r="G1111">
        <v>50</v>
      </c>
      <c r="O1111">
        <v>140</v>
      </c>
    </row>
    <row r="1112" spans="1:18" x14ac:dyDescent="0.25">
      <c r="A1112" t="s">
        <v>1889</v>
      </c>
      <c r="B1112" t="s">
        <v>1890</v>
      </c>
      <c r="C1112">
        <v>159167</v>
      </c>
      <c r="D1112">
        <v>159167</v>
      </c>
      <c r="R1112" t="s">
        <v>20</v>
      </c>
    </row>
    <row r="1113" spans="1:18" x14ac:dyDescent="0.25">
      <c r="A1113" t="s">
        <v>1891</v>
      </c>
      <c r="B1113" t="s">
        <v>1221</v>
      </c>
      <c r="C1113">
        <v>168856</v>
      </c>
      <c r="D1113">
        <v>168856</v>
      </c>
      <c r="E1113">
        <v>10</v>
      </c>
      <c r="F1113">
        <v>10</v>
      </c>
      <c r="G1113">
        <v>0</v>
      </c>
      <c r="O1113">
        <v>20</v>
      </c>
    </row>
    <row r="1114" spans="1:18" x14ac:dyDescent="0.25">
      <c r="A1114" t="s">
        <v>1892</v>
      </c>
      <c r="B1114" t="s">
        <v>596</v>
      </c>
      <c r="C1114">
        <v>168599</v>
      </c>
      <c r="D1114">
        <v>168599</v>
      </c>
      <c r="E1114">
        <v>40</v>
      </c>
      <c r="F1114">
        <v>0</v>
      </c>
      <c r="G1114">
        <v>30</v>
      </c>
      <c r="O1114">
        <v>70</v>
      </c>
    </row>
    <row r="1115" spans="1:18" x14ac:dyDescent="0.25">
      <c r="A1115" t="s">
        <v>1893</v>
      </c>
      <c r="B1115" t="s">
        <v>1894</v>
      </c>
      <c r="C1115">
        <v>167554</v>
      </c>
      <c r="D1115">
        <v>167554</v>
      </c>
      <c r="E1115">
        <v>10</v>
      </c>
      <c r="F1115">
        <v>10</v>
      </c>
      <c r="G1115">
        <v>20</v>
      </c>
      <c r="O1115">
        <v>40</v>
      </c>
      <c r="R1115">
        <v>0</v>
      </c>
    </row>
    <row r="1116" spans="1:18" x14ac:dyDescent="0.25">
      <c r="A1116" t="s">
        <v>1895</v>
      </c>
      <c r="B1116" t="s">
        <v>1896</v>
      </c>
      <c r="C1116">
        <v>167618</v>
      </c>
      <c r="D1116">
        <v>167618</v>
      </c>
      <c r="E1116">
        <v>10</v>
      </c>
      <c r="F1116">
        <v>20</v>
      </c>
      <c r="G1116">
        <v>30</v>
      </c>
      <c r="O1116">
        <v>60</v>
      </c>
    </row>
    <row r="1117" spans="1:18" x14ac:dyDescent="0.25">
      <c r="A1117" t="s">
        <v>1895</v>
      </c>
      <c r="B1117" t="s">
        <v>130</v>
      </c>
      <c r="C1117">
        <v>163352</v>
      </c>
      <c r="D1117">
        <v>163352</v>
      </c>
      <c r="E1117">
        <v>30</v>
      </c>
      <c r="F1117">
        <v>20</v>
      </c>
      <c r="G1117">
        <v>30</v>
      </c>
      <c r="O1117">
        <v>80</v>
      </c>
    </row>
    <row r="1118" spans="1:18" x14ac:dyDescent="0.25">
      <c r="A1118" t="s">
        <v>1897</v>
      </c>
      <c r="B1118" t="s">
        <v>197</v>
      </c>
      <c r="C1118">
        <v>167539</v>
      </c>
      <c r="D1118">
        <v>167539</v>
      </c>
      <c r="E1118">
        <v>30</v>
      </c>
      <c r="F1118">
        <v>10</v>
      </c>
      <c r="G1118">
        <v>30</v>
      </c>
      <c r="O1118">
        <v>70</v>
      </c>
    </row>
    <row r="1119" spans="1:18" x14ac:dyDescent="0.25">
      <c r="A1119" t="s">
        <v>1898</v>
      </c>
      <c r="B1119" t="s">
        <v>1543</v>
      </c>
      <c r="C1119">
        <v>165683</v>
      </c>
      <c r="D1119">
        <v>165683</v>
      </c>
      <c r="E1119">
        <v>20</v>
      </c>
      <c r="F1119">
        <v>20</v>
      </c>
      <c r="G1119">
        <v>30</v>
      </c>
      <c r="O1119">
        <v>70</v>
      </c>
    </row>
    <row r="1120" spans="1:18" x14ac:dyDescent="0.25">
      <c r="A1120" t="s">
        <v>1899</v>
      </c>
      <c r="B1120" t="s">
        <v>1900</v>
      </c>
      <c r="C1120">
        <v>168907</v>
      </c>
      <c r="D1120">
        <v>168907</v>
      </c>
      <c r="E1120">
        <v>10</v>
      </c>
      <c r="F1120">
        <v>0</v>
      </c>
      <c r="G1120">
        <v>10</v>
      </c>
      <c r="O1120">
        <v>20</v>
      </c>
    </row>
    <row r="1121" spans="1:15" x14ac:dyDescent="0.25">
      <c r="A1121" t="s">
        <v>1901</v>
      </c>
      <c r="B1121" t="s">
        <v>1902</v>
      </c>
      <c r="C1121">
        <v>168326</v>
      </c>
      <c r="D1121">
        <v>168326</v>
      </c>
      <c r="E1121">
        <v>20</v>
      </c>
      <c r="F1121">
        <v>30</v>
      </c>
      <c r="G1121">
        <v>30</v>
      </c>
      <c r="O1121">
        <v>80</v>
      </c>
    </row>
    <row r="1122" spans="1:15" x14ac:dyDescent="0.25">
      <c r="A1122" t="s">
        <v>1903</v>
      </c>
      <c r="B1122" t="s">
        <v>1904</v>
      </c>
      <c r="C1122">
        <v>166888</v>
      </c>
      <c r="D1122">
        <v>166888</v>
      </c>
      <c r="H1122">
        <v>0</v>
      </c>
      <c r="I1122">
        <v>40</v>
      </c>
      <c r="J1122">
        <v>20</v>
      </c>
      <c r="K1122">
        <v>10</v>
      </c>
      <c r="L1122">
        <v>0</v>
      </c>
      <c r="M1122">
        <v>70</v>
      </c>
    </row>
    <row r="1123" spans="1:15" x14ac:dyDescent="0.25">
      <c r="A1123" t="s">
        <v>1905</v>
      </c>
      <c r="B1123" t="s">
        <v>1906</v>
      </c>
      <c r="C1123">
        <v>168042</v>
      </c>
      <c r="D1123">
        <v>168042</v>
      </c>
      <c r="E1123">
        <v>10</v>
      </c>
      <c r="F1123">
        <v>10</v>
      </c>
      <c r="G1123">
        <v>20</v>
      </c>
      <c r="O1123">
        <v>40</v>
      </c>
    </row>
    <row r="1124" spans="1:15" x14ac:dyDescent="0.25">
      <c r="A1124" t="s">
        <v>1907</v>
      </c>
      <c r="B1124" t="s">
        <v>1908</v>
      </c>
      <c r="C1124">
        <v>164495</v>
      </c>
      <c r="D1124">
        <v>164495</v>
      </c>
    </row>
    <row r="1125" spans="1:15" x14ac:dyDescent="0.25">
      <c r="A1125" t="s">
        <v>1909</v>
      </c>
      <c r="B1125" t="s">
        <v>49</v>
      </c>
      <c r="C1125">
        <v>166571</v>
      </c>
      <c r="D1125">
        <v>166571</v>
      </c>
      <c r="E1125">
        <v>30</v>
      </c>
      <c r="F1125">
        <v>30</v>
      </c>
      <c r="G1125">
        <v>40</v>
      </c>
      <c r="O1125">
        <v>100</v>
      </c>
    </row>
    <row r="1126" spans="1:15" x14ac:dyDescent="0.25">
      <c r="A1126" t="s">
        <v>1910</v>
      </c>
      <c r="B1126" t="s">
        <v>391</v>
      </c>
      <c r="C1126">
        <v>166574</v>
      </c>
      <c r="D1126">
        <v>166574</v>
      </c>
      <c r="H1126">
        <v>20</v>
      </c>
      <c r="I1126">
        <v>30</v>
      </c>
      <c r="J1126">
        <v>10</v>
      </c>
      <c r="K1126">
        <v>0</v>
      </c>
      <c r="L1126">
        <v>0</v>
      </c>
      <c r="M1126">
        <v>60</v>
      </c>
    </row>
    <row r="1127" spans="1:15" x14ac:dyDescent="0.25">
      <c r="A1127" t="s">
        <v>1911</v>
      </c>
      <c r="B1127" t="s">
        <v>1912</v>
      </c>
      <c r="C1127">
        <v>165859</v>
      </c>
      <c r="D1127">
        <v>165859</v>
      </c>
    </row>
    <row r="1128" spans="1:15" x14ac:dyDescent="0.25">
      <c r="A1128" t="s">
        <v>1913</v>
      </c>
      <c r="B1128" t="s">
        <v>1914</v>
      </c>
      <c r="C1128">
        <v>165640</v>
      </c>
      <c r="D1128">
        <v>165640</v>
      </c>
      <c r="E1128">
        <v>50</v>
      </c>
      <c r="F1128">
        <v>30</v>
      </c>
      <c r="G1128">
        <v>30</v>
      </c>
      <c r="O1128">
        <v>110</v>
      </c>
    </row>
    <row r="1129" spans="1:15" x14ac:dyDescent="0.25">
      <c r="A1129" t="s">
        <v>1915</v>
      </c>
      <c r="B1129" t="s">
        <v>1916</v>
      </c>
      <c r="C1129">
        <v>168186</v>
      </c>
      <c r="D1129">
        <v>168186</v>
      </c>
      <c r="E1129">
        <v>10</v>
      </c>
      <c r="F1129">
        <v>30</v>
      </c>
      <c r="G1129">
        <v>50</v>
      </c>
      <c r="O1129">
        <v>90</v>
      </c>
    </row>
    <row r="1130" spans="1:15" x14ac:dyDescent="0.25">
      <c r="A1130" t="s">
        <v>1917</v>
      </c>
      <c r="B1130" t="s">
        <v>1918</v>
      </c>
      <c r="C1130">
        <v>168062</v>
      </c>
      <c r="D1130">
        <v>168062</v>
      </c>
      <c r="H1130">
        <v>10</v>
      </c>
      <c r="I1130">
        <v>40</v>
      </c>
      <c r="J1130">
        <v>10</v>
      </c>
      <c r="K1130">
        <v>10</v>
      </c>
      <c r="L1130">
        <v>10</v>
      </c>
      <c r="M1130">
        <v>80</v>
      </c>
    </row>
    <row r="1131" spans="1:15" x14ac:dyDescent="0.25">
      <c r="A1131" t="s">
        <v>1919</v>
      </c>
      <c r="B1131" t="s">
        <v>1920</v>
      </c>
      <c r="C1131">
        <v>166935</v>
      </c>
      <c r="D1131">
        <v>166935</v>
      </c>
      <c r="H1131">
        <v>10</v>
      </c>
      <c r="I1131">
        <v>10</v>
      </c>
      <c r="J1131">
        <v>10</v>
      </c>
      <c r="K1131">
        <v>10</v>
      </c>
      <c r="L1131">
        <v>10</v>
      </c>
      <c r="M1131">
        <v>50</v>
      </c>
    </row>
    <row r="1132" spans="1:15" x14ac:dyDescent="0.25">
      <c r="A1132" t="s">
        <v>1921</v>
      </c>
      <c r="B1132" t="s">
        <v>1922</v>
      </c>
      <c r="C1132">
        <v>168363</v>
      </c>
      <c r="D1132">
        <v>168363</v>
      </c>
    </row>
    <row r="1133" spans="1:15" x14ac:dyDescent="0.25">
      <c r="A1133" t="s">
        <v>1923</v>
      </c>
      <c r="B1133" t="s">
        <v>1924</v>
      </c>
      <c r="C1133">
        <v>164486</v>
      </c>
      <c r="D1133">
        <v>164486</v>
      </c>
      <c r="E1133">
        <v>50</v>
      </c>
      <c r="F1133">
        <v>40</v>
      </c>
      <c r="G1133">
        <v>40</v>
      </c>
      <c r="O1133">
        <v>130</v>
      </c>
    </row>
    <row r="1134" spans="1:15" x14ac:dyDescent="0.25">
      <c r="A1134" t="s">
        <v>1925</v>
      </c>
      <c r="B1134" t="s">
        <v>1926</v>
      </c>
      <c r="C1134">
        <v>167646</v>
      </c>
      <c r="D1134">
        <v>167646</v>
      </c>
      <c r="H1134">
        <v>20</v>
      </c>
      <c r="I1134">
        <v>40</v>
      </c>
      <c r="J1134">
        <v>20</v>
      </c>
      <c r="K1134">
        <v>10</v>
      </c>
      <c r="L1134">
        <v>0</v>
      </c>
      <c r="M1134">
        <v>90</v>
      </c>
    </row>
    <row r="1135" spans="1:15" x14ac:dyDescent="0.25">
      <c r="A1135" t="s">
        <v>1927</v>
      </c>
      <c r="B1135" t="s">
        <v>839</v>
      </c>
      <c r="C1135">
        <v>165459</v>
      </c>
      <c r="D1135">
        <v>165459</v>
      </c>
      <c r="H1135">
        <v>0</v>
      </c>
      <c r="I1135">
        <v>20</v>
      </c>
      <c r="J1135">
        <v>10</v>
      </c>
      <c r="K1135">
        <v>0</v>
      </c>
      <c r="L1135">
        <v>0</v>
      </c>
      <c r="M1135">
        <v>30</v>
      </c>
      <c r="N1135" t="s">
        <v>20</v>
      </c>
    </row>
    <row r="1136" spans="1:15" x14ac:dyDescent="0.25">
      <c r="A1136" t="s">
        <v>1928</v>
      </c>
      <c r="B1136" t="s">
        <v>1929</v>
      </c>
      <c r="C1136">
        <v>167583</v>
      </c>
      <c r="D1136">
        <v>167583</v>
      </c>
      <c r="E1136">
        <v>50</v>
      </c>
      <c r="F1136">
        <v>40</v>
      </c>
      <c r="G1136">
        <v>30</v>
      </c>
      <c r="O1136">
        <v>120</v>
      </c>
    </row>
    <row r="1137" spans="1:15" x14ac:dyDescent="0.25">
      <c r="A1137" t="s">
        <v>1930</v>
      </c>
      <c r="B1137" t="s">
        <v>59</v>
      </c>
      <c r="C1137">
        <v>168676</v>
      </c>
      <c r="D1137">
        <v>168676</v>
      </c>
    </row>
    <row r="1138" spans="1:15" x14ac:dyDescent="0.25">
      <c r="A1138" t="s">
        <v>1931</v>
      </c>
      <c r="B1138" t="s">
        <v>1932</v>
      </c>
      <c r="C1138">
        <v>164693</v>
      </c>
      <c r="D1138">
        <v>164693</v>
      </c>
    </row>
    <row r="1139" spans="1:15" x14ac:dyDescent="0.25">
      <c r="A1139" t="s">
        <v>1933</v>
      </c>
      <c r="B1139" t="s">
        <v>1631</v>
      </c>
      <c r="C1139">
        <v>166772</v>
      </c>
      <c r="D1139">
        <v>166772</v>
      </c>
      <c r="E1139">
        <v>50</v>
      </c>
      <c r="F1139">
        <v>20</v>
      </c>
      <c r="G1139">
        <v>20</v>
      </c>
      <c r="O1139">
        <v>90</v>
      </c>
    </row>
    <row r="1140" spans="1:15" x14ac:dyDescent="0.25">
      <c r="A1140" t="s">
        <v>1934</v>
      </c>
      <c r="B1140" t="s">
        <v>1557</v>
      </c>
      <c r="C1140">
        <v>168505</v>
      </c>
      <c r="D1140">
        <v>168505</v>
      </c>
      <c r="H1140">
        <v>10</v>
      </c>
      <c r="I1140">
        <v>30</v>
      </c>
      <c r="J1140">
        <v>10</v>
      </c>
      <c r="K1140">
        <v>10</v>
      </c>
      <c r="L1140">
        <v>0</v>
      </c>
      <c r="M1140">
        <v>60</v>
      </c>
    </row>
    <row r="1141" spans="1:15" x14ac:dyDescent="0.25">
      <c r="A1141" t="s">
        <v>1935</v>
      </c>
      <c r="B1141" t="s">
        <v>958</v>
      </c>
      <c r="C1141">
        <v>164504</v>
      </c>
      <c r="D1141">
        <v>164504</v>
      </c>
      <c r="H1141">
        <v>10</v>
      </c>
      <c r="I1141">
        <v>10</v>
      </c>
      <c r="J1141">
        <v>10</v>
      </c>
      <c r="K1141">
        <v>10</v>
      </c>
      <c r="L1141">
        <v>10</v>
      </c>
      <c r="M1141">
        <v>50</v>
      </c>
    </row>
    <row r="1142" spans="1:15" x14ac:dyDescent="0.25">
      <c r="A1142" t="s">
        <v>1936</v>
      </c>
      <c r="B1142" t="s">
        <v>1937</v>
      </c>
      <c r="C1142">
        <v>165990</v>
      </c>
      <c r="D1142">
        <v>165990</v>
      </c>
      <c r="H1142">
        <v>10</v>
      </c>
      <c r="I1142">
        <v>40</v>
      </c>
      <c r="J1142">
        <v>20</v>
      </c>
      <c r="K1142">
        <v>10</v>
      </c>
      <c r="L1142">
        <v>10</v>
      </c>
      <c r="M1142">
        <v>90</v>
      </c>
    </row>
    <row r="1143" spans="1:15" x14ac:dyDescent="0.25">
      <c r="A1143" t="s">
        <v>1938</v>
      </c>
      <c r="B1143" t="s">
        <v>1939</v>
      </c>
      <c r="C1143">
        <v>168668</v>
      </c>
      <c r="D1143">
        <v>168668</v>
      </c>
      <c r="E1143">
        <v>20</v>
      </c>
      <c r="F1143">
        <v>30</v>
      </c>
      <c r="G1143">
        <v>30</v>
      </c>
      <c r="O1143">
        <v>80</v>
      </c>
    </row>
    <row r="1144" spans="1:15" x14ac:dyDescent="0.25">
      <c r="A1144" t="s">
        <v>1940</v>
      </c>
      <c r="B1144" t="s">
        <v>1941</v>
      </c>
      <c r="C1144">
        <v>167804</v>
      </c>
      <c r="D1144">
        <v>167804</v>
      </c>
      <c r="H1144">
        <v>0</v>
      </c>
      <c r="I1144">
        <v>20</v>
      </c>
      <c r="J1144">
        <v>10</v>
      </c>
      <c r="K1144">
        <v>0</v>
      </c>
      <c r="L1144">
        <v>0</v>
      </c>
      <c r="M1144">
        <v>30</v>
      </c>
    </row>
    <row r="1145" spans="1:15" x14ac:dyDescent="0.25">
      <c r="A1145" t="s">
        <v>1942</v>
      </c>
      <c r="B1145" t="s">
        <v>57</v>
      </c>
      <c r="C1145">
        <v>168593</v>
      </c>
      <c r="D1145">
        <v>168593</v>
      </c>
      <c r="H1145">
        <v>10</v>
      </c>
      <c r="I1145">
        <v>20</v>
      </c>
      <c r="J1145">
        <v>10</v>
      </c>
      <c r="K1145">
        <v>10</v>
      </c>
      <c r="L1145">
        <v>10</v>
      </c>
      <c r="M1145">
        <v>60</v>
      </c>
    </row>
    <row r="1146" spans="1:15" x14ac:dyDescent="0.25">
      <c r="A1146" t="s">
        <v>1943</v>
      </c>
      <c r="B1146" t="s">
        <v>286</v>
      </c>
      <c r="C1146">
        <v>168840</v>
      </c>
      <c r="D1146">
        <v>168840</v>
      </c>
      <c r="E1146">
        <v>30</v>
      </c>
      <c r="F1146">
        <v>0</v>
      </c>
      <c r="G1146">
        <v>10</v>
      </c>
      <c r="O1146">
        <v>40</v>
      </c>
    </row>
    <row r="1147" spans="1:15" x14ac:dyDescent="0.25">
      <c r="A1147" t="s">
        <v>1944</v>
      </c>
      <c r="B1147" t="s">
        <v>510</v>
      </c>
      <c r="C1147">
        <v>167316</v>
      </c>
      <c r="D1147">
        <v>167316</v>
      </c>
    </row>
    <row r="1148" spans="1:15" x14ac:dyDescent="0.25">
      <c r="A1148" t="s">
        <v>1945</v>
      </c>
      <c r="B1148" t="s">
        <v>729</v>
      </c>
      <c r="C1148">
        <v>168333</v>
      </c>
      <c r="D1148">
        <v>168333</v>
      </c>
      <c r="E1148">
        <v>20</v>
      </c>
      <c r="F1148">
        <v>10</v>
      </c>
      <c r="G1148">
        <v>10</v>
      </c>
      <c r="O1148">
        <v>40</v>
      </c>
    </row>
    <row r="1149" spans="1:15" x14ac:dyDescent="0.25">
      <c r="A1149" t="s">
        <v>1946</v>
      </c>
      <c r="B1149" t="s">
        <v>1947</v>
      </c>
      <c r="C1149">
        <v>168144</v>
      </c>
      <c r="D1149">
        <v>168144</v>
      </c>
    </row>
    <row r="1150" spans="1:15" x14ac:dyDescent="0.25">
      <c r="A1150" t="s">
        <v>1948</v>
      </c>
      <c r="B1150" t="s">
        <v>1949</v>
      </c>
      <c r="C1150">
        <v>157720</v>
      </c>
      <c r="D1150">
        <v>157720</v>
      </c>
    </row>
    <row r="1151" spans="1:15" x14ac:dyDescent="0.25">
      <c r="A1151" t="s">
        <v>1950</v>
      </c>
      <c r="B1151" t="s">
        <v>924</v>
      </c>
      <c r="C1151">
        <v>166588</v>
      </c>
      <c r="D1151">
        <v>166588</v>
      </c>
      <c r="H1151">
        <v>0</v>
      </c>
      <c r="I1151">
        <v>0</v>
      </c>
      <c r="J1151">
        <v>0</v>
      </c>
      <c r="K1151">
        <v>10</v>
      </c>
      <c r="L1151">
        <v>0</v>
      </c>
      <c r="M1151">
        <v>10</v>
      </c>
    </row>
    <row r="1152" spans="1:15" x14ac:dyDescent="0.25">
      <c r="A1152" t="s">
        <v>1951</v>
      </c>
      <c r="B1152" t="s">
        <v>1507</v>
      </c>
      <c r="C1152">
        <v>159904</v>
      </c>
      <c r="D1152">
        <v>159904</v>
      </c>
    </row>
    <row r="1153" spans="1:18" x14ac:dyDescent="0.25">
      <c r="A1153" t="s">
        <v>1952</v>
      </c>
      <c r="B1153" t="s">
        <v>1953</v>
      </c>
      <c r="C1153">
        <v>166496</v>
      </c>
      <c r="D1153">
        <v>166496</v>
      </c>
      <c r="H1153">
        <v>10</v>
      </c>
      <c r="I1153">
        <v>20</v>
      </c>
      <c r="J1153">
        <v>20</v>
      </c>
      <c r="K1153">
        <v>0</v>
      </c>
      <c r="L1153">
        <v>0</v>
      </c>
      <c r="M1153">
        <v>50</v>
      </c>
    </row>
    <row r="1154" spans="1:18" x14ac:dyDescent="0.25">
      <c r="A1154" t="s">
        <v>1954</v>
      </c>
      <c r="B1154" t="s">
        <v>176</v>
      </c>
      <c r="C1154">
        <v>165420</v>
      </c>
      <c r="D1154">
        <v>165420</v>
      </c>
    </row>
    <row r="1155" spans="1:18" x14ac:dyDescent="0.25">
      <c r="A1155" t="s">
        <v>1955</v>
      </c>
      <c r="B1155" t="s">
        <v>126</v>
      </c>
      <c r="C1155">
        <v>162241</v>
      </c>
      <c r="D1155">
        <v>162241</v>
      </c>
    </row>
    <row r="1156" spans="1:18" x14ac:dyDescent="0.25">
      <c r="A1156" t="s">
        <v>1956</v>
      </c>
      <c r="B1156" t="s">
        <v>1957</v>
      </c>
      <c r="C1156">
        <v>167296</v>
      </c>
      <c r="D1156">
        <v>167296</v>
      </c>
      <c r="H1156">
        <v>20</v>
      </c>
      <c r="I1156">
        <v>50</v>
      </c>
      <c r="J1156">
        <v>10</v>
      </c>
      <c r="K1156">
        <v>10</v>
      </c>
      <c r="L1156">
        <v>0</v>
      </c>
      <c r="M1156">
        <v>90</v>
      </c>
    </row>
    <row r="1157" spans="1:18" x14ac:dyDescent="0.25">
      <c r="A1157" t="s">
        <v>1958</v>
      </c>
      <c r="B1157" t="s">
        <v>870</v>
      </c>
      <c r="C1157">
        <v>165696</v>
      </c>
      <c r="D1157">
        <v>165696</v>
      </c>
      <c r="H1157">
        <v>10</v>
      </c>
      <c r="I1157">
        <v>30</v>
      </c>
      <c r="J1157">
        <v>20</v>
      </c>
      <c r="K1157">
        <v>0</v>
      </c>
      <c r="L1157">
        <v>10</v>
      </c>
      <c r="M1157">
        <v>70</v>
      </c>
    </row>
    <row r="1158" spans="1:18" x14ac:dyDescent="0.25">
      <c r="A1158" t="s">
        <v>1959</v>
      </c>
      <c r="B1158" t="s">
        <v>1960</v>
      </c>
      <c r="C1158">
        <v>166449</v>
      </c>
      <c r="D1158">
        <v>166449</v>
      </c>
    </row>
    <row r="1159" spans="1:18" x14ac:dyDescent="0.25">
      <c r="A1159" t="s">
        <v>1961</v>
      </c>
      <c r="B1159" t="s">
        <v>270</v>
      </c>
      <c r="C1159">
        <v>166508</v>
      </c>
      <c r="D1159">
        <v>166508</v>
      </c>
      <c r="E1159">
        <v>30</v>
      </c>
      <c r="F1159">
        <v>10</v>
      </c>
      <c r="G1159">
        <v>40</v>
      </c>
      <c r="O1159">
        <v>80</v>
      </c>
    </row>
    <row r="1160" spans="1:18" x14ac:dyDescent="0.25">
      <c r="A1160" t="s">
        <v>1962</v>
      </c>
      <c r="B1160" t="s">
        <v>1963</v>
      </c>
      <c r="C1160">
        <v>160530</v>
      </c>
      <c r="D1160">
        <v>160530</v>
      </c>
      <c r="R1160">
        <v>10</v>
      </c>
    </row>
    <row r="1161" spans="1:18" x14ac:dyDescent="0.25">
      <c r="A1161" t="s">
        <v>1964</v>
      </c>
      <c r="B1161" t="s">
        <v>674</v>
      </c>
      <c r="C1161">
        <v>162403</v>
      </c>
      <c r="D1161">
        <v>162403</v>
      </c>
      <c r="E1161">
        <v>40</v>
      </c>
      <c r="F1161">
        <v>20</v>
      </c>
      <c r="G1161">
        <v>30</v>
      </c>
      <c r="O1161">
        <v>90</v>
      </c>
    </row>
    <row r="1162" spans="1:18" x14ac:dyDescent="0.25">
      <c r="A1162" t="s">
        <v>1965</v>
      </c>
      <c r="B1162" t="s">
        <v>130</v>
      </c>
      <c r="C1162">
        <v>163615</v>
      </c>
      <c r="D1162">
        <v>163615</v>
      </c>
      <c r="H1162">
        <v>10</v>
      </c>
      <c r="I1162">
        <v>30</v>
      </c>
      <c r="J1162">
        <v>10</v>
      </c>
      <c r="K1162">
        <v>10</v>
      </c>
      <c r="L1162">
        <v>10</v>
      </c>
      <c r="M1162">
        <v>70</v>
      </c>
    </row>
    <row r="1163" spans="1:18" x14ac:dyDescent="0.25">
      <c r="A1163" t="s">
        <v>1966</v>
      </c>
      <c r="B1163" t="s">
        <v>697</v>
      </c>
      <c r="C1163">
        <v>167232</v>
      </c>
      <c r="D1163">
        <v>167232</v>
      </c>
      <c r="E1163">
        <v>20</v>
      </c>
      <c r="F1163">
        <v>40</v>
      </c>
      <c r="G1163">
        <v>40</v>
      </c>
      <c r="O1163">
        <v>100</v>
      </c>
    </row>
    <row r="1164" spans="1:18" x14ac:dyDescent="0.25">
      <c r="A1164" t="s">
        <v>1967</v>
      </c>
      <c r="B1164" t="s">
        <v>1968</v>
      </c>
      <c r="C1164">
        <v>168460</v>
      </c>
      <c r="D1164">
        <v>168460</v>
      </c>
      <c r="E1164">
        <v>50</v>
      </c>
      <c r="F1164">
        <v>20</v>
      </c>
      <c r="G1164">
        <v>20</v>
      </c>
      <c r="O1164">
        <v>90</v>
      </c>
    </row>
    <row r="1165" spans="1:18" x14ac:dyDescent="0.25">
      <c r="A1165" t="s">
        <v>1969</v>
      </c>
      <c r="B1165" t="s">
        <v>1970</v>
      </c>
      <c r="C1165">
        <v>166589</v>
      </c>
      <c r="D1165">
        <v>166589</v>
      </c>
      <c r="H1165">
        <v>0</v>
      </c>
      <c r="I1165">
        <v>30</v>
      </c>
      <c r="J1165">
        <v>0</v>
      </c>
      <c r="K1165">
        <v>10</v>
      </c>
      <c r="L1165">
        <v>10</v>
      </c>
      <c r="M1165">
        <v>50</v>
      </c>
      <c r="R1165">
        <v>10</v>
      </c>
    </row>
    <row r="1166" spans="1:18" x14ac:dyDescent="0.25">
      <c r="A1166" t="s">
        <v>1971</v>
      </c>
      <c r="B1166" t="s">
        <v>1972</v>
      </c>
      <c r="C1166">
        <v>167605</v>
      </c>
      <c r="D1166">
        <v>167605</v>
      </c>
      <c r="H1166">
        <v>10</v>
      </c>
      <c r="I1166">
        <v>30</v>
      </c>
      <c r="J1166">
        <v>20</v>
      </c>
      <c r="K1166">
        <v>10</v>
      </c>
      <c r="L1166">
        <v>0</v>
      </c>
      <c r="M1166">
        <v>70</v>
      </c>
    </row>
    <row r="1167" spans="1:18" x14ac:dyDescent="0.25">
      <c r="A1167" t="s">
        <v>1973</v>
      </c>
      <c r="B1167" t="s">
        <v>558</v>
      </c>
      <c r="C1167">
        <v>166868</v>
      </c>
      <c r="D1167">
        <v>166868</v>
      </c>
      <c r="E1167">
        <v>40</v>
      </c>
      <c r="F1167">
        <v>40</v>
      </c>
      <c r="G1167">
        <v>50</v>
      </c>
      <c r="O1167">
        <v>130</v>
      </c>
    </row>
    <row r="1168" spans="1:18" x14ac:dyDescent="0.25">
      <c r="A1168" t="s">
        <v>1974</v>
      </c>
      <c r="B1168" t="s">
        <v>562</v>
      </c>
      <c r="C1168">
        <v>166867</v>
      </c>
      <c r="D1168">
        <v>166867</v>
      </c>
      <c r="E1168">
        <v>20</v>
      </c>
      <c r="F1168">
        <v>30</v>
      </c>
      <c r="G1168">
        <v>40</v>
      </c>
      <c r="O1168">
        <v>90</v>
      </c>
    </row>
    <row r="1169" spans="1:18" x14ac:dyDescent="0.25">
      <c r="A1169" t="s">
        <v>1975</v>
      </c>
      <c r="B1169" t="s">
        <v>1976</v>
      </c>
      <c r="C1169">
        <v>166821</v>
      </c>
      <c r="D1169">
        <v>166821</v>
      </c>
      <c r="E1169">
        <v>50</v>
      </c>
      <c r="F1169">
        <v>20</v>
      </c>
      <c r="G1169">
        <v>50</v>
      </c>
      <c r="N1169" t="s">
        <v>20</v>
      </c>
      <c r="O1169">
        <v>120</v>
      </c>
    </row>
    <row r="1170" spans="1:18" x14ac:dyDescent="0.25">
      <c r="A1170" t="s">
        <v>1977</v>
      </c>
      <c r="B1170" t="s">
        <v>1978</v>
      </c>
      <c r="C1170">
        <v>165993</v>
      </c>
      <c r="D1170">
        <v>165993</v>
      </c>
      <c r="R1170">
        <v>0</v>
      </c>
    </row>
    <row r="1171" spans="1:18" x14ac:dyDescent="0.25">
      <c r="A1171" t="s">
        <v>1977</v>
      </c>
      <c r="B1171" t="s">
        <v>1979</v>
      </c>
      <c r="C1171">
        <v>168462</v>
      </c>
      <c r="D1171">
        <v>168462</v>
      </c>
      <c r="H1171">
        <v>10</v>
      </c>
      <c r="I1171">
        <v>40</v>
      </c>
      <c r="J1171">
        <v>10</v>
      </c>
      <c r="K1171">
        <v>0</v>
      </c>
      <c r="L1171">
        <v>10</v>
      </c>
      <c r="M1171">
        <v>70</v>
      </c>
    </row>
    <row r="1172" spans="1:18" x14ac:dyDescent="0.25">
      <c r="A1172" t="s">
        <v>1980</v>
      </c>
      <c r="B1172" t="s">
        <v>270</v>
      </c>
      <c r="C1172">
        <v>162285</v>
      </c>
      <c r="D1172">
        <v>162285</v>
      </c>
      <c r="E1172">
        <v>50</v>
      </c>
      <c r="F1172">
        <v>0</v>
      </c>
      <c r="G1172">
        <v>40</v>
      </c>
      <c r="O1172">
        <v>90</v>
      </c>
    </row>
    <row r="1173" spans="1:18" x14ac:dyDescent="0.25">
      <c r="A1173" t="s">
        <v>1981</v>
      </c>
      <c r="B1173" t="s">
        <v>1851</v>
      </c>
      <c r="C1173">
        <v>167245</v>
      </c>
      <c r="D1173">
        <v>167245</v>
      </c>
      <c r="E1173">
        <v>40</v>
      </c>
      <c r="F1173">
        <v>30</v>
      </c>
      <c r="G1173">
        <v>30</v>
      </c>
      <c r="O1173">
        <v>100</v>
      </c>
    </row>
    <row r="1174" spans="1:18" x14ac:dyDescent="0.25">
      <c r="A1174" t="s">
        <v>1982</v>
      </c>
      <c r="B1174" t="s">
        <v>677</v>
      </c>
      <c r="C1174">
        <v>168652</v>
      </c>
      <c r="D1174">
        <v>168652</v>
      </c>
      <c r="E1174">
        <v>20</v>
      </c>
      <c r="F1174">
        <v>20</v>
      </c>
      <c r="G1174">
        <v>40</v>
      </c>
      <c r="O1174">
        <v>80</v>
      </c>
    </row>
    <row r="1175" spans="1:18" x14ac:dyDescent="0.25">
      <c r="A1175" t="s">
        <v>1982</v>
      </c>
      <c r="B1175" t="s">
        <v>1983</v>
      </c>
      <c r="C1175">
        <v>167240</v>
      </c>
      <c r="D1175">
        <v>167240</v>
      </c>
      <c r="E1175">
        <v>10</v>
      </c>
      <c r="F1175">
        <v>0</v>
      </c>
      <c r="G1175">
        <v>10</v>
      </c>
      <c r="O1175">
        <v>20</v>
      </c>
    </row>
    <row r="1176" spans="1:18" x14ac:dyDescent="0.25">
      <c r="A1176" t="s">
        <v>1984</v>
      </c>
      <c r="B1176" t="s">
        <v>1985</v>
      </c>
      <c r="C1176">
        <v>167552</v>
      </c>
      <c r="D1176">
        <v>167552</v>
      </c>
    </row>
    <row r="1177" spans="1:18" x14ac:dyDescent="0.25">
      <c r="A1177" t="s">
        <v>1986</v>
      </c>
      <c r="B1177" t="s">
        <v>1987</v>
      </c>
      <c r="C1177">
        <v>168815</v>
      </c>
      <c r="D1177">
        <v>168815</v>
      </c>
    </row>
    <row r="1178" spans="1:18" x14ac:dyDescent="0.25">
      <c r="A1178" t="s">
        <v>1988</v>
      </c>
      <c r="B1178" t="s">
        <v>197</v>
      </c>
      <c r="C1178">
        <v>160082</v>
      </c>
      <c r="D1178">
        <v>160082</v>
      </c>
      <c r="R1178" t="s">
        <v>20</v>
      </c>
    </row>
    <row r="1179" spans="1:18" x14ac:dyDescent="0.25">
      <c r="A1179" t="s">
        <v>1989</v>
      </c>
      <c r="B1179" t="s">
        <v>1990</v>
      </c>
      <c r="C1179">
        <v>166004</v>
      </c>
      <c r="D1179">
        <v>166004</v>
      </c>
      <c r="E1179">
        <v>40</v>
      </c>
      <c r="F1179">
        <v>40</v>
      </c>
      <c r="G1179">
        <v>50</v>
      </c>
      <c r="O1179">
        <v>130</v>
      </c>
    </row>
    <row r="1180" spans="1:18" x14ac:dyDescent="0.25">
      <c r="A1180" t="s">
        <v>1991</v>
      </c>
      <c r="B1180" t="s">
        <v>1992</v>
      </c>
      <c r="C1180">
        <v>168591</v>
      </c>
      <c r="D1180">
        <v>168591</v>
      </c>
      <c r="E1180">
        <v>10</v>
      </c>
      <c r="F1180">
        <v>10</v>
      </c>
      <c r="G1180">
        <v>50</v>
      </c>
      <c r="O1180">
        <v>70</v>
      </c>
    </row>
    <row r="1181" spans="1:18" x14ac:dyDescent="0.25">
      <c r="A1181" t="s">
        <v>1993</v>
      </c>
      <c r="B1181" t="s">
        <v>1994</v>
      </c>
      <c r="C1181">
        <v>168242</v>
      </c>
      <c r="D1181">
        <v>168242</v>
      </c>
      <c r="E1181">
        <v>0</v>
      </c>
      <c r="F1181">
        <v>30</v>
      </c>
      <c r="G1181">
        <v>40</v>
      </c>
      <c r="O1181">
        <v>70</v>
      </c>
    </row>
    <row r="1182" spans="1:18" x14ac:dyDescent="0.25">
      <c r="A1182" t="s">
        <v>1995</v>
      </c>
      <c r="B1182" t="s">
        <v>1996</v>
      </c>
      <c r="C1182">
        <v>166301</v>
      </c>
      <c r="D1182">
        <v>166301</v>
      </c>
      <c r="H1182">
        <v>10</v>
      </c>
      <c r="I1182">
        <v>40</v>
      </c>
      <c r="J1182">
        <v>10</v>
      </c>
      <c r="K1182">
        <v>0</v>
      </c>
      <c r="L1182">
        <v>0</v>
      </c>
      <c r="M1182">
        <v>60</v>
      </c>
    </row>
    <row r="1183" spans="1:18" x14ac:dyDescent="0.25">
      <c r="A1183" t="s">
        <v>1997</v>
      </c>
      <c r="B1183" t="s">
        <v>1998</v>
      </c>
      <c r="C1183">
        <v>163015</v>
      </c>
      <c r="D1183">
        <v>163015</v>
      </c>
      <c r="E1183">
        <v>50</v>
      </c>
      <c r="F1183">
        <v>20</v>
      </c>
      <c r="G1183">
        <v>20</v>
      </c>
      <c r="O1183">
        <v>90</v>
      </c>
    </row>
    <row r="1184" spans="1:18" x14ac:dyDescent="0.25">
      <c r="A1184" t="s">
        <v>1999</v>
      </c>
      <c r="B1184" t="s">
        <v>218</v>
      </c>
      <c r="C1184">
        <v>166346</v>
      </c>
      <c r="D1184">
        <v>166346</v>
      </c>
      <c r="H1184">
        <v>10</v>
      </c>
      <c r="I1184">
        <v>20</v>
      </c>
      <c r="J1184">
        <v>20</v>
      </c>
      <c r="K1184">
        <v>10</v>
      </c>
      <c r="L1184">
        <v>0</v>
      </c>
      <c r="M1184">
        <v>60</v>
      </c>
    </row>
    <row r="1185" spans="1:18" x14ac:dyDescent="0.25">
      <c r="A1185" t="s">
        <v>2000</v>
      </c>
      <c r="B1185" t="s">
        <v>83</v>
      </c>
      <c r="C1185">
        <v>165769</v>
      </c>
      <c r="D1185">
        <v>165769</v>
      </c>
    </row>
    <row r="1186" spans="1:18" x14ac:dyDescent="0.25">
      <c r="A1186" t="s">
        <v>2001</v>
      </c>
      <c r="B1186" t="s">
        <v>958</v>
      </c>
      <c r="C1186">
        <v>168569</v>
      </c>
      <c r="D1186">
        <v>168569</v>
      </c>
      <c r="E1186">
        <v>10</v>
      </c>
      <c r="F1186">
        <v>10</v>
      </c>
      <c r="G1186">
        <v>10</v>
      </c>
      <c r="O1186">
        <v>30</v>
      </c>
    </row>
    <row r="1187" spans="1:18" x14ac:dyDescent="0.25">
      <c r="A1187" t="s">
        <v>2002</v>
      </c>
      <c r="B1187" t="s">
        <v>2003</v>
      </c>
      <c r="C1187">
        <v>165919</v>
      </c>
      <c r="D1187">
        <v>165919</v>
      </c>
      <c r="E1187">
        <v>10</v>
      </c>
      <c r="F1187">
        <v>20</v>
      </c>
      <c r="G1187">
        <v>10</v>
      </c>
      <c r="O1187">
        <v>40</v>
      </c>
    </row>
    <row r="1188" spans="1:18" x14ac:dyDescent="0.25">
      <c r="A1188" t="s">
        <v>2004</v>
      </c>
      <c r="B1188" t="s">
        <v>344</v>
      </c>
      <c r="C1188">
        <v>166572</v>
      </c>
      <c r="D1188">
        <v>166572</v>
      </c>
      <c r="E1188">
        <v>20</v>
      </c>
      <c r="F1188">
        <v>30</v>
      </c>
      <c r="G1188">
        <v>20</v>
      </c>
      <c r="O1188">
        <v>70</v>
      </c>
    </row>
    <row r="1189" spans="1:18" x14ac:dyDescent="0.25">
      <c r="A1189" t="s">
        <v>2005</v>
      </c>
      <c r="B1189" t="s">
        <v>2006</v>
      </c>
      <c r="C1189">
        <v>168872</v>
      </c>
      <c r="D1189">
        <v>168872</v>
      </c>
      <c r="E1189">
        <v>0</v>
      </c>
      <c r="F1189">
        <v>20</v>
      </c>
      <c r="G1189">
        <v>20</v>
      </c>
      <c r="N1189" t="s">
        <v>549</v>
      </c>
      <c r="O1189">
        <v>40</v>
      </c>
      <c r="P1189" t="s">
        <v>20</v>
      </c>
      <c r="R1189" t="s">
        <v>20</v>
      </c>
    </row>
    <row r="1190" spans="1:18" x14ac:dyDescent="0.25">
      <c r="A1190" t="s">
        <v>2007</v>
      </c>
      <c r="B1190" t="s">
        <v>2008</v>
      </c>
      <c r="C1190">
        <v>168835</v>
      </c>
      <c r="D1190">
        <v>168835</v>
      </c>
    </row>
    <row r="1191" spans="1:18" x14ac:dyDescent="0.25">
      <c r="A1191" t="s">
        <v>2009</v>
      </c>
      <c r="B1191" t="s">
        <v>963</v>
      </c>
      <c r="C1191">
        <v>163349</v>
      </c>
      <c r="D1191">
        <v>163349</v>
      </c>
      <c r="E1191">
        <v>20</v>
      </c>
      <c r="F1191">
        <v>20</v>
      </c>
      <c r="G1191">
        <v>40</v>
      </c>
      <c r="O1191">
        <v>80</v>
      </c>
    </row>
    <row r="1192" spans="1:18" x14ac:dyDescent="0.25">
      <c r="A1192" t="s">
        <v>2010</v>
      </c>
      <c r="B1192" t="s">
        <v>2011</v>
      </c>
      <c r="C1192">
        <v>166975</v>
      </c>
      <c r="D1192">
        <v>166975</v>
      </c>
      <c r="E1192">
        <v>30</v>
      </c>
      <c r="F1192">
        <v>30</v>
      </c>
      <c r="G1192">
        <v>40</v>
      </c>
      <c r="O1192">
        <v>100</v>
      </c>
    </row>
    <row r="1193" spans="1:18" x14ac:dyDescent="0.25">
      <c r="A1193" t="s">
        <v>2012</v>
      </c>
      <c r="B1193" t="s">
        <v>99</v>
      </c>
      <c r="C1193">
        <v>165886</v>
      </c>
      <c r="D1193">
        <v>165886</v>
      </c>
      <c r="H1193">
        <v>10</v>
      </c>
      <c r="I1193">
        <v>50</v>
      </c>
      <c r="J1193">
        <v>10</v>
      </c>
      <c r="K1193">
        <v>10</v>
      </c>
      <c r="L1193">
        <v>10</v>
      </c>
      <c r="M1193">
        <v>90</v>
      </c>
    </row>
    <row r="1194" spans="1:18" x14ac:dyDescent="0.25">
      <c r="A1194" t="s">
        <v>2013</v>
      </c>
      <c r="B1194" t="s">
        <v>340</v>
      </c>
      <c r="C1194">
        <v>168451</v>
      </c>
      <c r="D1194">
        <v>168451</v>
      </c>
      <c r="H1194">
        <v>10</v>
      </c>
      <c r="I1194">
        <v>30</v>
      </c>
      <c r="J1194">
        <v>20</v>
      </c>
      <c r="K1194">
        <v>10</v>
      </c>
      <c r="L1194">
        <v>0</v>
      </c>
      <c r="M1194">
        <v>70</v>
      </c>
    </row>
    <row r="1195" spans="1:18" x14ac:dyDescent="0.25">
      <c r="A1195" t="s">
        <v>2014</v>
      </c>
      <c r="B1195" t="s">
        <v>43</v>
      </c>
      <c r="C1195">
        <v>167524</v>
      </c>
      <c r="D1195">
        <v>167524</v>
      </c>
      <c r="H1195">
        <v>20</v>
      </c>
      <c r="I1195">
        <v>20</v>
      </c>
      <c r="J1195">
        <v>10</v>
      </c>
      <c r="K1195">
        <v>10</v>
      </c>
      <c r="L1195">
        <v>10</v>
      </c>
      <c r="M1195">
        <v>70</v>
      </c>
    </row>
    <row r="1196" spans="1:18" x14ac:dyDescent="0.25">
      <c r="A1196" t="s">
        <v>2015</v>
      </c>
      <c r="B1196" t="s">
        <v>218</v>
      </c>
      <c r="C1196">
        <v>165787</v>
      </c>
      <c r="D1196">
        <v>165787</v>
      </c>
      <c r="H1196">
        <v>20</v>
      </c>
      <c r="I1196">
        <v>50</v>
      </c>
      <c r="J1196">
        <v>20</v>
      </c>
      <c r="K1196">
        <v>0</v>
      </c>
      <c r="L1196">
        <v>10</v>
      </c>
      <c r="M1196">
        <v>100</v>
      </c>
    </row>
    <row r="1197" spans="1:18" x14ac:dyDescent="0.25">
      <c r="A1197" t="s">
        <v>2016</v>
      </c>
      <c r="B1197" t="s">
        <v>340</v>
      </c>
      <c r="C1197">
        <v>168604</v>
      </c>
      <c r="D1197">
        <v>168604</v>
      </c>
      <c r="H1197">
        <v>10</v>
      </c>
      <c r="I1197">
        <v>30</v>
      </c>
      <c r="J1197">
        <v>20</v>
      </c>
      <c r="K1197">
        <v>10</v>
      </c>
      <c r="L1197">
        <v>10</v>
      </c>
      <c r="M1197">
        <v>80</v>
      </c>
    </row>
    <row r="1198" spans="1:18" x14ac:dyDescent="0.25">
      <c r="A1198" t="s">
        <v>2017</v>
      </c>
      <c r="B1198" t="s">
        <v>750</v>
      </c>
      <c r="C1198">
        <v>158420</v>
      </c>
      <c r="D1198">
        <v>158420</v>
      </c>
    </row>
    <row r="1199" spans="1:18" x14ac:dyDescent="0.25">
      <c r="A1199" t="s">
        <v>2018</v>
      </c>
      <c r="B1199" t="s">
        <v>1065</v>
      </c>
      <c r="C1199">
        <v>168323</v>
      </c>
      <c r="D1199">
        <v>168323</v>
      </c>
      <c r="E1199">
        <v>10</v>
      </c>
      <c r="F1199">
        <v>30</v>
      </c>
      <c r="G1199">
        <v>30</v>
      </c>
      <c r="O1199">
        <v>70</v>
      </c>
    </row>
    <row r="1200" spans="1:18" x14ac:dyDescent="0.25">
      <c r="A1200" t="s">
        <v>2019</v>
      </c>
      <c r="B1200" t="s">
        <v>2020</v>
      </c>
      <c r="C1200">
        <v>168497</v>
      </c>
      <c r="D1200">
        <v>168497</v>
      </c>
      <c r="E1200">
        <v>30</v>
      </c>
      <c r="F1200">
        <v>30</v>
      </c>
      <c r="G1200">
        <v>30</v>
      </c>
      <c r="O1200">
        <v>90</v>
      </c>
    </row>
    <row r="1201" spans="1:15" x14ac:dyDescent="0.25">
      <c r="A1201" t="s">
        <v>2021</v>
      </c>
      <c r="B1201" t="s">
        <v>562</v>
      </c>
      <c r="C1201">
        <v>168665</v>
      </c>
      <c r="D1201">
        <v>168665</v>
      </c>
      <c r="H1201">
        <v>0</v>
      </c>
      <c r="I1201">
        <v>20</v>
      </c>
      <c r="J1201">
        <v>10</v>
      </c>
      <c r="K1201">
        <v>0</v>
      </c>
      <c r="L1201">
        <v>10</v>
      </c>
      <c r="M1201">
        <v>40</v>
      </c>
    </row>
    <row r="1202" spans="1:15" x14ac:dyDescent="0.25">
      <c r="A1202" t="s">
        <v>2022</v>
      </c>
      <c r="B1202" t="s">
        <v>2023</v>
      </c>
      <c r="C1202">
        <v>165910</v>
      </c>
      <c r="D1202">
        <v>165910</v>
      </c>
      <c r="E1202">
        <v>20</v>
      </c>
      <c r="O1202">
        <v>20</v>
      </c>
    </row>
    <row r="1203" spans="1:15" x14ac:dyDescent="0.25">
      <c r="A1203" t="s">
        <v>2024</v>
      </c>
      <c r="B1203" t="s">
        <v>2025</v>
      </c>
      <c r="C1203">
        <v>165650</v>
      </c>
      <c r="D1203">
        <v>165650</v>
      </c>
      <c r="H1203">
        <v>10</v>
      </c>
      <c r="I1203">
        <v>60</v>
      </c>
      <c r="J1203">
        <v>0</v>
      </c>
      <c r="K1203">
        <v>10</v>
      </c>
      <c r="L1203">
        <v>10</v>
      </c>
      <c r="M1203">
        <v>90</v>
      </c>
    </row>
    <row r="1204" spans="1:15" x14ac:dyDescent="0.25">
      <c r="A1204" t="s">
        <v>2026</v>
      </c>
      <c r="B1204" t="s">
        <v>2027</v>
      </c>
      <c r="C1204">
        <v>168007</v>
      </c>
      <c r="D1204">
        <v>168007</v>
      </c>
      <c r="H1204">
        <v>10</v>
      </c>
      <c r="I1204">
        <v>20</v>
      </c>
      <c r="J1204">
        <v>10</v>
      </c>
      <c r="K1204">
        <v>0</v>
      </c>
      <c r="L1204">
        <v>0</v>
      </c>
      <c r="M1204">
        <v>40</v>
      </c>
    </row>
    <row r="1205" spans="1:15" x14ac:dyDescent="0.25">
      <c r="A1205" t="s">
        <v>2028</v>
      </c>
      <c r="B1205" t="s">
        <v>2029</v>
      </c>
      <c r="C1205">
        <v>167799</v>
      </c>
      <c r="D1205">
        <v>167799</v>
      </c>
      <c r="E1205">
        <v>10</v>
      </c>
      <c r="F1205">
        <v>20</v>
      </c>
      <c r="G1205">
        <v>30</v>
      </c>
      <c r="O1205">
        <v>60</v>
      </c>
    </row>
    <row r="1206" spans="1:15" x14ac:dyDescent="0.25">
      <c r="A1206" t="s">
        <v>2030</v>
      </c>
      <c r="B1206" t="s">
        <v>460</v>
      </c>
      <c r="C1206">
        <v>168640</v>
      </c>
      <c r="D1206">
        <v>168640</v>
      </c>
      <c r="H1206">
        <v>0</v>
      </c>
      <c r="I1206">
        <v>40</v>
      </c>
      <c r="J1206">
        <v>0</v>
      </c>
      <c r="K1206">
        <v>10</v>
      </c>
      <c r="L1206">
        <v>0</v>
      </c>
      <c r="M1206">
        <v>50</v>
      </c>
    </row>
    <row r="1207" spans="1:15" x14ac:dyDescent="0.25">
      <c r="A1207" t="s">
        <v>2031</v>
      </c>
      <c r="B1207" t="s">
        <v>2032</v>
      </c>
      <c r="C1207">
        <v>163468</v>
      </c>
      <c r="D1207">
        <v>163468</v>
      </c>
      <c r="E1207">
        <v>30</v>
      </c>
      <c r="O1207">
        <v>30</v>
      </c>
    </row>
    <row r="1208" spans="1:15" x14ac:dyDescent="0.25">
      <c r="A1208" t="s">
        <v>2033</v>
      </c>
      <c r="B1208" t="s">
        <v>2034</v>
      </c>
      <c r="C1208">
        <v>168820</v>
      </c>
      <c r="D1208">
        <v>168820</v>
      </c>
      <c r="E1208">
        <v>20</v>
      </c>
      <c r="F1208">
        <v>0</v>
      </c>
      <c r="G1208">
        <v>20</v>
      </c>
      <c r="O1208">
        <v>40</v>
      </c>
    </row>
    <row r="1209" spans="1:15" x14ac:dyDescent="0.25">
      <c r="A1209" t="s">
        <v>2035</v>
      </c>
      <c r="B1209" t="s">
        <v>2036</v>
      </c>
      <c r="C1209">
        <v>168268</v>
      </c>
      <c r="D1209">
        <v>168268</v>
      </c>
      <c r="E1209">
        <v>10</v>
      </c>
      <c r="F1209">
        <v>10</v>
      </c>
      <c r="G1209">
        <v>40</v>
      </c>
      <c r="O1209">
        <v>60</v>
      </c>
    </row>
    <row r="1210" spans="1:15" x14ac:dyDescent="0.25">
      <c r="A1210" t="s">
        <v>2037</v>
      </c>
      <c r="B1210" t="s">
        <v>2038</v>
      </c>
      <c r="C1210">
        <v>168053</v>
      </c>
      <c r="D1210">
        <v>168053</v>
      </c>
      <c r="E1210">
        <v>40</v>
      </c>
      <c r="F1210">
        <v>20</v>
      </c>
      <c r="G1210">
        <v>30</v>
      </c>
      <c r="O1210">
        <v>90</v>
      </c>
    </row>
    <row r="1211" spans="1:15" x14ac:dyDescent="0.25">
      <c r="A1211" t="s">
        <v>2039</v>
      </c>
      <c r="B1211" t="s">
        <v>130</v>
      </c>
      <c r="C1211">
        <v>166752</v>
      </c>
      <c r="D1211">
        <v>166752</v>
      </c>
    </row>
    <row r="1212" spans="1:15" x14ac:dyDescent="0.25">
      <c r="A1212" t="s">
        <v>2040</v>
      </c>
      <c r="B1212" t="s">
        <v>1240</v>
      </c>
      <c r="C1212">
        <v>168597</v>
      </c>
      <c r="D1212">
        <v>168597</v>
      </c>
      <c r="E1212">
        <v>20</v>
      </c>
      <c r="F1212">
        <v>20</v>
      </c>
      <c r="G1212">
        <v>30</v>
      </c>
      <c r="O1212">
        <v>70</v>
      </c>
    </row>
    <row r="1213" spans="1:15" x14ac:dyDescent="0.25">
      <c r="A1213" t="s">
        <v>2041</v>
      </c>
      <c r="B1213" t="s">
        <v>2042</v>
      </c>
      <c r="C1213">
        <v>167459</v>
      </c>
      <c r="D1213">
        <v>167459</v>
      </c>
    </row>
    <row r="1214" spans="1:15" x14ac:dyDescent="0.25">
      <c r="A1214" t="s">
        <v>2043</v>
      </c>
      <c r="B1214" t="s">
        <v>2044</v>
      </c>
      <c r="C1214">
        <v>165297</v>
      </c>
      <c r="D1214">
        <v>165297</v>
      </c>
      <c r="H1214">
        <v>10</v>
      </c>
      <c r="I1214">
        <v>40</v>
      </c>
      <c r="J1214">
        <v>10</v>
      </c>
      <c r="K1214">
        <v>10</v>
      </c>
      <c r="L1214">
        <v>0</v>
      </c>
      <c r="M1214">
        <v>70</v>
      </c>
    </row>
    <row r="1215" spans="1:15" x14ac:dyDescent="0.25">
      <c r="A1215" t="s">
        <v>2045</v>
      </c>
      <c r="B1215" t="s">
        <v>2046</v>
      </c>
      <c r="C1215">
        <v>164479</v>
      </c>
      <c r="D1215">
        <v>164479</v>
      </c>
      <c r="E1215">
        <v>10</v>
      </c>
      <c r="F1215">
        <v>20</v>
      </c>
      <c r="G1215">
        <v>30</v>
      </c>
      <c r="O1215">
        <v>60</v>
      </c>
    </row>
    <row r="1216" spans="1:15" x14ac:dyDescent="0.25">
      <c r="A1216" t="s">
        <v>2047</v>
      </c>
      <c r="B1216" t="s">
        <v>2048</v>
      </c>
      <c r="C1216">
        <v>166237</v>
      </c>
      <c r="D1216">
        <v>166237</v>
      </c>
      <c r="H1216">
        <v>10</v>
      </c>
      <c r="I1216">
        <v>50</v>
      </c>
      <c r="J1216">
        <v>10</v>
      </c>
      <c r="K1216">
        <v>0</v>
      </c>
      <c r="L1216">
        <v>0</v>
      </c>
      <c r="M1216">
        <v>70</v>
      </c>
    </row>
    <row r="1217" spans="1:15" x14ac:dyDescent="0.25">
      <c r="A1217" t="s">
        <v>2049</v>
      </c>
      <c r="B1217" t="s">
        <v>2050</v>
      </c>
      <c r="C1217">
        <v>167128</v>
      </c>
      <c r="D1217">
        <v>167128</v>
      </c>
      <c r="H1217">
        <v>20</v>
      </c>
      <c r="I1217">
        <v>30</v>
      </c>
      <c r="J1217">
        <v>20</v>
      </c>
      <c r="K1217">
        <v>10</v>
      </c>
      <c r="L1217">
        <v>0</v>
      </c>
      <c r="M1217">
        <v>80</v>
      </c>
    </row>
    <row r="1218" spans="1:15" x14ac:dyDescent="0.25">
      <c r="A1218" t="s">
        <v>2051</v>
      </c>
      <c r="B1218" t="s">
        <v>2052</v>
      </c>
      <c r="C1218">
        <v>167569</v>
      </c>
      <c r="D1218">
        <v>167569</v>
      </c>
    </row>
    <row r="1219" spans="1:15" x14ac:dyDescent="0.25">
      <c r="A1219" t="s">
        <v>2053</v>
      </c>
      <c r="B1219" t="s">
        <v>1308</v>
      </c>
      <c r="C1219">
        <v>165864</v>
      </c>
      <c r="D1219">
        <v>165864</v>
      </c>
      <c r="E1219">
        <v>50</v>
      </c>
      <c r="F1219">
        <v>20</v>
      </c>
      <c r="G1219">
        <v>30</v>
      </c>
      <c r="O1219">
        <v>100</v>
      </c>
    </row>
    <row r="1220" spans="1:15" x14ac:dyDescent="0.25">
      <c r="A1220" t="s">
        <v>2054</v>
      </c>
      <c r="B1220" t="s">
        <v>2055</v>
      </c>
      <c r="C1220">
        <v>160803</v>
      </c>
      <c r="D1220">
        <v>160803</v>
      </c>
    </row>
    <row r="1221" spans="1:15" x14ac:dyDescent="0.25">
      <c r="A1221" t="s">
        <v>2056</v>
      </c>
      <c r="B1221" t="s">
        <v>95</v>
      </c>
      <c r="C1221">
        <v>161918</v>
      </c>
      <c r="D1221">
        <v>161918</v>
      </c>
      <c r="E1221">
        <v>20</v>
      </c>
      <c r="F1221">
        <v>20</v>
      </c>
      <c r="G1221">
        <v>40</v>
      </c>
      <c r="O1221">
        <v>80</v>
      </c>
    </row>
    <row r="1222" spans="1:15" x14ac:dyDescent="0.25">
      <c r="A1222" t="s">
        <v>2057</v>
      </c>
      <c r="B1222" t="s">
        <v>2058</v>
      </c>
      <c r="C1222">
        <v>164042</v>
      </c>
      <c r="D1222">
        <v>164042</v>
      </c>
    </row>
    <row r="1223" spans="1:15" x14ac:dyDescent="0.25">
      <c r="A1223" t="s">
        <v>2059</v>
      </c>
      <c r="B1223" t="s">
        <v>2060</v>
      </c>
      <c r="C1223">
        <v>163600</v>
      </c>
      <c r="D1223">
        <v>163600</v>
      </c>
      <c r="H1223">
        <v>10</v>
      </c>
      <c r="I1223">
        <v>50</v>
      </c>
      <c r="J1223">
        <v>0</v>
      </c>
      <c r="K1223">
        <v>10</v>
      </c>
      <c r="L1223">
        <v>0</v>
      </c>
      <c r="M1223">
        <v>70</v>
      </c>
    </row>
    <row r="1224" spans="1:15" x14ac:dyDescent="0.25">
      <c r="A1224" t="s">
        <v>2061</v>
      </c>
      <c r="B1224" t="s">
        <v>2062</v>
      </c>
      <c r="C1224">
        <v>168522</v>
      </c>
      <c r="D1224">
        <v>168522</v>
      </c>
      <c r="H1224">
        <v>10</v>
      </c>
      <c r="I1224">
        <v>40</v>
      </c>
      <c r="J1224">
        <v>10</v>
      </c>
      <c r="K1224">
        <v>10</v>
      </c>
      <c r="L1224">
        <v>0</v>
      </c>
      <c r="M1224">
        <v>70</v>
      </c>
    </row>
    <row r="1225" spans="1:15" x14ac:dyDescent="0.25">
      <c r="A1225" t="s">
        <v>2063</v>
      </c>
      <c r="B1225" t="s">
        <v>166</v>
      </c>
      <c r="C1225">
        <v>165422</v>
      </c>
      <c r="D1225">
        <v>165422</v>
      </c>
      <c r="E1225">
        <v>20</v>
      </c>
      <c r="F1225">
        <v>30</v>
      </c>
      <c r="G1225">
        <v>50</v>
      </c>
      <c r="O1225">
        <v>100</v>
      </c>
    </row>
    <row r="1226" spans="1:15" x14ac:dyDescent="0.25">
      <c r="A1226" t="s">
        <v>2064</v>
      </c>
      <c r="B1226" t="s">
        <v>1924</v>
      </c>
      <c r="C1226">
        <v>166394</v>
      </c>
      <c r="D1226">
        <v>166394</v>
      </c>
      <c r="H1226">
        <v>0</v>
      </c>
      <c r="I1226">
        <v>30</v>
      </c>
      <c r="J1226">
        <v>10</v>
      </c>
      <c r="K1226">
        <v>10</v>
      </c>
      <c r="L1226">
        <v>10</v>
      </c>
      <c r="M1226">
        <v>60</v>
      </c>
    </row>
    <row r="1227" spans="1:15" x14ac:dyDescent="0.25">
      <c r="A1227" t="s">
        <v>2065</v>
      </c>
      <c r="B1227" t="s">
        <v>166</v>
      </c>
      <c r="C1227">
        <v>168081</v>
      </c>
      <c r="D1227">
        <v>168081</v>
      </c>
      <c r="E1227">
        <v>40</v>
      </c>
      <c r="F1227">
        <v>10</v>
      </c>
      <c r="G1227">
        <v>0</v>
      </c>
      <c r="O1227">
        <v>50</v>
      </c>
    </row>
    <row r="1228" spans="1:15" x14ac:dyDescent="0.25">
      <c r="A1228" t="s">
        <v>2066</v>
      </c>
      <c r="B1228" t="s">
        <v>2067</v>
      </c>
      <c r="C1228">
        <v>166404</v>
      </c>
      <c r="D1228">
        <v>166404</v>
      </c>
      <c r="H1228">
        <v>0</v>
      </c>
      <c r="I1228">
        <v>40</v>
      </c>
      <c r="J1228">
        <v>10</v>
      </c>
      <c r="K1228">
        <v>10</v>
      </c>
      <c r="L1228">
        <v>10</v>
      </c>
      <c r="M1228">
        <v>70</v>
      </c>
    </row>
    <row r="1229" spans="1:15" x14ac:dyDescent="0.25">
      <c r="A1229" t="s">
        <v>2068</v>
      </c>
      <c r="B1229" t="s">
        <v>2069</v>
      </c>
      <c r="C1229">
        <v>168335</v>
      </c>
      <c r="D1229">
        <v>168335</v>
      </c>
      <c r="E1229">
        <v>10</v>
      </c>
      <c r="F1229">
        <v>20</v>
      </c>
      <c r="G1229">
        <v>30</v>
      </c>
      <c r="O1229">
        <v>60</v>
      </c>
    </row>
    <row r="1230" spans="1:15" x14ac:dyDescent="0.25">
      <c r="A1230" t="s">
        <v>2070</v>
      </c>
      <c r="B1230" t="s">
        <v>2071</v>
      </c>
      <c r="C1230">
        <v>167315</v>
      </c>
      <c r="D1230">
        <v>167315</v>
      </c>
      <c r="H1230">
        <v>20</v>
      </c>
      <c r="I1230">
        <v>30</v>
      </c>
      <c r="J1230">
        <v>10</v>
      </c>
      <c r="K1230">
        <v>10</v>
      </c>
      <c r="L1230">
        <v>10</v>
      </c>
      <c r="M1230">
        <v>80</v>
      </c>
    </row>
    <row r="1231" spans="1:15" x14ac:dyDescent="0.25">
      <c r="A1231" t="s">
        <v>2072</v>
      </c>
      <c r="B1231" t="s">
        <v>768</v>
      </c>
      <c r="C1231">
        <v>166294</v>
      </c>
      <c r="D1231">
        <v>166294</v>
      </c>
      <c r="E1231">
        <v>10</v>
      </c>
      <c r="F1231">
        <v>10</v>
      </c>
      <c r="G1231">
        <v>20</v>
      </c>
      <c r="O1231">
        <v>40</v>
      </c>
    </row>
    <row r="1232" spans="1:15" x14ac:dyDescent="0.25">
      <c r="A1232" t="s">
        <v>2073</v>
      </c>
      <c r="B1232" t="s">
        <v>2074</v>
      </c>
      <c r="C1232">
        <v>166539</v>
      </c>
      <c r="D1232">
        <v>166539</v>
      </c>
      <c r="H1232">
        <v>20</v>
      </c>
      <c r="I1232">
        <v>20</v>
      </c>
      <c r="J1232">
        <v>20</v>
      </c>
      <c r="K1232">
        <v>10</v>
      </c>
      <c r="L1232">
        <v>10</v>
      </c>
      <c r="M1232">
        <v>80</v>
      </c>
    </row>
    <row r="1233" spans="1:15" x14ac:dyDescent="0.25">
      <c r="A1233" t="s">
        <v>2075</v>
      </c>
      <c r="B1233" t="s">
        <v>2076</v>
      </c>
      <c r="C1233">
        <v>168766</v>
      </c>
      <c r="D1233">
        <v>168766</v>
      </c>
      <c r="H1233">
        <v>10</v>
      </c>
      <c r="I1233">
        <v>20</v>
      </c>
      <c r="J1233">
        <v>20</v>
      </c>
      <c r="K1233">
        <v>10</v>
      </c>
      <c r="L1233">
        <v>10</v>
      </c>
      <c r="M1233">
        <v>70</v>
      </c>
    </row>
    <row r="1234" spans="1:15" x14ac:dyDescent="0.25">
      <c r="A1234" t="s">
        <v>2077</v>
      </c>
      <c r="B1234" t="s">
        <v>768</v>
      </c>
      <c r="C1234">
        <v>167389</v>
      </c>
      <c r="D1234">
        <v>167389</v>
      </c>
      <c r="E1234">
        <v>40</v>
      </c>
      <c r="F1234">
        <v>10</v>
      </c>
      <c r="G1234">
        <v>40</v>
      </c>
      <c r="O1234">
        <v>90</v>
      </c>
    </row>
    <row r="1235" spans="1:15" x14ac:dyDescent="0.25">
      <c r="A1235" t="s">
        <v>2078</v>
      </c>
      <c r="B1235" t="s">
        <v>2079</v>
      </c>
      <c r="C1235">
        <v>166728</v>
      </c>
      <c r="D1235">
        <v>166728</v>
      </c>
      <c r="E1235">
        <v>40</v>
      </c>
      <c r="F1235">
        <v>20</v>
      </c>
      <c r="G1235">
        <v>50</v>
      </c>
      <c r="O1235">
        <v>110</v>
      </c>
    </row>
    <row r="1236" spans="1:15" x14ac:dyDescent="0.25">
      <c r="A1236" t="s">
        <v>2080</v>
      </c>
      <c r="B1236" t="s">
        <v>367</v>
      </c>
      <c r="C1236">
        <v>168204</v>
      </c>
      <c r="D1236">
        <v>168204</v>
      </c>
    </row>
    <row r="1237" spans="1:15" x14ac:dyDescent="0.25">
      <c r="A1237" t="s">
        <v>2081</v>
      </c>
      <c r="B1237" t="s">
        <v>2082</v>
      </c>
      <c r="C1237">
        <v>165857</v>
      </c>
      <c r="D1237">
        <v>165857</v>
      </c>
      <c r="E1237">
        <v>10</v>
      </c>
      <c r="F1237">
        <v>10</v>
      </c>
      <c r="G1237">
        <v>10</v>
      </c>
      <c r="O1237">
        <v>30</v>
      </c>
    </row>
    <row r="1238" spans="1:15" x14ac:dyDescent="0.25">
      <c r="A1238" t="s">
        <v>2083</v>
      </c>
      <c r="B1238" t="s">
        <v>2084</v>
      </c>
      <c r="C1238">
        <v>166134</v>
      </c>
      <c r="D1238">
        <v>166134</v>
      </c>
      <c r="E1238">
        <v>30</v>
      </c>
      <c r="F1238">
        <v>40</v>
      </c>
      <c r="G1238">
        <v>40</v>
      </c>
      <c r="O1238">
        <v>110</v>
      </c>
    </row>
    <row r="1239" spans="1:15" x14ac:dyDescent="0.25">
      <c r="A1239" t="s">
        <v>2085</v>
      </c>
      <c r="B1239" t="s">
        <v>2086</v>
      </c>
      <c r="C1239">
        <v>166696</v>
      </c>
      <c r="D1239">
        <v>166696</v>
      </c>
    </row>
    <row r="1240" spans="1:15" x14ac:dyDescent="0.25">
      <c r="A1240" t="s">
        <v>2087</v>
      </c>
      <c r="B1240" t="s">
        <v>130</v>
      </c>
      <c r="C1240">
        <v>166289</v>
      </c>
      <c r="D1240">
        <v>166289</v>
      </c>
      <c r="H1240">
        <v>20</v>
      </c>
      <c r="I1240">
        <v>20</v>
      </c>
      <c r="J1240">
        <v>0</v>
      </c>
      <c r="K1240">
        <v>0</v>
      </c>
      <c r="L1240">
        <v>10</v>
      </c>
      <c r="M1240">
        <v>50</v>
      </c>
    </row>
    <row r="1241" spans="1:15" x14ac:dyDescent="0.25">
      <c r="A1241" t="s">
        <v>2088</v>
      </c>
      <c r="B1241" t="s">
        <v>2089</v>
      </c>
      <c r="C1241">
        <v>168133</v>
      </c>
      <c r="D1241">
        <v>168133</v>
      </c>
      <c r="E1241">
        <v>0</v>
      </c>
      <c r="F1241">
        <v>20</v>
      </c>
      <c r="G1241">
        <v>20</v>
      </c>
      <c r="O1241">
        <v>40</v>
      </c>
    </row>
    <row r="1242" spans="1:15" x14ac:dyDescent="0.25">
      <c r="A1242" t="s">
        <v>2090</v>
      </c>
      <c r="B1242" t="s">
        <v>350</v>
      </c>
      <c r="C1242">
        <v>167374</v>
      </c>
      <c r="D1242">
        <v>167374</v>
      </c>
      <c r="H1242">
        <v>20</v>
      </c>
      <c r="I1242">
        <v>60</v>
      </c>
      <c r="J1242">
        <v>10</v>
      </c>
      <c r="K1242">
        <v>10</v>
      </c>
      <c r="L1242">
        <v>0</v>
      </c>
      <c r="M1242">
        <v>100</v>
      </c>
    </row>
    <row r="1243" spans="1:15" x14ac:dyDescent="0.25">
      <c r="A1243" t="s">
        <v>2091</v>
      </c>
      <c r="B1243" t="s">
        <v>460</v>
      </c>
      <c r="C1243">
        <v>168248</v>
      </c>
      <c r="D1243">
        <v>168248</v>
      </c>
      <c r="H1243">
        <v>0</v>
      </c>
      <c r="I1243">
        <v>30</v>
      </c>
      <c r="J1243">
        <v>0</v>
      </c>
      <c r="K1243">
        <v>10</v>
      </c>
      <c r="L1243">
        <v>10</v>
      </c>
      <c r="M1243">
        <v>50</v>
      </c>
    </row>
    <row r="1244" spans="1:15" x14ac:dyDescent="0.25">
      <c r="A1244" t="s">
        <v>2092</v>
      </c>
      <c r="B1244" t="s">
        <v>2093</v>
      </c>
      <c r="C1244">
        <v>168681</v>
      </c>
      <c r="D1244">
        <v>168681</v>
      </c>
      <c r="H1244">
        <v>0</v>
      </c>
      <c r="I1244">
        <v>10</v>
      </c>
      <c r="J1244">
        <v>0</v>
      </c>
      <c r="K1244">
        <v>0</v>
      </c>
      <c r="L1244">
        <v>0</v>
      </c>
      <c r="M1244">
        <v>10</v>
      </c>
    </row>
    <row r="1245" spans="1:15" x14ac:dyDescent="0.25">
      <c r="A1245" t="s">
        <v>2094</v>
      </c>
      <c r="B1245" t="s">
        <v>2095</v>
      </c>
      <c r="C1245">
        <v>166304</v>
      </c>
      <c r="D1245">
        <v>166304</v>
      </c>
      <c r="H1245">
        <v>10</v>
      </c>
      <c r="I1245">
        <v>30</v>
      </c>
      <c r="J1245">
        <v>10</v>
      </c>
      <c r="K1245">
        <v>10</v>
      </c>
      <c r="L1245">
        <v>10</v>
      </c>
      <c r="M1245">
        <v>70</v>
      </c>
    </row>
    <row r="1246" spans="1:15" x14ac:dyDescent="0.25">
      <c r="A1246" t="s">
        <v>2096</v>
      </c>
      <c r="B1246" t="s">
        <v>2097</v>
      </c>
      <c r="C1246">
        <v>168531</v>
      </c>
      <c r="D1246">
        <v>168531</v>
      </c>
    </row>
    <row r="1247" spans="1:15" x14ac:dyDescent="0.25">
      <c r="A1247" t="s">
        <v>2098</v>
      </c>
      <c r="B1247" t="s">
        <v>1555</v>
      </c>
      <c r="C1247">
        <v>165976</v>
      </c>
      <c r="D1247">
        <v>165976</v>
      </c>
      <c r="E1247">
        <v>40</v>
      </c>
      <c r="F1247">
        <v>10</v>
      </c>
      <c r="G1247">
        <v>20</v>
      </c>
      <c r="O1247">
        <v>70</v>
      </c>
    </row>
    <row r="1248" spans="1:15" x14ac:dyDescent="0.25">
      <c r="A1248" t="s">
        <v>2099</v>
      </c>
      <c r="B1248" t="s">
        <v>2100</v>
      </c>
      <c r="C1248">
        <v>158648</v>
      </c>
      <c r="D1248">
        <v>158648</v>
      </c>
      <c r="E1248">
        <v>10</v>
      </c>
      <c r="F1248">
        <v>20</v>
      </c>
      <c r="G1248">
        <v>40</v>
      </c>
      <c r="O1248">
        <v>70</v>
      </c>
    </row>
    <row r="1249" spans="1:15" x14ac:dyDescent="0.25">
      <c r="A1249" t="s">
        <v>2101</v>
      </c>
      <c r="B1249" t="s">
        <v>2102</v>
      </c>
      <c r="C1249">
        <v>167394</v>
      </c>
      <c r="D1249">
        <v>167394</v>
      </c>
      <c r="E1249">
        <v>50</v>
      </c>
      <c r="F1249">
        <v>40</v>
      </c>
      <c r="G1249">
        <v>40</v>
      </c>
      <c r="O1249">
        <v>130</v>
      </c>
    </row>
    <row r="1250" spans="1:15" x14ac:dyDescent="0.25">
      <c r="A1250" t="s">
        <v>2103</v>
      </c>
      <c r="B1250" t="s">
        <v>2104</v>
      </c>
      <c r="C1250">
        <v>168330</v>
      </c>
      <c r="D1250">
        <v>168330</v>
      </c>
      <c r="E1250">
        <v>0</v>
      </c>
      <c r="F1250">
        <v>30</v>
      </c>
      <c r="G1250">
        <v>20</v>
      </c>
      <c r="O1250">
        <v>50</v>
      </c>
    </row>
    <row r="1251" spans="1:15" x14ac:dyDescent="0.25">
      <c r="A1251" t="s">
        <v>2105</v>
      </c>
      <c r="B1251" t="s">
        <v>2106</v>
      </c>
      <c r="C1251">
        <v>167196</v>
      </c>
      <c r="D1251">
        <v>167196</v>
      </c>
      <c r="E1251">
        <v>50</v>
      </c>
      <c r="F1251">
        <v>40</v>
      </c>
      <c r="G1251">
        <v>40</v>
      </c>
      <c r="O1251">
        <v>130</v>
      </c>
    </row>
    <row r="1252" spans="1:15" x14ac:dyDescent="0.25">
      <c r="A1252" t="s">
        <v>2107</v>
      </c>
      <c r="B1252" t="s">
        <v>2108</v>
      </c>
      <c r="C1252">
        <v>168612</v>
      </c>
      <c r="D1252">
        <v>168612</v>
      </c>
    </row>
    <row r="1253" spans="1:15" x14ac:dyDescent="0.25">
      <c r="A1253" t="s">
        <v>2107</v>
      </c>
      <c r="B1253" t="s">
        <v>2109</v>
      </c>
      <c r="C1253">
        <v>167589</v>
      </c>
      <c r="D1253">
        <v>167589</v>
      </c>
    </row>
    <row r="1254" spans="1:15" x14ac:dyDescent="0.25">
      <c r="A1254" t="s">
        <v>2110</v>
      </c>
      <c r="B1254" t="s">
        <v>1225</v>
      </c>
      <c r="C1254">
        <v>168564</v>
      </c>
      <c r="D1254">
        <v>168564</v>
      </c>
      <c r="H1254">
        <v>0</v>
      </c>
      <c r="I1254">
        <v>30</v>
      </c>
      <c r="J1254">
        <v>0</v>
      </c>
      <c r="K1254">
        <v>0</v>
      </c>
      <c r="L1254">
        <v>0</v>
      </c>
      <c r="M1254">
        <v>30</v>
      </c>
    </row>
    <row r="1255" spans="1:15" x14ac:dyDescent="0.25">
      <c r="A1255" t="s">
        <v>2111</v>
      </c>
      <c r="B1255" t="s">
        <v>596</v>
      </c>
      <c r="C1255">
        <v>167392</v>
      </c>
      <c r="D1255">
        <v>167392</v>
      </c>
      <c r="E1255">
        <v>50</v>
      </c>
      <c r="F1255">
        <v>40</v>
      </c>
      <c r="G1255">
        <v>40</v>
      </c>
      <c r="O1255">
        <v>130</v>
      </c>
    </row>
    <row r="1256" spans="1:15" x14ac:dyDescent="0.25">
      <c r="A1256" t="s">
        <v>2112</v>
      </c>
      <c r="B1256" t="s">
        <v>2113</v>
      </c>
      <c r="C1256">
        <v>165414</v>
      </c>
      <c r="D1256">
        <v>165414</v>
      </c>
      <c r="H1256">
        <v>10</v>
      </c>
      <c r="I1256">
        <v>50</v>
      </c>
      <c r="J1256">
        <v>20</v>
      </c>
      <c r="K1256">
        <v>0</v>
      </c>
      <c r="L1256">
        <v>10</v>
      </c>
      <c r="M1256">
        <v>90</v>
      </c>
    </row>
    <row r="1257" spans="1:15" x14ac:dyDescent="0.25">
      <c r="A1257" t="s">
        <v>2114</v>
      </c>
      <c r="B1257" t="s">
        <v>1185</v>
      </c>
      <c r="C1257">
        <v>167119</v>
      </c>
      <c r="D1257">
        <v>167119</v>
      </c>
      <c r="H1257">
        <v>20</v>
      </c>
      <c r="I1257">
        <v>40</v>
      </c>
      <c r="J1257">
        <v>10</v>
      </c>
      <c r="K1257">
        <v>10</v>
      </c>
      <c r="L1257">
        <v>10</v>
      </c>
      <c r="M1257">
        <v>90</v>
      </c>
    </row>
    <row r="1258" spans="1:15" x14ac:dyDescent="0.25">
      <c r="A1258" t="s">
        <v>2115</v>
      </c>
      <c r="B1258" t="s">
        <v>166</v>
      </c>
      <c r="C1258">
        <v>167674</v>
      </c>
      <c r="D1258">
        <v>167674</v>
      </c>
      <c r="E1258">
        <v>10</v>
      </c>
      <c r="F1258">
        <v>30</v>
      </c>
      <c r="G1258">
        <v>20</v>
      </c>
      <c r="O1258">
        <v>60</v>
      </c>
    </row>
    <row r="1259" spans="1:15" x14ac:dyDescent="0.25">
      <c r="A1259" t="s">
        <v>2116</v>
      </c>
      <c r="B1259" t="s">
        <v>2117</v>
      </c>
      <c r="C1259">
        <v>165411</v>
      </c>
      <c r="D1259">
        <v>165411</v>
      </c>
      <c r="E1259">
        <v>10</v>
      </c>
      <c r="F1259">
        <v>0</v>
      </c>
      <c r="G1259">
        <v>30</v>
      </c>
      <c r="O1259">
        <v>40</v>
      </c>
    </row>
    <row r="1260" spans="1:15" x14ac:dyDescent="0.25">
      <c r="A1260" t="s">
        <v>2118</v>
      </c>
      <c r="B1260" t="s">
        <v>2119</v>
      </c>
      <c r="C1260">
        <v>167899</v>
      </c>
      <c r="D1260">
        <v>167899</v>
      </c>
      <c r="E1260">
        <v>10</v>
      </c>
      <c r="F1260">
        <v>0</v>
      </c>
      <c r="G1260">
        <v>30</v>
      </c>
      <c r="O1260">
        <v>40</v>
      </c>
    </row>
    <row r="1261" spans="1:15" x14ac:dyDescent="0.25">
      <c r="A1261" t="s">
        <v>2120</v>
      </c>
      <c r="B1261" t="s">
        <v>49</v>
      </c>
      <c r="C1261">
        <v>167702</v>
      </c>
      <c r="D1261">
        <v>167702</v>
      </c>
      <c r="E1261">
        <v>50</v>
      </c>
      <c r="F1261">
        <v>0</v>
      </c>
      <c r="G1261">
        <v>30</v>
      </c>
      <c r="O1261">
        <v>80</v>
      </c>
    </row>
    <row r="1262" spans="1:15" x14ac:dyDescent="0.25">
      <c r="A1262" t="s">
        <v>2121</v>
      </c>
      <c r="B1262" t="s">
        <v>286</v>
      </c>
      <c r="C1262">
        <v>165711</v>
      </c>
      <c r="D1262">
        <v>165711</v>
      </c>
      <c r="E1262">
        <v>40</v>
      </c>
      <c r="F1262">
        <v>30</v>
      </c>
      <c r="G1262">
        <v>50</v>
      </c>
      <c r="O1262">
        <v>120</v>
      </c>
    </row>
    <row r="1263" spans="1:15" x14ac:dyDescent="0.25">
      <c r="A1263" t="s">
        <v>2122</v>
      </c>
      <c r="B1263" t="s">
        <v>489</v>
      </c>
      <c r="C1263">
        <v>168831</v>
      </c>
      <c r="D1263">
        <v>168831</v>
      </c>
      <c r="E1263">
        <v>40</v>
      </c>
      <c r="F1263">
        <v>10</v>
      </c>
      <c r="G1263">
        <v>30</v>
      </c>
      <c r="O1263">
        <v>80</v>
      </c>
    </row>
    <row r="1264" spans="1:15" x14ac:dyDescent="0.25">
      <c r="A1264" t="s">
        <v>2123</v>
      </c>
      <c r="B1264" t="s">
        <v>2124</v>
      </c>
      <c r="C1264">
        <v>168287</v>
      </c>
      <c r="D1264">
        <v>168287</v>
      </c>
      <c r="H1264">
        <v>20</v>
      </c>
      <c r="I1264">
        <v>30</v>
      </c>
      <c r="J1264">
        <v>10</v>
      </c>
      <c r="K1264">
        <v>0</v>
      </c>
      <c r="L1264">
        <v>10</v>
      </c>
      <c r="M1264">
        <v>70</v>
      </c>
    </row>
    <row r="1265" spans="1:18" x14ac:dyDescent="0.25">
      <c r="A1265" t="s">
        <v>2125</v>
      </c>
      <c r="B1265" t="s">
        <v>1010</v>
      </c>
      <c r="C1265">
        <v>158122</v>
      </c>
      <c r="D1265">
        <v>158122</v>
      </c>
      <c r="R1265" t="s">
        <v>20</v>
      </c>
    </row>
    <row r="1266" spans="1:18" x14ac:dyDescent="0.25">
      <c r="A1266" t="s">
        <v>2126</v>
      </c>
      <c r="B1266" t="s">
        <v>2127</v>
      </c>
      <c r="C1266">
        <v>156028</v>
      </c>
      <c r="D1266">
        <v>156028</v>
      </c>
      <c r="H1266">
        <v>0</v>
      </c>
      <c r="I1266" t="s">
        <v>20</v>
      </c>
      <c r="J1266">
        <v>0</v>
      </c>
      <c r="M1266">
        <v>0</v>
      </c>
    </row>
    <row r="1267" spans="1:18" x14ac:dyDescent="0.25">
      <c r="A1267" t="s">
        <v>2128</v>
      </c>
      <c r="B1267" t="s">
        <v>2129</v>
      </c>
      <c r="C1267">
        <v>167237</v>
      </c>
      <c r="D1267">
        <v>167237</v>
      </c>
      <c r="E1267">
        <v>40</v>
      </c>
      <c r="F1267">
        <v>40</v>
      </c>
      <c r="G1267">
        <v>40</v>
      </c>
      <c r="O1267">
        <v>120</v>
      </c>
    </row>
    <row r="1268" spans="1:18" x14ac:dyDescent="0.25">
      <c r="A1268" t="s">
        <v>2130</v>
      </c>
      <c r="B1268" t="s">
        <v>2131</v>
      </c>
      <c r="C1268">
        <v>168490</v>
      </c>
      <c r="D1268">
        <v>168490</v>
      </c>
      <c r="E1268">
        <v>10</v>
      </c>
      <c r="F1268">
        <v>10</v>
      </c>
      <c r="G1268">
        <v>20</v>
      </c>
      <c r="O1268">
        <v>40</v>
      </c>
    </row>
    <row r="1269" spans="1:18" x14ac:dyDescent="0.25">
      <c r="A1269" t="s">
        <v>2132</v>
      </c>
      <c r="B1269" t="s">
        <v>286</v>
      </c>
      <c r="C1269">
        <v>166491</v>
      </c>
      <c r="D1269">
        <v>166491</v>
      </c>
      <c r="H1269">
        <v>10</v>
      </c>
      <c r="I1269">
        <v>40</v>
      </c>
      <c r="J1269">
        <v>10</v>
      </c>
      <c r="K1269">
        <v>0</v>
      </c>
      <c r="L1269">
        <v>0</v>
      </c>
      <c r="M1269">
        <v>60</v>
      </c>
    </row>
    <row r="1270" spans="1:18" x14ac:dyDescent="0.25">
      <c r="A1270" t="s">
        <v>2133</v>
      </c>
      <c r="B1270" t="s">
        <v>2134</v>
      </c>
      <c r="C1270">
        <v>168686</v>
      </c>
      <c r="D1270">
        <v>168686</v>
      </c>
    </row>
    <row r="1271" spans="1:18" x14ac:dyDescent="0.25">
      <c r="A1271" t="s">
        <v>2135</v>
      </c>
      <c r="B1271" t="s">
        <v>2136</v>
      </c>
      <c r="C1271">
        <v>166974</v>
      </c>
      <c r="D1271">
        <v>166974</v>
      </c>
    </row>
    <row r="1272" spans="1:18" x14ac:dyDescent="0.25">
      <c r="A1272" t="s">
        <v>2137</v>
      </c>
      <c r="B1272" t="s">
        <v>2138</v>
      </c>
      <c r="C1272">
        <v>165280</v>
      </c>
      <c r="D1272">
        <v>165280</v>
      </c>
      <c r="E1272">
        <v>50</v>
      </c>
      <c r="F1272">
        <v>20</v>
      </c>
      <c r="G1272">
        <v>20</v>
      </c>
      <c r="O1272">
        <v>90</v>
      </c>
    </row>
    <row r="1273" spans="1:18" x14ac:dyDescent="0.25">
      <c r="A1273" t="s">
        <v>2139</v>
      </c>
      <c r="B1273" t="s">
        <v>1822</v>
      </c>
      <c r="C1273">
        <v>165553</v>
      </c>
      <c r="D1273">
        <v>165553</v>
      </c>
      <c r="E1273">
        <v>40</v>
      </c>
      <c r="F1273">
        <v>20</v>
      </c>
      <c r="G1273">
        <v>60</v>
      </c>
      <c r="O1273">
        <v>120</v>
      </c>
    </row>
    <row r="1274" spans="1:18" x14ac:dyDescent="0.25">
      <c r="A1274" t="s">
        <v>2140</v>
      </c>
      <c r="B1274" t="s">
        <v>551</v>
      </c>
      <c r="C1274">
        <v>166567</v>
      </c>
      <c r="D1274">
        <v>166567</v>
      </c>
      <c r="H1274">
        <v>10</v>
      </c>
      <c r="I1274">
        <v>30</v>
      </c>
      <c r="J1274">
        <v>10</v>
      </c>
      <c r="M1274">
        <v>50</v>
      </c>
    </row>
    <row r="1275" spans="1:18" x14ac:dyDescent="0.25">
      <c r="A1275" t="s">
        <v>2141</v>
      </c>
      <c r="B1275" t="s">
        <v>872</v>
      </c>
      <c r="C1275">
        <v>167356</v>
      </c>
      <c r="D1275">
        <v>167356</v>
      </c>
      <c r="H1275">
        <v>10</v>
      </c>
      <c r="I1275">
        <v>20</v>
      </c>
      <c r="J1275">
        <v>10</v>
      </c>
      <c r="K1275">
        <v>0</v>
      </c>
      <c r="L1275">
        <v>0</v>
      </c>
      <c r="M1275">
        <v>40</v>
      </c>
    </row>
    <row r="1276" spans="1:18" x14ac:dyDescent="0.25">
      <c r="A1276" t="s">
        <v>2142</v>
      </c>
      <c r="B1276" t="s">
        <v>2143</v>
      </c>
      <c r="C1276">
        <v>167076</v>
      </c>
      <c r="D1276">
        <v>167076</v>
      </c>
      <c r="E1276">
        <v>30</v>
      </c>
      <c r="F1276">
        <v>10</v>
      </c>
      <c r="G1276">
        <v>30</v>
      </c>
      <c r="O1276">
        <v>70</v>
      </c>
    </row>
    <row r="1277" spans="1:18" x14ac:dyDescent="0.25">
      <c r="A1277" t="s">
        <v>2144</v>
      </c>
      <c r="B1277" t="s">
        <v>2145</v>
      </c>
      <c r="C1277">
        <v>167180</v>
      </c>
      <c r="D1277">
        <v>167180</v>
      </c>
      <c r="E1277">
        <v>10</v>
      </c>
      <c r="F1277">
        <v>20</v>
      </c>
      <c r="G1277">
        <v>40</v>
      </c>
      <c r="O1277">
        <v>70</v>
      </c>
    </row>
    <row r="1278" spans="1:18" x14ac:dyDescent="0.25">
      <c r="A1278" t="s">
        <v>2146</v>
      </c>
      <c r="B1278" t="s">
        <v>1426</v>
      </c>
      <c r="C1278">
        <v>167846</v>
      </c>
      <c r="D1278">
        <v>167846</v>
      </c>
    </row>
    <row r="1279" spans="1:18" x14ac:dyDescent="0.25">
      <c r="A1279" t="s">
        <v>2147</v>
      </c>
      <c r="B1279" t="s">
        <v>2148</v>
      </c>
      <c r="C1279">
        <v>166878</v>
      </c>
      <c r="D1279">
        <v>166878</v>
      </c>
      <c r="E1279">
        <v>40</v>
      </c>
      <c r="F1279">
        <v>30</v>
      </c>
      <c r="G1279">
        <v>10</v>
      </c>
      <c r="O1279">
        <v>80</v>
      </c>
    </row>
    <row r="1280" spans="1:18" x14ac:dyDescent="0.25">
      <c r="A1280" t="s">
        <v>2149</v>
      </c>
      <c r="B1280" t="s">
        <v>924</v>
      </c>
      <c r="C1280">
        <v>166559</v>
      </c>
      <c r="D1280">
        <v>166559</v>
      </c>
      <c r="R1280" t="s">
        <v>20</v>
      </c>
    </row>
    <row r="1281" spans="1:15" x14ac:dyDescent="0.25">
      <c r="A1281" t="s">
        <v>2150</v>
      </c>
      <c r="B1281" t="s">
        <v>270</v>
      </c>
      <c r="C1281">
        <v>166547</v>
      </c>
      <c r="D1281">
        <v>166547</v>
      </c>
      <c r="H1281">
        <v>20</v>
      </c>
      <c r="I1281">
        <v>40</v>
      </c>
      <c r="J1281">
        <v>20</v>
      </c>
      <c r="K1281">
        <v>10</v>
      </c>
      <c r="L1281">
        <v>10</v>
      </c>
      <c r="M1281">
        <v>100</v>
      </c>
    </row>
    <row r="1282" spans="1:15" x14ac:dyDescent="0.25">
      <c r="A1282" t="s">
        <v>2151</v>
      </c>
      <c r="B1282" t="s">
        <v>228</v>
      </c>
      <c r="C1282">
        <v>165356</v>
      </c>
      <c r="D1282">
        <v>165356</v>
      </c>
      <c r="E1282">
        <v>10</v>
      </c>
      <c r="F1282">
        <v>20</v>
      </c>
      <c r="G1282">
        <v>30</v>
      </c>
      <c r="O1282">
        <v>60</v>
      </c>
    </row>
    <row r="1283" spans="1:15" x14ac:dyDescent="0.25">
      <c r="A1283" t="s">
        <v>2152</v>
      </c>
      <c r="B1283" t="s">
        <v>529</v>
      </c>
      <c r="C1283">
        <v>167628</v>
      </c>
      <c r="D1283">
        <v>167628</v>
      </c>
      <c r="E1283">
        <v>50</v>
      </c>
      <c r="F1283">
        <v>30</v>
      </c>
      <c r="G1283">
        <v>30</v>
      </c>
      <c r="O1283">
        <v>110</v>
      </c>
    </row>
    <row r="1284" spans="1:15" x14ac:dyDescent="0.25">
      <c r="A1284" t="s">
        <v>2153</v>
      </c>
      <c r="B1284" t="s">
        <v>2154</v>
      </c>
      <c r="C1284">
        <v>165493</v>
      </c>
      <c r="D1284">
        <v>165493</v>
      </c>
      <c r="E1284">
        <v>30</v>
      </c>
      <c r="F1284">
        <v>20</v>
      </c>
      <c r="G1284">
        <v>50</v>
      </c>
      <c r="O1284">
        <v>100</v>
      </c>
    </row>
    <row r="1285" spans="1:15" x14ac:dyDescent="0.25">
      <c r="A1285" t="s">
        <v>2155</v>
      </c>
      <c r="B1285" t="s">
        <v>2156</v>
      </c>
      <c r="C1285">
        <v>168619</v>
      </c>
      <c r="D1285">
        <v>168619</v>
      </c>
      <c r="E1285">
        <v>10</v>
      </c>
      <c r="F1285">
        <v>20</v>
      </c>
      <c r="G1285">
        <v>20</v>
      </c>
      <c r="O1285">
        <v>50</v>
      </c>
    </row>
    <row r="1286" spans="1:15" x14ac:dyDescent="0.25">
      <c r="A1286" t="s">
        <v>2157</v>
      </c>
      <c r="B1286" t="s">
        <v>270</v>
      </c>
      <c r="C1286">
        <v>161730</v>
      </c>
      <c r="D1286">
        <v>161730</v>
      </c>
    </row>
    <row r="1287" spans="1:15" x14ac:dyDescent="0.25">
      <c r="A1287" t="s">
        <v>2158</v>
      </c>
      <c r="B1287" t="s">
        <v>577</v>
      </c>
      <c r="C1287">
        <v>168822</v>
      </c>
      <c r="D1287">
        <v>168822</v>
      </c>
    </row>
    <row r="1288" spans="1:15" x14ac:dyDescent="0.25">
      <c r="A1288" t="s">
        <v>2159</v>
      </c>
      <c r="B1288" t="s">
        <v>2160</v>
      </c>
      <c r="C1288">
        <v>166764</v>
      </c>
      <c r="D1288">
        <v>166764</v>
      </c>
      <c r="E1288">
        <v>10</v>
      </c>
      <c r="F1288">
        <v>30</v>
      </c>
      <c r="G1288">
        <v>30</v>
      </c>
      <c r="O1288">
        <v>70</v>
      </c>
    </row>
    <row r="1289" spans="1:15" x14ac:dyDescent="0.25">
      <c r="A1289" t="s">
        <v>2161</v>
      </c>
      <c r="B1289" t="s">
        <v>2162</v>
      </c>
      <c r="C1289">
        <v>168303</v>
      </c>
      <c r="D1289">
        <v>168303</v>
      </c>
      <c r="H1289">
        <v>10</v>
      </c>
      <c r="I1289">
        <v>50</v>
      </c>
      <c r="J1289">
        <v>10</v>
      </c>
      <c r="K1289">
        <v>10</v>
      </c>
      <c r="L1289">
        <v>10</v>
      </c>
      <c r="M1289">
        <v>90</v>
      </c>
    </row>
    <row r="1290" spans="1:15" x14ac:dyDescent="0.25">
      <c r="A1290" t="s">
        <v>2163</v>
      </c>
      <c r="B1290" t="s">
        <v>2164</v>
      </c>
      <c r="C1290">
        <v>167808</v>
      </c>
      <c r="D1290">
        <v>167808</v>
      </c>
      <c r="E1290">
        <v>30</v>
      </c>
      <c r="F1290">
        <v>20</v>
      </c>
      <c r="G1290">
        <v>30</v>
      </c>
      <c r="O1290">
        <v>80</v>
      </c>
    </row>
    <row r="1291" spans="1:15" x14ac:dyDescent="0.25">
      <c r="A1291" t="s">
        <v>2165</v>
      </c>
      <c r="B1291" t="s">
        <v>2166</v>
      </c>
      <c r="C1291">
        <v>167216</v>
      </c>
      <c r="D1291">
        <v>167216</v>
      </c>
      <c r="H1291">
        <v>0</v>
      </c>
      <c r="I1291">
        <v>40</v>
      </c>
      <c r="J1291">
        <v>0</v>
      </c>
      <c r="K1291">
        <v>10</v>
      </c>
      <c r="L1291">
        <v>10</v>
      </c>
      <c r="M1291">
        <v>60</v>
      </c>
    </row>
    <row r="1292" spans="1:15" x14ac:dyDescent="0.25">
      <c r="A1292" t="s">
        <v>2167</v>
      </c>
      <c r="B1292" t="s">
        <v>2168</v>
      </c>
      <c r="C1292">
        <v>159638</v>
      </c>
      <c r="D1292">
        <v>159638</v>
      </c>
    </row>
    <row r="1293" spans="1:15" x14ac:dyDescent="0.25">
      <c r="A1293" t="s">
        <v>2169</v>
      </c>
      <c r="B1293" t="s">
        <v>338</v>
      </c>
      <c r="C1293">
        <v>167797</v>
      </c>
      <c r="D1293">
        <v>167797</v>
      </c>
      <c r="H1293">
        <v>20</v>
      </c>
      <c r="I1293">
        <v>50</v>
      </c>
      <c r="J1293">
        <v>20</v>
      </c>
      <c r="K1293">
        <v>10</v>
      </c>
      <c r="L1293">
        <v>0</v>
      </c>
      <c r="M1293">
        <v>100</v>
      </c>
    </row>
    <row r="1294" spans="1:15" x14ac:dyDescent="0.25">
      <c r="A1294" t="s">
        <v>2170</v>
      </c>
      <c r="B1294" t="s">
        <v>654</v>
      </c>
      <c r="C1294">
        <v>163747</v>
      </c>
      <c r="D1294">
        <v>163747</v>
      </c>
      <c r="E1294">
        <v>40</v>
      </c>
      <c r="F1294">
        <v>20</v>
      </c>
      <c r="G1294">
        <v>30</v>
      </c>
      <c r="O1294">
        <v>90</v>
      </c>
    </row>
    <row r="1295" spans="1:15" x14ac:dyDescent="0.25">
      <c r="A1295" t="s">
        <v>2171</v>
      </c>
      <c r="B1295" t="s">
        <v>672</v>
      </c>
      <c r="C1295">
        <v>166585</v>
      </c>
      <c r="D1295">
        <v>166585</v>
      </c>
      <c r="H1295">
        <v>10</v>
      </c>
      <c r="I1295">
        <v>20</v>
      </c>
      <c r="J1295">
        <v>10</v>
      </c>
      <c r="K1295">
        <v>10</v>
      </c>
      <c r="L1295">
        <v>10</v>
      </c>
      <c r="M1295">
        <v>60</v>
      </c>
    </row>
    <row r="1296" spans="1:15" x14ac:dyDescent="0.25">
      <c r="A1296" t="s">
        <v>2172</v>
      </c>
      <c r="B1296" t="s">
        <v>2173</v>
      </c>
      <c r="C1296">
        <v>168125</v>
      </c>
      <c r="D1296">
        <v>168125</v>
      </c>
      <c r="E1296">
        <v>20</v>
      </c>
      <c r="O1296">
        <v>20</v>
      </c>
    </row>
    <row r="1297" spans="1:15" x14ac:dyDescent="0.25">
      <c r="A1297" t="s">
        <v>2174</v>
      </c>
      <c r="B1297" t="s">
        <v>2175</v>
      </c>
      <c r="C1297">
        <v>159619</v>
      </c>
      <c r="D1297">
        <v>159619</v>
      </c>
      <c r="E1297">
        <v>20</v>
      </c>
      <c r="F1297">
        <v>0</v>
      </c>
      <c r="G1297">
        <v>10</v>
      </c>
      <c r="O1297">
        <v>30</v>
      </c>
    </row>
    <row r="1298" spans="1:15" x14ac:dyDescent="0.25">
      <c r="A1298" t="s">
        <v>2176</v>
      </c>
      <c r="B1298" t="s">
        <v>2177</v>
      </c>
      <c r="C1298">
        <v>165928</v>
      </c>
      <c r="D1298">
        <v>165928</v>
      </c>
      <c r="H1298">
        <v>10</v>
      </c>
      <c r="I1298">
        <v>30</v>
      </c>
      <c r="J1298">
        <v>10</v>
      </c>
      <c r="K1298">
        <v>10</v>
      </c>
      <c r="L1298">
        <v>10</v>
      </c>
      <c r="M1298">
        <v>70</v>
      </c>
    </row>
    <row r="1299" spans="1:15" x14ac:dyDescent="0.25">
      <c r="A1299" t="s">
        <v>2178</v>
      </c>
      <c r="B1299" t="s">
        <v>2179</v>
      </c>
      <c r="C1299">
        <v>157099</v>
      </c>
      <c r="D1299">
        <v>157099</v>
      </c>
    </row>
    <row r="1300" spans="1:15" x14ac:dyDescent="0.25">
      <c r="A1300" t="s">
        <v>2180</v>
      </c>
      <c r="B1300" t="s">
        <v>2181</v>
      </c>
      <c r="C1300">
        <v>166987</v>
      </c>
      <c r="D1300">
        <v>166987</v>
      </c>
      <c r="E1300">
        <v>40</v>
      </c>
      <c r="F1300">
        <v>30</v>
      </c>
      <c r="G1300">
        <v>20</v>
      </c>
      <c r="O1300">
        <v>90</v>
      </c>
    </row>
    <row r="1301" spans="1:15" x14ac:dyDescent="0.25">
      <c r="A1301" t="s">
        <v>2182</v>
      </c>
      <c r="B1301" t="s">
        <v>45</v>
      </c>
      <c r="C1301">
        <v>167527</v>
      </c>
      <c r="D1301">
        <v>167527</v>
      </c>
      <c r="H1301">
        <v>0</v>
      </c>
      <c r="I1301">
        <v>30</v>
      </c>
      <c r="J1301">
        <v>0</v>
      </c>
      <c r="K1301">
        <v>10</v>
      </c>
      <c r="L1301">
        <v>0</v>
      </c>
      <c r="M1301">
        <v>40</v>
      </c>
    </row>
    <row r="1302" spans="1:15" x14ac:dyDescent="0.25">
      <c r="A1302" t="s">
        <v>2183</v>
      </c>
      <c r="B1302" t="s">
        <v>1835</v>
      </c>
      <c r="C1302">
        <v>168737</v>
      </c>
      <c r="D1302">
        <v>168737</v>
      </c>
    </row>
    <row r="1303" spans="1:15" x14ac:dyDescent="0.25">
      <c r="A1303" t="s">
        <v>2184</v>
      </c>
      <c r="B1303" t="s">
        <v>2185</v>
      </c>
      <c r="C1303">
        <v>165065</v>
      </c>
      <c r="D1303">
        <v>165065</v>
      </c>
      <c r="E1303">
        <v>20</v>
      </c>
      <c r="F1303">
        <v>30</v>
      </c>
      <c r="G1303">
        <v>40</v>
      </c>
      <c r="O1303">
        <v>90</v>
      </c>
    </row>
    <row r="1304" spans="1:15" x14ac:dyDescent="0.25">
      <c r="A1304" t="s">
        <v>2186</v>
      </c>
      <c r="B1304" t="s">
        <v>2187</v>
      </c>
      <c r="C1304">
        <v>163619</v>
      </c>
      <c r="D1304">
        <v>163619</v>
      </c>
      <c r="E1304">
        <v>0</v>
      </c>
      <c r="F1304">
        <v>40</v>
      </c>
      <c r="G1304">
        <v>50</v>
      </c>
      <c r="O1304">
        <v>90</v>
      </c>
    </row>
    <row r="1305" spans="1:15" x14ac:dyDescent="0.25">
      <c r="A1305" t="s">
        <v>2188</v>
      </c>
      <c r="B1305" t="s">
        <v>2189</v>
      </c>
      <c r="C1305">
        <v>168553</v>
      </c>
      <c r="D1305">
        <v>168553</v>
      </c>
      <c r="H1305">
        <v>10</v>
      </c>
      <c r="I1305">
        <v>40</v>
      </c>
      <c r="J1305">
        <v>10</v>
      </c>
      <c r="K1305">
        <v>10</v>
      </c>
      <c r="L1305">
        <v>0</v>
      </c>
      <c r="M1305">
        <v>70</v>
      </c>
    </row>
    <row r="1306" spans="1:15" x14ac:dyDescent="0.25">
      <c r="A1306" t="s">
        <v>2190</v>
      </c>
      <c r="B1306" t="s">
        <v>2191</v>
      </c>
      <c r="C1306">
        <v>167011</v>
      </c>
      <c r="D1306">
        <v>167011</v>
      </c>
      <c r="E1306">
        <v>40</v>
      </c>
      <c r="F1306">
        <v>10</v>
      </c>
      <c r="G1306">
        <v>40</v>
      </c>
      <c r="O1306">
        <v>90</v>
      </c>
    </row>
    <row r="1307" spans="1:15" x14ac:dyDescent="0.25">
      <c r="A1307" t="s">
        <v>2192</v>
      </c>
      <c r="B1307" t="s">
        <v>2193</v>
      </c>
      <c r="C1307">
        <v>168453</v>
      </c>
      <c r="D1307">
        <v>168453</v>
      </c>
      <c r="H1307">
        <v>10</v>
      </c>
      <c r="I1307">
        <v>20</v>
      </c>
      <c r="J1307">
        <v>20</v>
      </c>
      <c r="K1307">
        <v>10</v>
      </c>
      <c r="L1307">
        <v>0</v>
      </c>
      <c r="M1307">
        <v>60</v>
      </c>
    </row>
    <row r="1308" spans="1:15" x14ac:dyDescent="0.25">
      <c r="A1308" t="s">
        <v>2194</v>
      </c>
      <c r="B1308" t="s">
        <v>2195</v>
      </c>
      <c r="C1308">
        <v>168687</v>
      </c>
      <c r="D1308">
        <v>168687</v>
      </c>
      <c r="H1308">
        <v>0</v>
      </c>
      <c r="I1308">
        <v>20</v>
      </c>
      <c r="J1308">
        <v>10</v>
      </c>
      <c r="K1308">
        <v>0</v>
      </c>
      <c r="L1308">
        <v>0</v>
      </c>
      <c r="M1308">
        <v>30</v>
      </c>
    </row>
    <row r="1309" spans="1:15" x14ac:dyDescent="0.25">
      <c r="A1309" t="s">
        <v>2196</v>
      </c>
      <c r="B1309" t="s">
        <v>2197</v>
      </c>
      <c r="C1309">
        <v>168621</v>
      </c>
      <c r="D1309">
        <v>168621</v>
      </c>
      <c r="E1309">
        <v>10</v>
      </c>
      <c r="F1309">
        <v>20</v>
      </c>
      <c r="G1309">
        <v>30</v>
      </c>
      <c r="O1309">
        <v>60</v>
      </c>
    </row>
    <row r="1310" spans="1:15" x14ac:dyDescent="0.25">
      <c r="A1310" t="s">
        <v>2198</v>
      </c>
      <c r="B1310" t="s">
        <v>1957</v>
      </c>
      <c r="C1310">
        <v>166456</v>
      </c>
      <c r="D1310">
        <v>166456</v>
      </c>
      <c r="E1310">
        <v>30</v>
      </c>
      <c r="F1310">
        <v>0</v>
      </c>
      <c r="G1310">
        <v>50</v>
      </c>
      <c r="O1310">
        <v>80</v>
      </c>
    </row>
    <row r="1311" spans="1:15" x14ac:dyDescent="0.25">
      <c r="A1311" t="s">
        <v>2199</v>
      </c>
      <c r="B1311" t="s">
        <v>2200</v>
      </c>
      <c r="C1311">
        <v>167614</v>
      </c>
      <c r="D1311">
        <v>167614</v>
      </c>
      <c r="E1311">
        <v>40</v>
      </c>
      <c r="F1311">
        <v>30</v>
      </c>
      <c r="G1311">
        <v>30</v>
      </c>
      <c r="O1311">
        <v>100</v>
      </c>
    </row>
    <row r="1312" spans="1:15" x14ac:dyDescent="0.25">
      <c r="A1312" t="s">
        <v>2201</v>
      </c>
      <c r="B1312" t="s">
        <v>2202</v>
      </c>
      <c r="C1312">
        <v>168452</v>
      </c>
      <c r="D1312">
        <v>168452</v>
      </c>
    </row>
    <row r="1313" spans="1:15" x14ac:dyDescent="0.25">
      <c r="A1313" t="s">
        <v>2203</v>
      </c>
      <c r="B1313" t="s">
        <v>2204</v>
      </c>
      <c r="C1313">
        <v>167500</v>
      </c>
      <c r="D1313">
        <v>167500</v>
      </c>
    </row>
    <row r="1314" spans="1:15" x14ac:dyDescent="0.25">
      <c r="A1314" t="s">
        <v>2205</v>
      </c>
      <c r="B1314" t="s">
        <v>43</v>
      </c>
      <c r="C1314">
        <v>168601</v>
      </c>
      <c r="D1314">
        <v>168601</v>
      </c>
      <c r="E1314">
        <v>20</v>
      </c>
      <c r="F1314">
        <v>20</v>
      </c>
      <c r="G1314">
        <v>10</v>
      </c>
      <c r="O1314">
        <v>50</v>
      </c>
    </row>
    <row r="1315" spans="1:15" x14ac:dyDescent="0.25">
      <c r="A1315" t="s">
        <v>2206</v>
      </c>
      <c r="B1315" t="s">
        <v>2207</v>
      </c>
      <c r="C1315">
        <v>167765</v>
      </c>
      <c r="D1315">
        <v>167765</v>
      </c>
      <c r="H1315">
        <v>0</v>
      </c>
      <c r="I1315">
        <v>10</v>
      </c>
      <c r="J1315">
        <v>10</v>
      </c>
      <c r="K1315">
        <v>10</v>
      </c>
      <c r="L1315">
        <v>10</v>
      </c>
      <c r="M1315">
        <v>40</v>
      </c>
    </row>
    <row r="1316" spans="1:15" x14ac:dyDescent="0.25">
      <c r="A1316" t="s">
        <v>2208</v>
      </c>
      <c r="B1316" t="s">
        <v>443</v>
      </c>
      <c r="C1316">
        <v>167247</v>
      </c>
      <c r="D1316">
        <v>167247</v>
      </c>
      <c r="E1316">
        <v>40</v>
      </c>
      <c r="F1316">
        <v>10</v>
      </c>
      <c r="G1316">
        <v>40</v>
      </c>
      <c r="O1316">
        <v>90</v>
      </c>
    </row>
    <row r="1317" spans="1:15" x14ac:dyDescent="0.25">
      <c r="A1317" t="s">
        <v>2209</v>
      </c>
      <c r="B1317" t="s">
        <v>2210</v>
      </c>
      <c r="C1317">
        <v>164678</v>
      </c>
      <c r="D1317">
        <v>164678</v>
      </c>
    </row>
    <row r="1318" spans="1:15" x14ac:dyDescent="0.25">
      <c r="A1318" t="s">
        <v>2211</v>
      </c>
      <c r="B1318" t="s">
        <v>2212</v>
      </c>
      <c r="C1318">
        <v>165558</v>
      </c>
      <c r="D1318">
        <v>165558</v>
      </c>
      <c r="E1318">
        <v>20</v>
      </c>
      <c r="F1318">
        <v>40</v>
      </c>
      <c r="G1318">
        <v>50</v>
      </c>
      <c r="O1318">
        <v>110</v>
      </c>
    </row>
    <row r="1319" spans="1:15" x14ac:dyDescent="0.25">
      <c r="A1319" t="s">
        <v>2213</v>
      </c>
      <c r="B1319" t="s">
        <v>963</v>
      </c>
      <c r="C1319">
        <v>167127</v>
      </c>
      <c r="D1319">
        <v>167127</v>
      </c>
      <c r="H1319">
        <v>20</v>
      </c>
      <c r="I1319">
        <v>60</v>
      </c>
      <c r="J1319">
        <v>20</v>
      </c>
      <c r="K1319">
        <v>10</v>
      </c>
      <c r="L1319">
        <v>10</v>
      </c>
      <c r="M1319">
        <v>120</v>
      </c>
    </row>
    <row r="1320" spans="1:15" x14ac:dyDescent="0.25">
      <c r="A1320" t="s">
        <v>2214</v>
      </c>
      <c r="B1320" t="s">
        <v>1308</v>
      </c>
      <c r="C1320">
        <v>166523</v>
      </c>
      <c r="D1320">
        <v>166523</v>
      </c>
      <c r="E1320">
        <v>40</v>
      </c>
      <c r="F1320">
        <v>20</v>
      </c>
      <c r="G1320">
        <v>30</v>
      </c>
      <c r="O1320">
        <v>90</v>
      </c>
    </row>
    <row r="1321" spans="1:15" x14ac:dyDescent="0.25">
      <c r="A1321" t="s">
        <v>2215</v>
      </c>
      <c r="B1321" t="s">
        <v>53</v>
      </c>
      <c r="C1321">
        <v>168022</v>
      </c>
      <c r="D1321">
        <v>168022</v>
      </c>
      <c r="E1321">
        <v>10</v>
      </c>
      <c r="F1321">
        <v>10</v>
      </c>
      <c r="G1321">
        <v>0</v>
      </c>
      <c r="O1321">
        <v>20</v>
      </c>
    </row>
    <row r="1322" spans="1:15" x14ac:dyDescent="0.25">
      <c r="A1322" t="s">
        <v>2216</v>
      </c>
      <c r="B1322" t="s">
        <v>393</v>
      </c>
      <c r="C1322">
        <v>167351</v>
      </c>
      <c r="D1322">
        <v>167351</v>
      </c>
      <c r="H1322">
        <v>0</v>
      </c>
      <c r="I1322">
        <v>30</v>
      </c>
      <c r="J1322">
        <v>10</v>
      </c>
      <c r="K1322">
        <v>0</v>
      </c>
      <c r="L1322">
        <v>10</v>
      </c>
      <c r="M1322">
        <v>50</v>
      </c>
    </row>
    <row r="1323" spans="1:15" x14ac:dyDescent="0.25">
      <c r="A1323" t="s">
        <v>2217</v>
      </c>
      <c r="B1323" t="s">
        <v>2218</v>
      </c>
      <c r="C1323">
        <v>168904</v>
      </c>
      <c r="D1323">
        <v>168904</v>
      </c>
    </row>
    <row r="1324" spans="1:15" x14ac:dyDescent="0.25">
      <c r="A1324" t="s">
        <v>2217</v>
      </c>
      <c r="B1324" t="s">
        <v>2219</v>
      </c>
      <c r="C1324">
        <v>163935</v>
      </c>
      <c r="D1324">
        <v>163935</v>
      </c>
      <c r="E1324">
        <v>30</v>
      </c>
      <c r="F1324">
        <v>30</v>
      </c>
      <c r="G1324">
        <v>40</v>
      </c>
      <c r="O1324">
        <v>100</v>
      </c>
    </row>
    <row r="1325" spans="1:15" x14ac:dyDescent="0.25">
      <c r="A1325" t="s">
        <v>2220</v>
      </c>
      <c r="B1325" t="s">
        <v>43</v>
      </c>
      <c r="C1325">
        <v>166174</v>
      </c>
      <c r="D1325">
        <v>166174</v>
      </c>
    </row>
    <row r="1326" spans="1:15" x14ac:dyDescent="0.25">
      <c r="A1326" t="s">
        <v>2221</v>
      </c>
      <c r="B1326" t="s">
        <v>2222</v>
      </c>
      <c r="C1326">
        <v>163765</v>
      </c>
      <c r="D1326">
        <v>163765</v>
      </c>
      <c r="H1326">
        <v>20</v>
      </c>
      <c r="I1326">
        <v>60</v>
      </c>
      <c r="J1326">
        <v>20</v>
      </c>
      <c r="K1326">
        <v>10</v>
      </c>
      <c r="L1326">
        <v>10</v>
      </c>
      <c r="M1326">
        <v>120</v>
      </c>
    </row>
    <row r="1327" spans="1:15" x14ac:dyDescent="0.25">
      <c r="A1327" t="s">
        <v>2223</v>
      </c>
      <c r="B1327" t="s">
        <v>697</v>
      </c>
      <c r="C1327">
        <v>166412</v>
      </c>
      <c r="D1327">
        <v>166412</v>
      </c>
      <c r="E1327">
        <v>10</v>
      </c>
      <c r="F1327">
        <v>10</v>
      </c>
      <c r="G1327">
        <v>40</v>
      </c>
      <c r="O1327">
        <v>60</v>
      </c>
    </row>
    <row r="1328" spans="1:15" x14ac:dyDescent="0.25">
      <c r="A1328" t="s">
        <v>2224</v>
      </c>
      <c r="B1328" t="s">
        <v>2225</v>
      </c>
      <c r="C1328">
        <v>167263</v>
      </c>
      <c r="D1328">
        <v>167263</v>
      </c>
      <c r="H1328">
        <v>0</v>
      </c>
      <c r="I1328">
        <v>30</v>
      </c>
      <c r="J1328">
        <v>10</v>
      </c>
      <c r="K1328">
        <v>10</v>
      </c>
      <c r="L1328">
        <v>10</v>
      </c>
      <c r="M1328">
        <v>60</v>
      </c>
    </row>
    <row r="1329" spans="1:15" x14ac:dyDescent="0.25">
      <c r="A1329" t="s">
        <v>2226</v>
      </c>
      <c r="B1329" t="s">
        <v>558</v>
      </c>
      <c r="C1329">
        <v>168036</v>
      </c>
      <c r="D1329">
        <v>168036</v>
      </c>
      <c r="H1329">
        <v>20</v>
      </c>
      <c r="I1329">
        <v>60</v>
      </c>
      <c r="J1329">
        <v>10</v>
      </c>
      <c r="K1329">
        <v>10</v>
      </c>
      <c r="L1329">
        <v>0</v>
      </c>
      <c r="M1329">
        <v>100</v>
      </c>
    </row>
    <row r="1330" spans="1:15" x14ac:dyDescent="0.25">
      <c r="A1330" t="s">
        <v>2227</v>
      </c>
      <c r="B1330" t="s">
        <v>618</v>
      </c>
      <c r="C1330">
        <v>166148</v>
      </c>
      <c r="D1330">
        <v>166148</v>
      </c>
      <c r="H1330">
        <v>0</v>
      </c>
      <c r="I1330">
        <v>30</v>
      </c>
      <c r="J1330">
        <v>20</v>
      </c>
      <c r="K1330">
        <v>10</v>
      </c>
      <c r="L1330">
        <v>10</v>
      </c>
      <c r="M1330">
        <v>70</v>
      </c>
    </row>
    <row r="1331" spans="1:15" x14ac:dyDescent="0.25">
      <c r="A1331" t="s">
        <v>2228</v>
      </c>
      <c r="B1331" t="s">
        <v>2229</v>
      </c>
      <c r="C1331">
        <v>168694</v>
      </c>
      <c r="D1331">
        <v>168694</v>
      </c>
      <c r="E1331">
        <v>10</v>
      </c>
      <c r="F1331">
        <v>20</v>
      </c>
      <c r="G1331">
        <v>20</v>
      </c>
      <c r="O1331">
        <v>50</v>
      </c>
    </row>
    <row r="1332" spans="1:15" x14ac:dyDescent="0.25">
      <c r="A1332" t="s">
        <v>2230</v>
      </c>
      <c r="B1332" t="s">
        <v>2231</v>
      </c>
      <c r="C1332">
        <v>167148</v>
      </c>
      <c r="D1332">
        <v>167148</v>
      </c>
      <c r="H1332">
        <v>10</v>
      </c>
      <c r="I1332">
        <v>40</v>
      </c>
      <c r="J1332">
        <v>20</v>
      </c>
      <c r="K1332">
        <v>10</v>
      </c>
      <c r="L1332">
        <v>10</v>
      </c>
      <c r="M1332">
        <v>90</v>
      </c>
    </row>
    <row r="1333" spans="1:15" x14ac:dyDescent="0.25">
      <c r="A1333" t="s">
        <v>2232</v>
      </c>
      <c r="B1333" t="s">
        <v>367</v>
      </c>
      <c r="C1333">
        <v>167032</v>
      </c>
      <c r="D1333">
        <v>167032</v>
      </c>
      <c r="H1333">
        <v>0</v>
      </c>
      <c r="I1333">
        <v>50</v>
      </c>
      <c r="J1333">
        <v>10</v>
      </c>
      <c r="K1333">
        <v>10</v>
      </c>
      <c r="L1333">
        <v>10</v>
      </c>
      <c r="M1333">
        <v>80</v>
      </c>
    </row>
    <row r="1334" spans="1:15" x14ac:dyDescent="0.25">
      <c r="A1334" t="s">
        <v>2233</v>
      </c>
      <c r="B1334" t="s">
        <v>944</v>
      </c>
      <c r="C1334">
        <v>168175</v>
      </c>
      <c r="D1334">
        <v>168175</v>
      </c>
      <c r="H1334">
        <v>0</v>
      </c>
      <c r="I1334">
        <v>30</v>
      </c>
      <c r="J1334">
        <v>20</v>
      </c>
      <c r="K1334">
        <v>10</v>
      </c>
      <c r="L1334">
        <v>10</v>
      </c>
      <c r="M1334">
        <v>70</v>
      </c>
    </row>
    <row r="1335" spans="1:15" x14ac:dyDescent="0.25">
      <c r="A1335" t="s">
        <v>2234</v>
      </c>
      <c r="B1335" t="s">
        <v>79</v>
      </c>
      <c r="C1335">
        <v>168384</v>
      </c>
      <c r="D1335">
        <v>168384</v>
      </c>
    </row>
    <row r="1336" spans="1:15" x14ac:dyDescent="0.25">
      <c r="A1336" t="s">
        <v>2235</v>
      </c>
      <c r="B1336" t="s">
        <v>2236</v>
      </c>
      <c r="C1336">
        <v>166039</v>
      </c>
      <c r="D1336">
        <v>166039</v>
      </c>
      <c r="H1336">
        <v>10</v>
      </c>
      <c r="I1336">
        <v>30</v>
      </c>
      <c r="J1336">
        <v>10</v>
      </c>
      <c r="M1336">
        <v>50</v>
      </c>
    </row>
    <row r="1337" spans="1:15" x14ac:dyDescent="0.25">
      <c r="A1337" t="s">
        <v>2237</v>
      </c>
      <c r="B1337" t="s">
        <v>2238</v>
      </c>
      <c r="C1337">
        <v>167866</v>
      </c>
      <c r="D1337">
        <v>167866</v>
      </c>
      <c r="E1337">
        <v>30</v>
      </c>
      <c r="F1337">
        <v>30</v>
      </c>
      <c r="G1337">
        <v>20</v>
      </c>
      <c r="O1337">
        <v>80</v>
      </c>
    </row>
    <row r="1338" spans="1:15" x14ac:dyDescent="0.25">
      <c r="A1338" t="s">
        <v>2239</v>
      </c>
      <c r="B1338" t="s">
        <v>95</v>
      </c>
      <c r="C1338">
        <v>165796</v>
      </c>
      <c r="D1338">
        <v>165796</v>
      </c>
      <c r="E1338">
        <v>10</v>
      </c>
      <c r="F1338">
        <v>40</v>
      </c>
      <c r="G1338">
        <v>40</v>
      </c>
      <c r="O1338">
        <v>90</v>
      </c>
    </row>
    <row r="1339" spans="1:15" x14ac:dyDescent="0.25">
      <c r="A1339" t="s">
        <v>2240</v>
      </c>
      <c r="B1339" t="s">
        <v>2241</v>
      </c>
      <c r="C1339">
        <v>168515</v>
      </c>
      <c r="D1339">
        <v>168515</v>
      </c>
      <c r="H1339">
        <v>0</v>
      </c>
      <c r="I1339">
        <v>30</v>
      </c>
      <c r="J1339">
        <v>20</v>
      </c>
      <c r="K1339">
        <v>10</v>
      </c>
      <c r="L1339">
        <v>0</v>
      </c>
      <c r="M1339">
        <v>60</v>
      </c>
    </row>
    <row r="1340" spans="1:15" x14ac:dyDescent="0.25">
      <c r="A1340" t="s">
        <v>2242</v>
      </c>
      <c r="B1340" t="s">
        <v>2243</v>
      </c>
      <c r="C1340">
        <v>163175</v>
      </c>
      <c r="D1340">
        <v>163175</v>
      </c>
    </row>
    <row r="1341" spans="1:15" x14ac:dyDescent="0.25">
      <c r="A1341" t="s">
        <v>2244</v>
      </c>
      <c r="B1341" t="s">
        <v>1912</v>
      </c>
      <c r="C1341">
        <v>168311</v>
      </c>
      <c r="D1341">
        <v>168311</v>
      </c>
      <c r="E1341">
        <v>0</v>
      </c>
      <c r="F1341">
        <v>10</v>
      </c>
      <c r="G1341">
        <v>20</v>
      </c>
      <c r="O1341">
        <v>30</v>
      </c>
    </row>
    <row r="1342" spans="1:15" x14ac:dyDescent="0.25">
      <c r="A1342" t="s">
        <v>2245</v>
      </c>
      <c r="B1342" t="s">
        <v>2246</v>
      </c>
      <c r="C1342">
        <v>167884</v>
      </c>
      <c r="D1342">
        <v>167884</v>
      </c>
      <c r="E1342">
        <v>40</v>
      </c>
      <c r="F1342">
        <v>20</v>
      </c>
      <c r="G1342">
        <v>20</v>
      </c>
      <c r="O1342">
        <v>80</v>
      </c>
    </row>
    <row r="1343" spans="1:15" x14ac:dyDescent="0.25">
      <c r="A1343" t="s">
        <v>2247</v>
      </c>
      <c r="B1343" t="s">
        <v>906</v>
      </c>
      <c r="C1343">
        <v>167543</v>
      </c>
      <c r="D1343">
        <v>167543</v>
      </c>
      <c r="E1343">
        <v>10</v>
      </c>
      <c r="F1343">
        <v>10</v>
      </c>
      <c r="G1343">
        <v>50</v>
      </c>
      <c r="O1343">
        <v>70</v>
      </c>
    </row>
    <row r="1344" spans="1:15" x14ac:dyDescent="0.25">
      <c r="A1344" t="s">
        <v>2248</v>
      </c>
      <c r="B1344" t="s">
        <v>2249</v>
      </c>
      <c r="C1344">
        <v>167252</v>
      </c>
      <c r="D1344">
        <v>167252</v>
      </c>
      <c r="E1344">
        <v>50</v>
      </c>
      <c r="F1344">
        <v>20</v>
      </c>
      <c r="G1344">
        <v>30</v>
      </c>
      <c r="O1344">
        <v>100</v>
      </c>
    </row>
    <row r="1345" spans="1:15" x14ac:dyDescent="0.25">
      <c r="A1345" t="s">
        <v>2250</v>
      </c>
      <c r="B1345" t="s">
        <v>1483</v>
      </c>
      <c r="C1345">
        <v>166402</v>
      </c>
      <c r="D1345">
        <v>166402</v>
      </c>
      <c r="E1345">
        <v>0</v>
      </c>
      <c r="F1345">
        <v>0</v>
      </c>
      <c r="G1345">
        <v>20</v>
      </c>
      <c r="O1345">
        <v>20</v>
      </c>
    </row>
    <row r="1346" spans="1:15" x14ac:dyDescent="0.25">
      <c r="A1346" t="s">
        <v>2251</v>
      </c>
      <c r="B1346" t="s">
        <v>2252</v>
      </c>
      <c r="C1346">
        <v>166443</v>
      </c>
      <c r="D1346">
        <v>166443</v>
      </c>
      <c r="H1346">
        <v>10</v>
      </c>
      <c r="I1346">
        <v>40</v>
      </c>
      <c r="J1346">
        <v>10</v>
      </c>
      <c r="K1346">
        <v>10</v>
      </c>
      <c r="L1346">
        <v>0</v>
      </c>
      <c r="M1346">
        <v>70</v>
      </c>
    </row>
    <row r="1347" spans="1:15" x14ac:dyDescent="0.25">
      <c r="A1347" t="s">
        <v>2253</v>
      </c>
      <c r="B1347" t="s">
        <v>2254</v>
      </c>
      <c r="C1347">
        <v>165962</v>
      </c>
      <c r="D1347">
        <v>165962</v>
      </c>
      <c r="H1347">
        <v>10</v>
      </c>
      <c r="I1347">
        <v>40</v>
      </c>
      <c r="J1347">
        <v>10</v>
      </c>
      <c r="K1347">
        <v>10</v>
      </c>
      <c r="L1347">
        <v>10</v>
      </c>
      <c r="M1347">
        <v>80</v>
      </c>
    </row>
    <row r="1348" spans="1:15" x14ac:dyDescent="0.25">
      <c r="A1348" t="s">
        <v>2255</v>
      </c>
      <c r="B1348" t="s">
        <v>2256</v>
      </c>
      <c r="C1348">
        <v>168152</v>
      </c>
      <c r="D1348">
        <v>168152</v>
      </c>
      <c r="E1348">
        <v>40</v>
      </c>
      <c r="F1348">
        <v>20</v>
      </c>
      <c r="G1348">
        <v>40</v>
      </c>
      <c r="O1348">
        <v>100</v>
      </c>
    </row>
    <row r="1349" spans="1:15" x14ac:dyDescent="0.25">
      <c r="A1349" t="s">
        <v>2257</v>
      </c>
      <c r="B1349" t="s">
        <v>2258</v>
      </c>
      <c r="C1349">
        <v>168054</v>
      </c>
      <c r="D1349">
        <v>168054</v>
      </c>
      <c r="E1349">
        <v>30</v>
      </c>
      <c r="F1349">
        <v>20</v>
      </c>
      <c r="G1349">
        <v>20</v>
      </c>
      <c r="O1349">
        <v>70</v>
      </c>
    </row>
    <row r="1350" spans="1:15" x14ac:dyDescent="0.25">
      <c r="A1350" t="s">
        <v>2259</v>
      </c>
      <c r="B1350" t="s">
        <v>59</v>
      </c>
      <c r="C1350">
        <v>168571</v>
      </c>
      <c r="D1350">
        <v>168571</v>
      </c>
      <c r="E1350">
        <v>20</v>
      </c>
      <c r="F1350">
        <v>20</v>
      </c>
      <c r="G1350">
        <v>40</v>
      </c>
      <c r="O1350">
        <v>80</v>
      </c>
    </row>
    <row r="1351" spans="1:15" x14ac:dyDescent="0.25">
      <c r="A1351" t="s">
        <v>2260</v>
      </c>
      <c r="B1351" t="s">
        <v>2261</v>
      </c>
      <c r="C1351">
        <v>167218</v>
      </c>
      <c r="D1351">
        <v>167218</v>
      </c>
      <c r="H1351">
        <v>20</v>
      </c>
      <c r="I1351">
        <v>50</v>
      </c>
      <c r="J1351">
        <v>20</v>
      </c>
      <c r="K1351">
        <v>10</v>
      </c>
      <c r="L1351">
        <v>10</v>
      </c>
      <c r="M1351">
        <v>110</v>
      </c>
    </row>
    <row r="1352" spans="1:15" x14ac:dyDescent="0.25">
      <c r="A1352" t="s">
        <v>2262</v>
      </c>
      <c r="B1352" t="s">
        <v>2263</v>
      </c>
      <c r="C1352">
        <v>168385</v>
      </c>
      <c r="D1352">
        <v>168385</v>
      </c>
      <c r="E1352">
        <v>10</v>
      </c>
      <c r="F1352">
        <v>20</v>
      </c>
      <c r="G1352">
        <v>20</v>
      </c>
      <c r="O1352">
        <v>50</v>
      </c>
    </row>
    <row r="1353" spans="1:15" x14ac:dyDescent="0.25">
      <c r="A1353" t="s">
        <v>2264</v>
      </c>
      <c r="B1353" t="s">
        <v>2265</v>
      </c>
      <c r="C1353">
        <v>166985</v>
      </c>
      <c r="D1353">
        <v>166985</v>
      </c>
      <c r="H1353">
        <v>20</v>
      </c>
      <c r="I1353">
        <v>20</v>
      </c>
      <c r="J1353">
        <v>10</v>
      </c>
      <c r="K1353">
        <v>0</v>
      </c>
      <c r="L1353">
        <v>0</v>
      </c>
      <c r="M1353">
        <v>50</v>
      </c>
    </row>
    <row r="1354" spans="1:15" x14ac:dyDescent="0.25">
      <c r="A1354" t="s">
        <v>2266</v>
      </c>
      <c r="B1354" t="s">
        <v>958</v>
      </c>
      <c r="C1354">
        <v>160319</v>
      </c>
      <c r="D1354">
        <v>160319</v>
      </c>
      <c r="H1354">
        <v>10</v>
      </c>
      <c r="I1354">
        <v>30</v>
      </c>
      <c r="J1354">
        <v>10</v>
      </c>
      <c r="K1354">
        <v>10</v>
      </c>
      <c r="L1354">
        <v>10</v>
      </c>
      <c r="M1354">
        <v>70</v>
      </c>
    </row>
    <row r="1355" spans="1:15" x14ac:dyDescent="0.25">
      <c r="A1355" t="s">
        <v>2267</v>
      </c>
      <c r="B1355" t="s">
        <v>2268</v>
      </c>
      <c r="C1355">
        <v>165500</v>
      </c>
      <c r="D1355">
        <v>165500</v>
      </c>
    </row>
    <row r="1356" spans="1:15" x14ac:dyDescent="0.25">
      <c r="A1356" t="s">
        <v>2269</v>
      </c>
      <c r="B1356" t="s">
        <v>122</v>
      </c>
      <c r="C1356">
        <v>168590</v>
      </c>
      <c r="D1356">
        <v>168590</v>
      </c>
    </row>
    <row r="1357" spans="1:15" x14ac:dyDescent="0.25">
      <c r="A1357" t="s">
        <v>2270</v>
      </c>
      <c r="B1357" t="s">
        <v>228</v>
      </c>
      <c r="C1357">
        <v>165700</v>
      </c>
      <c r="D1357">
        <v>165700</v>
      </c>
      <c r="N1357" t="s">
        <v>549</v>
      </c>
    </row>
    <row r="1358" spans="1:15" x14ac:dyDescent="0.25">
      <c r="A1358" t="s">
        <v>2271</v>
      </c>
      <c r="B1358" t="s">
        <v>2272</v>
      </c>
      <c r="C1358">
        <v>168436</v>
      </c>
      <c r="D1358">
        <v>168436</v>
      </c>
      <c r="E1358">
        <v>50</v>
      </c>
      <c r="F1358">
        <v>30</v>
      </c>
      <c r="G1358">
        <v>40</v>
      </c>
      <c r="O1358">
        <v>120</v>
      </c>
    </row>
    <row r="1359" spans="1:15" x14ac:dyDescent="0.25">
      <c r="A1359" t="s">
        <v>2273</v>
      </c>
      <c r="B1359" t="s">
        <v>2274</v>
      </c>
      <c r="C1359">
        <v>166159</v>
      </c>
      <c r="D1359">
        <v>166159</v>
      </c>
    </row>
    <row r="1360" spans="1:15" x14ac:dyDescent="0.25">
      <c r="A1360" t="s">
        <v>2275</v>
      </c>
      <c r="B1360" t="s">
        <v>209</v>
      </c>
      <c r="C1360">
        <v>168653</v>
      </c>
      <c r="D1360">
        <v>168653</v>
      </c>
      <c r="H1360">
        <v>10</v>
      </c>
      <c r="I1360">
        <v>40</v>
      </c>
      <c r="J1360">
        <v>10</v>
      </c>
      <c r="K1360">
        <v>10</v>
      </c>
      <c r="L1360">
        <v>10</v>
      </c>
      <c r="M1360">
        <v>80</v>
      </c>
    </row>
    <row r="1361" spans="1:18" x14ac:dyDescent="0.25">
      <c r="A1361" t="s">
        <v>2276</v>
      </c>
      <c r="B1361" t="s">
        <v>36</v>
      </c>
      <c r="C1361">
        <v>166169</v>
      </c>
      <c r="D1361">
        <v>166169</v>
      </c>
      <c r="E1361">
        <v>0</v>
      </c>
      <c r="F1361">
        <v>20</v>
      </c>
      <c r="G1361">
        <v>30</v>
      </c>
      <c r="O1361">
        <v>50</v>
      </c>
    </row>
    <row r="1362" spans="1:18" x14ac:dyDescent="0.25">
      <c r="A1362" t="s">
        <v>2277</v>
      </c>
      <c r="B1362" t="s">
        <v>2278</v>
      </c>
      <c r="C1362">
        <v>166434</v>
      </c>
      <c r="D1362">
        <v>166434</v>
      </c>
      <c r="R1362" t="s">
        <v>20</v>
      </c>
    </row>
    <row r="1363" spans="1:18" x14ac:dyDescent="0.25">
      <c r="A1363" t="s">
        <v>2279</v>
      </c>
      <c r="B1363" t="s">
        <v>393</v>
      </c>
      <c r="C1363">
        <v>167591</v>
      </c>
      <c r="D1363">
        <v>167591</v>
      </c>
      <c r="E1363">
        <v>50</v>
      </c>
      <c r="F1363">
        <v>20</v>
      </c>
      <c r="G1363">
        <v>10</v>
      </c>
      <c r="O1363">
        <v>80</v>
      </c>
    </row>
    <row r="1364" spans="1:18" x14ac:dyDescent="0.25">
      <c r="A1364" t="s">
        <v>2280</v>
      </c>
      <c r="B1364" t="s">
        <v>2281</v>
      </c>
      <c r="C1364">
        <v>168578</v>
      </c>
      <c r="D1364">
        <v>168578</v>
      </c>
      <c r="H1364">
        <v>10</v>
      </c>
      <c r="I1364">
        <v>30</v>
      </c>
      <c r="J1364">
        <v>10</v>
      </c>
      <c r="K1364">
        <v>10</v>
      </c>
      <c r="L1364">
        <v>10</v>
      </c>
      <c r="M1364">
        <v>70</v>
      </c>
    </row>
    <row r="1365" spans="1:18" x14ac:dyDescent="0.25">
      <c r="A1365" t="s">
        <v>2282</v>
      </c>
      <c r="B1365" t="s">
        <v>697</v>
      </c>
      <c r="C1365">
        <v>168299</v>
      </c>
      <c r="D1365">
        <v>168299</v>
      </c>
      <c r="E1365">
        <v>10</v>
      </c>
      <c r="F1365">
        <v>30</v>
      </c>
      <c r="G1365">
        <v>30</v>
      </c>
      <c r="O1365">
        <v>70</v>
      </c>
    </row>
    <row r="1366" spans="1:18" x14ac:dyDescent="0.25">
      <c r="A1366" t="s">
        <v>2283</v>
      </c>
      <c r="B1366" t="s">
        <v>2284</v>
      </c>
      <c r="C1366">
        <v>166892</v>
      </c>
      <c r="D1366">
        <v>166892</v>
      </c>
      <c r="E1366">
        <v>10</v>
      </c>
      <c r="F1366">
        <v>10</v>
      </c>
      <c r="G1366">
        <v>10</v>
      </c>
      <c r="O1366">
        <v>30</v>
      </c>
    </row>
    <row r="1367" spans="1:18" x14ac:dyDescent="0.25">
      <c r="A1367" t="s">
        <v>2285</v>
      </c>
      <c r="B1367" t="s">
        <v>2286</v>
      </c>
      <c r="C1367">
        <v>167442</v>
      </c>
      <c r="D1367">
        <v>167442</v>
      </c>
    </row>
    <row r="1368" spans="1:18" x14ac:dyDescent="0.25">
      <c r="A1368" t="s">
        <v>2287</v>
      </c>
      <c r="B1368" t="s">
        <v>2288</v>
      </c>
      <c r="C1368">
        <v>162987</v>
      </c>
      <c r="D1368">
        <v>162987</v>
      </c>
      <c r="E1368">
        <v>30</v>
      </c>
      <c r="F1368">
        <v>20</v>
      </c>
      <c r="G1368">
        <v>20</v>
      </c>
      <c r="O1368">
        <v>70</v>
      </c>
    </row>
    <row r="1369" spans="1:18" x14ac:dyDescent="0.25">
      <c r="A1369" t="s">
        <v>2289</v>
      </c>
      <c r="B1369" t="s">
        <v>79</v>
      </c>
      <c r="C1369">
        <v>164911</v>
      </c>
      <c r="D1369">
        <v>164911</v>
      </c>
    </row>
    <row r="1370" spans="1:18" x14ac:dyDescent="0.25">
      <c r="A1370" t="s">
        <v>2290</v>
      </c>
      <c r="B1370" t="s">
        <v>839</v>
      </c>
      <c r="C1370">
        <v>168214</v>
      </c>
      <c r="D1370">
        <v>168214</v>
      </c>
      <c r="E1370">
        <v>40</v>
      </c>
      <c r="F1370">
        <v>0</v>
      </c>
      <c r="G1370">
        <v>50</v>
      </c>
      <c r="O1370">
        <v>90</v>
      </c>
    </row>
    <row r="1371" spans="1:18" x14ac:dyDescent="0.25">
      <c r="A1371" t="s">
        <v>2291</v>
      </c>
      <c r="B1371" t="s">
        <v>636</v>
      </c>
      <c r="C1371">
        <v>168449</v>
      </c>
      <c r="D1371">
        <v>168449</v>
      </c>
      <c r="H1371">
        <v>0</v>
      </c>
      <c r="I1371">
        <v>50</v>
      </c>
      <c r="J1371">
        <v>20</v>
      </c>
      <c r="K1371">
        <v>10</v>
      </c>
      <c r="L1371">
        <v>0</v>
      </c>
      <c r="M1371">
        <v>80</v>
      </c>
    </row>
    <row r="1372" spans="1:18" x14ac:dyDescent="0.25">
      <c r="A1372" t="s">
        <v>2292</v>
      </c>
      <c r="B1372" t="s">
        <v>824</v>
      </c>
      <c r="C1372">
        <v>165530</v>
      </c>
      <c r="D1372">
        <v>165530</v>
      </c>
      <c r="H1372">
        <v>20</v>
      </c>
      <c r="I1372">
        <v>60</v>
      </c>
      <c r="J1372">
        <v>10</v>
      </c>
      <c r="K1372">
        <v>10</v>
      </c>
      <c r="L1372">
        <v>0</v>
      </c>
      <c r="M1372">
        <v>100</v>
      </c>
    </row>
    <row r="1373" spans="1:18" x14ac:dyDescent="0.25">
      <c r="A1373" t="s">
        <v>2293</v>
      </c>
      <c r="B1373" t="s">
        <v>2294</v>
      </c>
      <c r="C1373">
        <v>166338</v>
      </c>
      <c r="D1373">
        <v>166338</v>
      </c>
      <c r="H1373">
        <v>10</v>
      </c>
      <c r="I1373">
        <v>50</v>
      </c>
      <c r="J1373">
        <v>10</v>
      </c>
      <c r="K1373">
        <v>10</v>
      </c>
      <c r="L1373">
        <v>0</v>
      </c>
      <c r="M1373">
        <v>80</v>
      </c>
    </row>
    <row r="1374" spans="1:18" x14ac:dyDescent="0.25">
      <c r="A1374" t="s">
        <v>2295</v>
      </c>
      <c r="B1374" t="s">
        <v>2296</v>
      </c>
      <c r="C1374">
        <v>168200</v>
      </c>
      <c r="D1374">
        <v>168200</v>
      </c>
      <c r="E1374">
        <v>40</v>
      </c>
      <c r="F1374">
        <v>40</v>
      </c>
      <c r="G1374">
        <v>30</v>
      </c>
      <c r="O1374">
        <v>110</v>
      </c>
    </row>
    <row r="1375" spans="1:18" x14ac:dyDescent="0.25">
      <c r="A1375" t="s">
        <v>2297</v>
      </c>
      <c r="B1375" t="s">
        <v>2298</v>
      </c>
      <c r="C1375">
        <v>165499</v>
      </c>
      <c r="D1375">
        <v>165499</v>
      </c>
    </row>
    <row r="1376" spans="1:18" x14ac:dyDescent="0.25">
      <c r="A1376" t="s">
        <v>2299</v>
      </c>
      <c r="B1376" t="s">
        <v>350</v>
      </c>
      <c r="C1376">
        <v>168344</v>
      </c>
      <c r="D1376">
        <v>168344</v>
      </c>
      <c r="E1376">
        <v>20</v>
      </c>
      <c r="F1376">
        <v>10</v>
      </c>
      <c r="G1376">
        <v>30</v>
      </c>
      <c r="O1376">
        <v>60</v>
      </c>
    </row>
    <row r="1377" spans="1:15" x14ac:dyDescent="0.25">
      <c r="A1377" t="s">
        <v>2300</v>
      </c>
      <c r="B1377" t="s">
        <v>1160</v>
      </c>
      <c r="C1377">
        <v>167617</v>
      </c>
      <c r="D1377">
        <v>167617</v>
      </c>
    </row>
    <row r="1378" spans="1:15" x14ac:dyDescent="0.25">
      <c r="A1378" t="s">
        <v>2301</v>
      </c>
      <c r="B1378" t="s">
        <v>2302</v>
      </c>
      <c r="C1378">
        <v>166416</v>
      </c>
      <c r="D1378">
        <v>166416</v>
      </c>
      <c r="H1378">
        <v>20</v>
      </c>
      <c r="I1378">
        <v>20</v>
      </c>
      <c r="J1378">
        <v>10</v>
      </c>
      <c r="K1378">
        <v>0</v>
      </c>
      <c r="L1378">
        <v>0</v>
      </c>
      <c r="M1378">
        <v>50</v>
      </c>
    </row>
    <row r="1379" spans="1:15" x14ac:dyDescent="0.25">
      <c r="A1379" t="s">
        <v>2303</v>
      </c>
      <c r="B1379" t="s">
        <v>286</v>
      </c>
      <c r="C1379">
        <v>166298</v>
      </c>
      <c r="D1379">
        <v>166298</v>
      </c>
      <c r="H1379">
        <v>0</v>
      </c>
      <c r="M1379">
        <v>0</v>
      </c>
    </row>
    <row r="1380" spans="1:15" x14ac:dyDescent="0.25">
      <c r="A1380" t="s">
        <v>2304</v>
      </c>
      <c r="B1380" t="s">
        <v>1497</v>
      </c>
      <c r="C1380">
        <v>165685</v>
      </c>
      <c r="D1380">
        <v>165685</v>
      </c>
      <c r="E1380">
        <v>0</v>
      </c>
      <c r="F1380">
        <v>20</v>
      </c>
      <c r="G1380">
        <v>20</v>
      </c>
      <c r="O1380">
        <v>40</v>
      </c>
    </row>
    <row r="1381" spans="1:15" x14ac:dyDescent="0.25">
      <c r="A1381" t="s">
        <v>2305</v>
      </c>
      <c r="B1381" t="s">
        <v>2306</v>
      </c>
      <c r="C1381">
        <v>168506</v>
      </c>
      <c r="D1381">
        <v>168506</v>
      </c>
      <c r="E1381">
        <v>10</v>
      </c>
      <c r="F1381">
        <v>10</v>
      </c>
      <c r="G1381">
        <v>40</v>
      </c>
      <c r="N1381" t="s">
        <v>549</v>
      </c>
      <c r="O1381">
        <v>60</v>
      </c>
    </row>
    <row r="1382" spans="1:15" x14ac:dyDescent="0.25">
      <c r="A1382" t="s">
        <v>2307</v>
      </c>
      <c r="B1382" t="s">
        <v>654</v>
      </c>
      <c r="C1382">
        <v>163859</v>
      </c>
      <c r="D1382">
        <v>163859</v>
      </c>
    </row>
    <row r="1383" spans="1:15" x14ac:dyDescent="0.25">
      <c r="A1383" t="s">
        <v>2308</v>
      </c>
      <c r="B1383" t="s">
        <v>995</v>
      </c>
      <c r="C1383">
        <v>165684</v>
      </c>
      <c r="D1383">
        <v>165684</v>
      </c>
      <c r="H1383">
        <v>20</v>
      </c>
      <c r="I1383">
        <v>40</v>
      </c>
      <c r="J1383">
        <v>10</v>
      </c>
      <c r="K1383">
        <v>10</v>
      </c>
      <c r="L1383">
        <v>10</v>
      </c>
      <c r="M1383">
        <v>90</v>
      </c>
    </row>
    <row r="1384" spans="1:15" x14ac:dyDescent="0.25">
      <c r="A1384" t="s">
        <v>2309</v>
      </c>
      <c r="B1384" t="s">
        <v>2310</v>
      </c>
      <c r="C1384">
        <v>168169</v>
      </c>
      <c r="D1384">
        <v>168169</v>
      </c>
      <c r="E1384">
        <v>40</v>
      </c>
      <c r="F1384">
        <v>30</v>
      </c>
      <c r="G1384">
        <v>40</v>
      </c>
      <c r="O1384">
        <v>110</v>
      </c>
    </row>
    <row r="1385" spans="1:15" x14ac:dyDescent="0.25">
      <c r="A1385" t="s">
        <v>2311</v>
      </c>
      <c r="B1385" t="s">
        <v>2312</v>
      </c>
      <c r="C1385">
        <v>168478</v>
      </c>
      <c r="D1385">
        <v>168478</v>
      </c>
      <c r="H1385">
        <v>20</v>
      </c>
      <c r="I1385">
        <v>40</v>
      </c>
      <c r="J1385">
        <v>10</v>
      </c>
      <c r="K1385">
        <v>10</v>
      </c>
      <c r="L1385">
        <v>0</v>
      </c>
      <c r="M1385">
        <v>80</v>
      </c>
    </row>
    <row r="1386" spans="1:15" x14ac:dyDescent="0.25">
      <c r="A1386" t="s">
        <v>2313</v>
      </c>
      <c r="B1386" t="s">
        <v>176</v>
      </c>
      <c r="C1386">
        <v>166272</v>
      </c>
      <c r="D1386">
        <v>166272</v>
      </c>
      <c r="H1386">
        <v>20</v>
      </c>
      <c r="I1386">
        <v>50</v>
      </c>
      <c r="J1386">
        <v>20</v>
      </c>
      <c r="K1386">
        <v>10</v>
      </c>
      <c r="L1386">
        <v>10</v>
      </c>
      <c r="M1386">
        <v>110</v>
      </c>
    </row>
    <row r="1387" spans="1:15" x14ac:dyDescent="0.25">
      <c r="A1387" t="s">
        <v>2314</v>
      </c>
      <c r="B1387" t="s">
        <v>2315</v>
      </c>
      <c r="C1387">
        <v>167769</v>
      </c>
      <c r="D1387">
        <v>167769</v>
      </c>
      <c r="E1387">
        <v>20</v>
      </c>
      <c r="F1387">
        <v>20</v>
      </c>
      <c r="G1387">
        <v>30</v>
      </c>
      <c r="O1387">
        <v>70</v>
      </c>
    </row>
    <row r="1388" spans="1:15" x14ac:dyDescent="0.25">
      <c r="A1388" t="s">
        <v>2316</v>
      </c>
      <c r="B1388" t="s">
        <v>340</v>
      </c>
      <c r="C1388">
        <v>167282</v>
      </c>
      <c r="D1388">
        <v>167282</v>
      </c>
      <c r="H1388">
        <v>10</v>
      </c>
      <c r="I1388">
        <v>40</v>
      </c>
      <c r="J1388">
        <v>10</v>
      </c>
      <c r="K1388">
        <v>10</v>
      </c>
      <c r="L1388">
        <v>0</v>
      </c>
      <c r="M1388">
        <v>70</v>
      </c>
    </row>
    <row r="1389" spans="1:15" x14ac:dyDescent="0.25">
      <c r="A1389" t="s">
        <v>2317</v>
      </c>
      <c r="B1389" t="s">
        <v>1471</v>
      </c>
      <c r="C1389">
        <v>165523</v>
      </c>
      <c r="D1389">
        <v>165523</v>
      </c>
      <c r="E1389">
        <v>20</v>
      </c>
      <c r="F1389">
        <v>40</v>
      </c>
      <c r="G1389">
        <v>30</v>
      </c>
      <c r="N1389" t="s">
        <v>549</v>
      </c>
      <c r="O1389">
        <v>90</v>
      </c>
    </row>
    <row r="1390" spans="1:15" x14ac:dyDescent="0.25">
      <c r="A1390" t="s">
        <v>2318</v>
      </c>
      <c r="B1390" t="s">
        <v>214</v>
      </c>
      <c r="C1390">
        <v>168628</v>
      </c>
      <c r="D1390">
        <v>168628</v>
      </c>
      <c r="H1390">
        <v>0</v>
      </c>
      <c r="I1390">
        <v>50</v>
      </c>
      <c r="J1390">
        <v>20</v>
      </c>
      <c r="K1390">
        <v>0</v>
      </c>
      <c r="L1390">
        <v>0</v>
      </c>
      <c r="M1390">
        <v>70</v>
      </c>
    </row>
    <row r="1391" spans="1:15" x14ac:dyDescent="0.25">
      <c r="A1391" t="s">
        <v>2319</v>
      </c>
      <c r="B1391" t="s">
        <v>354</v>
      </c>
      <c r="C1391">
        <v>168072</v>
      </c>
      <c r="D1391">
        <v>168072</v>
      </c>
      <c r="H1391">
        <v>0</v>
      </c>
      <c r="I1391">
        <v>0</v>
      </c>
      <c r="J1391">
        <v>20</v>
      </c>
      <c r="K1391">
        <v>10</v>
      </c>
      <c r="L1391">
        <v>0</v>
      </c>
      <c r="M1391">
        <v>30</v>
      </c>
    </row>
    <row r="1392" spans="1:15" x14ac:dyDescent="0.25">
      <c r="A1392" t="s">
        <v>2320</v>
      </c>
      <c r="B1392" t="s">
        <v>2321</v>
      </c>
      <c r="C1392">
        <v>166194</v>
      </c>
      <c r="D1392">
        <v>166194</v>
      </c>
      <c r="H1392">
        <v>20</v>
      </c>
      <c r="I1392">
        <v>50</v>
      </c>
      <c r="J1392">
        <v>20</v>
      </c>
      <c r="K1392">
        <v>0</v>
      </c>
      <c r="L1392">
        <v>0</v>
      </c>
      <c r="M1392">
        <v>90</v>
      </c>
    </row>
    <row r="1393" spans="1:15" x14ac:dyDescent="0.25">
      <c r="A1393" t="s">
        <v>2322</v>
      </c>
      <c r="B1393" t="s">
        <v>93</v>
      </c>
      <c r="C1393">
        <v>167671</v>
      </c>
      <c r="D1393">
        <v>167671</v>
      </c>
    </row>
    <row r="1394" spans="1:15" x14ac:dyDescent="0.25">
      <c r="A1394" t="s">
        <v>2323</v>
      </c>
      <c r="B1394" t="s">
        <v>2324</v>
      </c>
      <c r="C1394">
        <v>167118</v>
      </c>
      <c r="D1394">
        <v>167118</v>
      </c>
      <c r="E1394">
        <v>10</v>
      </c>
      <c r="F1394">
        <v>10</v>
      </c>
      <c r="G1394">
        <v>40</v>
      </c>
      <c r="O1394">
        <v>60</v>
      </c>
    </row>
    <row r="1395" spans="1:15" x14ac:dyDescent="0.25">
      <c r="A1395" t="s">
        <v>2325</v>
      </c>
      <c r="B1395" t="s">
        <v>2326</v>
      </c>
      <c r="C1395">
        <v>165243</v>
      </c>
      <c r="D1395">
        <v>165243</v>
      </c>
      <c r="H1395">
        <v>20</v>
      </c>
      <c r="I1395">
        <v>40</v>
      </c>
      <c r="J1395">
        <v>10</v>
      </c>
      <c r="K1395">
        <v>0</v>
      </c>
      <c r="L1395">
        <v>0</v>
      </c>
      <c r="M1395">
        <v>70</v>
      </c>
    </row>
    <row r="1396" spans="1:15" x14ac:dyDescent="0.25">
      <c r="A1396" t="s">
        <v>2327</v>
      </c>
      <c r="B1396" t="s">
        <v>2328</v>
      </c>
      <c r="C1396">
        <v>167675</v>
      </c>
      <c r="D1396">
        <v>167675</v>
      </c>
      <c r="E1396">
        <v>10</v>
      </c>
      <c r="F1396">
        <v>30</v>
      </c>
      <c r="O1396">
        <v>40</v>
      </c>
    </row>
    <row r="1397" spans="1:15" x14ac:dyDescent="0.25">
      <c r="A1397" t="s">
        <v>2329</v>
      </c>
      <c r="B1397" t="s">
        <v>2330</v>
      </c>
      <c r="C1397">
        <v>167081</v>
      </c>
      <c r="D1397">
        <v>167081</v>
      </c>
      <c r="H1397">
        <v>10</v>
      </c>
      <c r="I1397">
        <v>30</v>
      </c>
      <c r="J1397">
        <v>0</v>
      </c>
      <c r="K1397">
        <v>0</v>
      </c>
      <c r="L1397">
        <v>0</v>
      </c>
      <c r="M1397">
        <v>40</v>
      </c>
    </row>
    <row r="1398" spans="1:15" x14ac:dyDescent="0.25">
      <c r="A1398" t="s">
        <v>2331</v>
      </c>
      <c r="B1398" t="s">
        <v>2332</v>
      </c>
      <c r="C1398">
        <v>166758</v>
      </c>
      <c r="D1398">
        <v>166758</v>
      </c>
      <c r="H1398">
        <v>20</v>
      </c>
      <c r="I1398">
        <v>50</v>
      </c>
      <c r="J1398">
        <v>10</v>
      </c>
      <c r="K1398">
        <v>10</v>
      </c>
      <c r="L1398">
        <v>0</v>
      </c>
      <c r="M1398">
        <v>90</v>
      </c>
    </row>
    <row r="1399" spans="1:15" x14ac:dyDescent="0.25">
      <c r="A1399" t="s">
        <v>2333</v>
      </c>
      <c r="B1399" t="s">
        <v>2334</v>
      </c>
      <c r="C1399">
        <v>167809</v>
      </c>
      <c r="D1399">
        <v>167809</v>
      </c>
      <c r="H1399">
        <v>20</v>
      </c>
      <c r="I1399">
        <v>60</v>
      </c>
      <c r="J1399">
        <v>10</v>
      </c>
      <c r="K1399">
        <v>10</v>
      </c>
      <c r="L1399">
        <v>0</v>
      </c>
      <c r="M1399">
        <v>100</v>
      </c>
    </row>
    <row r="1400" spans="1:15" x14ac:dyDescent="0.25">
      <c r="A1400" t="s">
        <v>2335</v>
      </c>
      <c r="B1400" t="s">
        <v>2336</v>
      </c>
      <c r="C1400">
        <v>168009</v>
      </c>
      <c r="D1400">
        <v>168009</v>
      </c>
      <c r="E1400">
        <v>40</v>
      </c>
      <c r="F1400">
        <v>30</v>
      </c>
      <c r="G1400">
        <v>30</v>
      </c>
      <c r="O1400">
        <v>100</v>
      </c>
    </row>
    <row r="1401" spans="1:15" x14ac:dyDescent="0.25">
      <c r="A1401" t="s">
        <v>2337</v>
      </c>
      <c r="B1401" t="s">
        <v>2338</v>
      </c>
      <c r="C1401">
        <v>165925</v>
      </c>
      <c r="D1401">
        <v>165925</v>
      </c>
      <c r="E1401">
        <v>10</v>
      </c>
      <c r="F1401">
        <v>20</v>
      </c>
      <c r="G1401">
        <v>30</v>
      </c>
      <c r="O1401">
        <v>60</v>
      </c>
    </row>
    <row r="1402" spans="1:15" x14ac:dyDescent="0.25">
      <c r="A1402" t="s">
        <v>2339</v>
      </c>
      <c r="B1402" t="s">
        <v>577</v>
      </c>
      <c r="C1402">
        <v>167892</v>
      </c>
      <c r="D1402">
        <v>167892</v>
      </c>
      <c r="E1402">
        <v>30</v>
      </c>
      <c r="F1402">
        <v>20</v>
      </c>
      <c r="G1402">
        <v>30</v>
      </c>
      <c r="O1402">
        <v>80</v>
      </c>
    </row>
    <row r="1403" spans="1:15" x14ac:dyDescent="0.25">
      <c r="A1403" t="s">
        <v>2340</v>
      </c>
      <c r="B1403" t="s">
        <v>1592</v>
      </c>
      <c r="C1403">
        <v>166431</v>
      </c>
      <c r="D1403">
        <v>166431</v>
      </c>
    </row>
    <row r="1404" spans="1:15" x14ac:dyDescent="0.25">
      <c r="A1404" t="s">
        <v>2341</v>
      </c>
      <c r="B1404" t="s">
        <v>2342</v>
      </c>
      <c r="C1404">
        <v>166820</v>
      </c>
      <c r="D1404">
        <v>166820</v>
      </c>
      <c r="E1404">
        <v>0</v>
      </c>
      <c r="F1404">
        <v>20</v>
      </c>
      <c r="G1404">
        <v>50</v>
      </c>
      <c r="O1404">
        <v>70</v>
      </c>
    </row>
    <row r="1405" spans="1:15" x14ac:dyDescent="0.25">
      <c r="A1405" t="s">
        <v>2343</v>
      </c>
      <c r="B1405" t="s">
        <v>197</v>
      </c>
      <c r="C1405">
        <v>166409</v>
      </c>
      <c r="D1405">
        <v>166409</v>
      </c>
      <c r="E1405">
        <v>40</v>
      </c>
      <c r="F1405">
        <v>30</v>
      </c>
      <c r="G1405">
        <v>20</v>
      </c>
      <c r="O1405">
        <v>90</v>
      </c>
    </row>
    <row r="1406" spans="1:15" x14ac:dyDescent="0.25">
      <c r="A1406" t="s">
        <v>2344</v>
      </c>
      <c r="B1406" t="s">
        <v>1160</v>
      </c>
      <c r="C1406">
        <v>168067</v>
      </c>
      <c r="D1406">
        <v>168067</v>
      </c>
      <c r="H1406">
        <v>10</v>
      </c>
      <c r="I1406">
        <v>30</v>
      </c>
      <c r="J1406">
        <v>10</v>
      </c>
      <c r="K1406">
        <v>0</v>
      </c>
      <c r="L1406">
        <v>10</v>
      </c>
      <c r="M1406">
        <v>60</v>
      </c>
    </row>
    <row r="1407" spans="1:15" x14ac:dyDescent="0.25">
      <c r="A1407" t="s">
        <v>2345</v>
      </c>
      <c r="B1407" t="s">
        <v>396</v>
      </c>
      <c r="C1407">
        <v>168108</v>
      </c>
      <c r="D1407">
        <v>168108</v>
      </c>
      <c r="H1407">
        <v>10</v>
      </c>
      <c r="I1407">
        <v>30</v>
      </c>
      <c r="J1407">
        <v>10</v>
      </c>
      <c r="K1407">
        <v>0</v>
      </c>
      <c r="L1407">
        <v>0</v>
      </c>
      <c r="M1407">
        <v>50</v>
      </c>
    </row>
    <row r="1408" spans="1:15" x14ac:dyDescent="0.25">
      <c r="A1408" t="s">
        <v>2346</v>
      </c>
      <c r="B1408" t="s">
        <v>2347</v>
      </c>
      <c r="C1408">
        <v>164905</v>
      </c>
      <c r="D1408">
        <v>164905</v>
      </c>
    </row>
    <row r="1409" spans="1:18" x14ac:dyDescent="0.25">
      <c r="A1409" t="s">
        <v>2346</v>
      </c>
      <c r="B1409" t="s">
        <v>2348</v>
      </c>
      <c r="C1409">
        <v>167762</v>
      </c>
      <c r="D1409">
        <v>167762</v>
      </c>
      <c r="E1409">
        <v>20</v>
      </c>
      <c r="F1409">
        <v>40</v>
      </c>
      <c r="G1409">
        <v>50</v>
      </c>
      <c r="O1409">
        <v>110</v>
      </c>
    </row>
    <row r="1410" spans="1:18" x14ac:dyDescent="0.25">
      <c r="A1410" t="s">
        <v>2349</v>
      </c>
      <c r="B1410" t="s">
        <v>2350</v>
      </c>
      <c r="C1410">
        <v>166275</v>
      </c>
      <c r="D1410">
        <v>166275</v>
      </c>
    </row>
    <row r="1411" spans="1:18" x14ac:dyDescent="0.25">
      <c r="A1411" t="s">
        <v>2351</v>
      </c>
      <c r="B1411" t="s">
        <v>750</v>
      </c>
      <c r="C1411">
        <v>168123</v>
      </c>
      <c r="D1411">
        <v>168123</v>
      </c>
      <c r="E1411">
        <v>0</v>
      </c>
      <c r="F1411">
        <v>10</v>
      </c>
      <c r="G1411">
        <v>20</v>
      </c>
      <c r="O1411">
        <v>30</v>
      </c>
    </row>
    <row r="1412" spans="1:18" x14ac:dyDescent="0.25">
      <c r="A1412" t="s">
        <v>2352</v>
      </c>
      <c r="B1412" t="s">
        <v>344</v>
      </c>
      <c r="C1412">
        <v>168679</v>
      </c>
      <c r="D1412">
        <v>168679</v>
      </c>
      <c r="H1412">
        <v>10</v>
      </c>
      <c r="I1412">
        <v>40</v>
      </c>
      <c r="J1412">
        <v>10</v>
      </c>
      <c r="K1412">
        <v>0</v>
      </c>
      <c r="L1412">
        <v>0</v>
      </c>
      <c r="M1412">
        <v>60</v>
      </c>
    </row>
    <row r="1413" spans="1:18" x14ac:dyDescent="0.25">
      <c r="A1413" t="s">
        <v>2353</v>
      </c>
      <c r="B1413" t="s">
        <v>2354</v>
      </c>
      <c r="C1413">
        <v>165350</v>
      </c>
      <c r="D1413">
        <v>165350</v>
      </c>
      <c r="H1413">
        <v>10</v>
      </c>
      <c r="I1413">
        <v>40</v>
      </c>
      <c r="J1413">
        <v>20</v>
      </c>
      <c r="K1413">
        <v>10</v>
      </c>
      <c r="L1413">
        <v>10</v>
      </c>
      <c r="M1413">
        <v>90</v>
      </c>
    </row>
    <row r="1414" spans="1:18" x14ac:dyDescent="0.25">
      <c r="A1414" t="s">
        <v>2355</v>
      </c>
      <c r="B1414" t="s">
        <v>158</v>
      </c>
      <c r="C1414">
        <v>165061</v>
      </c>
      <c r="D1414">
        <v>165061</v>
      </c>
      <c r="H1414">
        <v>10</v>
      </c>
      <c r="I1414">
        <v>50</v>
      </c>
      <c r="J1414">
        <v>20</v>
      </c>
      <c r="K1414">
        <v>10</v>
      </c>
      <c r="L1414">
        <v>10</v>
      </c>
      <c r="M1414">
        <v>100</v>
      </c>
    </row>
    <row r="1415" spans="1:18" x14ac:dyDescent="0.25">
      <c r="A1415" t="s">
        <v>2356</v>
      </c>
      <c r="B1415" t="s">
        <v>2357</v>
      </c>
      <c r="C1415">
        <v>165724</v>
      </c>
      <c r="D1415">
        <v>165724</v>
      </c>
      <c r="H1415">
        <v>10</v>
      </c>
      <c r="I1415">
        <v>50</v>
      </c>
      <c r="J1415">
        <v>20</v>
      </c>
      <c r="K1415">
        <v>10</v>
      </c>
      <c r="L1415">
        <v>0</v>
      </c>
      <c r="M1415">
        <v>90</v>
      </c>
    </row>
    <row r="1416" spans="1:18" x14ac:dyDescent="0.25">
      <c r="A1416" t="s">
        <v>2358</v>
      </c>
      <c r="B1416" t="s">
        <v>2359</v>
      </c>
      <c r="C1416">
        <v>167654</v>
      </c>
      <c r="D1416">
        <v>167654</v>
      </c>
      <c r="H1416">
        <v>0</v>
      </c>
      <c r="I1416">
        <v>50</v>
      </c>
      <c r="J1416">
        <v>10</v>
      </c>
      <c r="K1416">
        <v>10</v>
      </c>
      <c r="L1416">
        <v>10</v>
      </c>
      <c r="M1416">
        <v>80</v>
      </c>
    </row>
    <row r="1417" spans="1:18" x14ac:dyDescent="0.25">
      <c r="A1417" t="s">
        <v>2360</v>
      </c>
      <c r="B1417" t="s">
        <v>546</v>
      </c>
      <c r="C1417">
        <v>166336</v>
      </c>
      <c r="D1417">
        <v>166336</v>
      </c>
      <c r="E1417">
        <v>50</v>
      </c>
      <c r="F1417">
        <v>30</v>
      </c>
      <c r="G1417">
        <v>40</v>
      </c>
      <c r="O1417">
        <v>120</v>
      </c>
    </row>
    <row r="1418" spans="1:18" x14ac:dyDescent="0.25">
      <c r="A1418" t="s">
        <v>2361</v>
      </c>
      <c r="B1418" t="s">
        <v>2362</v>
      </c>
      <c r="C1418">
        <v>165474</v>
      </c>
      <c r="D1418">
        <v>165474</v>
      </c>
      <c r="E1418">
        <v>20</v>
      </c>
      <c r="F1418">
        <v>0</v>
      </c>
      <c r="G1418">
        <v>20</v>
      </c>
      <c r="O1418">
        <v>40</v>
      </c>
    </row>
    <row r="1419" spans="1:18" x14ac:dyDescent="0.25">
      <c r="A1419" t="s">
        <v>2363</v>
      </c>
      <c r="B1419" t="s">
        <v>2364</v>
      </c>
      <c r="C1419">
        <v>167789</v>
      </c>
      <c r="D1419">
        <v>167789</v>
      </c>
      <c r="H1419">
        <v>10</v>
      </c>
      <c r="I1419">
        <v>30</v>
      </c>
      <c r="J1419">
        <v>20</v>
      </c>
      <c r="K1419">
        <v>10</v>
      </c>
      <c r="M1419">
        <v>70</v>
      </c>
      <c r="R1419">
        <v>10</v>
      </c>
    </row>
    <row r="1420" spans="1:18" x14ac:dyDescent="0.25">
      <c r="A1420" t="s">
        <v>2365</v>
      </c>
      <c r="B1420" t="s">
        <v>2366</v>
      </c>
      <c r="C1420">
        <v>165097</v>
      </c>
      <c r="D1420">
        <v>165097</v>
      </c>
      <c r="H1420">
        <v>20</v>
      </c>
      <c r="I1420">
        <v>50</v>
      </c>
      <c r="J1420">
        <v>10</v>
      </c>
      <c r="K1420">
        <v>10</v>
      </c>
      <c r="L1420">
        <v>10</v>
      </c>
      <c r="M1420">
        <v>100</v>
      </c>
    </row>
    <row r="1421" spans="1:18" x14ac:dyDescent="0.25">
      <c r="A1421" t="s">
        <v>2367</v>
      </c>
      <c r="B1421" t="s">
        <v>2368</v>
      </c>
      <c r="C1421">
        <v>165378</v>
      </c>
      <c r="D1421">
        <v>165378</v>
      </c>
      <c r="H1421">
        <v>0</v>
      </c>
      <c r="I1421">
        <v>40</v>
      </c>
      <c r="J1421">
        <v>10</v>
      </c>
      <c r="K1421">
        <v>10</v>
      </c>
      <c r="L1421">
        <v>10</v>
      </c>
      <c r="M1421">
        <v>70</v>
      </c>
    </row>
    <row r="1422" spans="1:18" x14ac:dyDescent="0.25">
      <c r="A1422" t="s">
        <v>2369</v>
      </c>
      <c r="B1422" t="s">
        <v>1000</v>
      </c>
      <c r="C1422">
        <v>166545</v>
      </c>
      <c r="D1422">
        <v>166545</v>
      </c>
      <c r="H1422">
        <v>10</v>
      </c>
      <c r="I1422">
        <v>30</v>
      </c>
      <c r="J1422">
        <v>20</v>
      </c>
      <c r="K1422">
        <v>0</v>
      </c>
      <c r="L1422">
        <v>0</v>
      </c>
      <c r="M1422">
        <v>60</v>
      </c>
      <c r="N1422" t="s">
        <v>20</v>
      </c>
    </row>
    <row r="1423" spans="1:18" x14ac:dyDescent="0.25">
      <c r="A1423" t="s">
        <v>2370</v>
      </c>
      <c r="B1423" t="s">
        <v>663</v>
      </c>
      <c r="C1423">
        <v>167243</v>
      </c>
      <c r="D1423">
        <v>167243</v>
      </c>
      <c r="H1423">
        <v>20</v>
      </c>
      <c r="I1423">
        <v>20</v>
      </c>
      <c r="J1423">
        <v>0</v>
      </c>
      <c r="K1423">
        <v>0</v>
      </c>
      <c r="L1423">
        <v>10</v>
      </c>
      <c r="M1423">
        <v>50</v>
      </c>
    </row>
    <row r="1424" spans="1:18" x14ac:dyDescent="0.25">
      <c r="A1424" t="s">
        <v>2371</v>
      </c>
      <c r="B1424" t="s">
        <v>958</v>
      </c>
      <c r="C1424">
        <v>168159</v>
      </c>
      <c r="D1424">
        <v>168159</v>
      </c>
      <c r="H1424">
        <v>20</v>
      </c>
      <c r="I1424">
        <v>20</v>
      </c>
      <c r="J1424">
        <v>10</v>
      </c>
      <c r="K1424">
        <v>10</v>
      </c>
      <c r="L1424">
        <v>0</v>
      </c>
      <c r="M1424">
        <v>60</v>
      </c>
    </row>
    <row r="1425" spans="1:18" x14ac:dyDescent="0.25">
      <c r="A1425" t="s">
        <v>2372</v>
      </c>
      <c r="B1425" t="s">
        <v>93</v>
      </c>
      <c r="C1425">
        <v>164085</v>
      </c>
      <c r="D1425">
        <v>164085</v>
      </c>
    </row>
    <row r="1426" spans="1:18" x14ac:dyDescent="0.25">
      <c r="A1426" t="s">
        <v>2373</v>
      </c>
      <c r="B1426" t="s">
        <v>2374</v>
      </c>
      <c r="C1426">
        <v>168121</v>
      </c>
      <c r="D1426">
        <v>168121</v>
      </c>
      <c r="E1426">
        <v>30</v>
      </c>
      <c r="F1426">
        <v>30</v>
      </c>
      <c r="G1426">
        <v>30</v>
      </c>
      <c r="O1426">
        <v>90</v>
      </c>
    </row>
    <row r="1427" spans="1:18" x14ac:dyDescent="0.25">
      <c r="A1427" t="s">
        <v>2375</v>
      </c>
      <c r="B1427" t="s">
        <v>2376</v>
      </c>
      <c r="C1427">
        <v>167100</v>
      </c>
      <c r="D1427">
        <v>167100</v>
      </c>
      <c r="H1427">
        <v>10</v>
      </c>
      <c r="I1427">
        <v>40</v>
      </c>
      <c r="J1427">
        <v>20</v>
      </c>
      <c r="K1427">
        <v>10</v>
      </c>
      <c r="L1427">
        <v>10</v>
      </c>
      <c r="M1427">
        <v>90</v>
      </c>
    </row>
    <row r="1428" spans="1:18" x14ac:dyDescent="0.25">
      <c r="A1428" t="s">
        <v>2377</v>
      </c>
      <c r="B1428" t="s">
        <v>49</v>
      </c>
      <c r="C1428">
        <v>168434</v>
      </c>
      <c r="D1428">
        <v>168434</v>
      </c>
      <c r="E1428">
        <v>50</v>
      </c>
      <c r="F1428">
        <v>30</v>
      </c>
      <c r="G1428">
        <v>30</v>
      </c>
      <c r="O1428">
        <v>110</v>
      </c>
    </row>
    <row r="1429" spans="1:18" x14ac:dyDescent="0.25">
      <c r="A1429" t="s">
        <v>2378</v>
      </c>
      <c r="B1429" t="s">
        <v>2379</v>
      </c>
      <c r="C1429">
        <v>166982</v>
      </c>
      <c r="D1429">
        <v>166982</v>
      </c>
    </row>
    <row r="1430" spans="1:18" x14ac:dyDescent="0.25">
      <c r="A1430" t="s">
        <v>2380</v>
      </c>
      <c r="B1430" t="s">
        <v>2381</v>
      </c>
      <c r="C1430">
        <v>166954</v>
      </c>
      <c r="D1430">
        <v>166954</v>
      </c>
      <c r="H1430">
        <v>10</v>
      </c>
      <c r="I1430">
        <v>10</v>
      </c>
      <c r="J1430">
        <v>10</v>
      </c>
      <c r="K1430">
        <v>0</v>
      </c>
      <c r="L1430">
        <v>10</v>
      </c>
      <c r="M1430">
        <v>40</v>
      </c>
    </row>
    <row r="1431" spans="1:18" x14ac:dyDescent="0.25">
      <c r="A1431" t="s">
        <v>2382</v>
      </c>
      <c r="B1431" t="s">
        <v>797</v>
      </c>
      <c r="C1431">
        <v>164286</v>
      </c>
      <c r="D1431">
        <v>164286</v>
      </c>
      <c r="E1431">
        <v>30</v>
      </c>
      <c r="F1431">
        <v>20</v>
      </c>
      <c r="G1431">
        <v>20</v>
      </c>
      <c r="O1431">
        <v>70</v>
      </c>
    </row>
    <row r="1432" spans="1:18" x14ac:dyDescent="0.25">
      <c r="A1432" t="s">
        <v>2383</v>
      </c>
      <c r="B1432" t="s">
        <v>286</v>
      </c>
      <c r="C1432">
        <v>163997</v>
      </c>
      <c r="D1432">
        <v>163997</v>
      </c>
    </row>
    <row r="1433" spans="1:18" x14ac:dyDescent="0.25">
      <c r="A1433" t="s">
        <v>2384</v>
      </c>
      <c r="B1433" t="s">
        <v>2385</v>
      </c>
      <c r="C1433">
        <v>168350</v>
      </c>
      <c r="D1433">
        <v>168350</v>
      </c>
    </row>
    <row r="1434" spans="1:18" x14ac:dyDescent="0.25">
      <c r="A1434" t="s">
        <v>2386</v>
      </c>
      <c r="B1434" t="s">
        <v>2387</v>
      </c>
      <c r="C1434">
        <v>167730</v>
      </c>
      <c r="D1434">
        <v>167730</v>
      </c>
      <c r="H1434">
        <v>0</v>
      </c>
      <c r="I1434">
        <v>10</v>
      </c>
      <c r="J1434">
        <v>0</v>
      </c>
      <c r="K1434">
        <v>10</v>
      </c>
      <c r="L1434">
        <v>0</v>
      </c>
      <c r="M1434">
        <v>20</v>
      </c>
    </row>
    <row r="1435" spans="1:18" x14ac:dyDescent="0.25">
      <c r="A1435" t="s">
        <v>2388</v>
      </c>
      <c r="B1435" t="s">
        <v>2389</v>
      </c>
      <c r="C1435">
        <v>167838</v>
      </c>
      <c r="D1435">
        <v>167838</v>
      </c>
      <c r="H1435">
        <v>0</v>
      </c>
      <c r="I1435">
        <v>30</v>
      </c>
      <c r="J1435">
        <v>20</v>
      </c>
      <c r="K1435">
        <v>10</v>
      </c>
      <c r="L1435">
        <v>0</v>
      </c>
      <c r="M1435">
        <v>60</v>
      </c>
      <c r="R1435" t="s">
        <v>20</v>
      </c>
    </row>
    <row r="1436" spans="1:18" x14ac:dyDescent="0.25">
      <c r="A1436" t="s">
        <v>2390</v>
      </c>
      <c r="B1436" t="s">
        <v>2391</v>
      </c>
      <c r="C1436">
        <v>166349</v>
      </c>
      <c r="D1436">
        <v>166349</v>
      </c>
      <c r="E1436">
        <v>20</v>
      </c>
      <c r="F1436">
        <v>0</v>
      </c>
      <c r="G1436">
        <v>20</v>
      </c>
      <c r="O1436">
        <v>40</v>
      </c>
    </row>
    <row r="1437" spans="1:18" x14ac:dyDescent="0.25">
      <c r="A1437" t="s">
        <v>2392</v>
      </c>
      <c r="B1437" t="s">
        <v>2393</v>
      </c>
      <c r="C1437">
        <v>166930</v>
      </c>
      <c r="D1437">
        <v>166930</v>
      </c>
      <c r="H1437">
        <v>20</v>
      </c>
      <c r="I1437">
        <v>50</v>
      </c>
      <c r="J1437">
        <v>20</v>
      </c>
      <c r="K1437">
        <v>10</v>
      </c>
      <c r="L1437">
        <v>0</v>
      </c>
      <c r="M1437">
        <v>100</v>
      </c>
    </row>
    <row r="1438" spans="1:18" x14ac:dyDescent="0.25">
      <c r="A1438" t="s">
        <v>2394</v>
      </c>
      <c r="B1438" t="s">
        <v>674</v>
      </c>
      <c r="C1438">
        <v>165964</v>
      </c>
      <c r="D1438">
        <v>165964</v>
      </c>
      <c r="E1438">
        <v>50</v>
      </c>
      <c r="F1438">
        <v>40</v>
      </c>
      <c r="G1438">
        <v>50</v>
      </c>
      <c r="O1438">
        <v>140</v>
      </c>
    </row>
    <row r="1439" spans="1:18" x14ac:dyDescent="0.25">
      <c r="A1439" t="s">
        <v>2395</v>
      </c>
      <c r="B1439" t="s">
        <v>1541</v>
      </c>
      <c r="C1439">
        <v>163182</v>
      </c>
      <c r="D1439">
        <v>163182</v>
      </c>
    </row>
    <row r="1440" spans="1:18" x14ac:dyDescent="0.25">
      <c r="A1440" t="s">
        <v>2396</v>
      </c>
      <c r="B1440" t="s">
        <v>2397</v>
      </c>
      <c r="C1440">
        <v>167246</v>
      </c>
      <c r="D1440">
        <v>167246</v>
      </c>
      <c r="E1440">
        <v>30</v>
      </c>
      <c r="F1440">
        <v>30</v>
      </c>
      <c r="G1440">
        <v>30</v>
      </c>
      <c r="O1440">
        <v>90</v>
      </c>
    </row>
    <row r="1441" spans="1:15" x14ac:dyDescent="0.25">
      <c r="A1441" t="s">
        <v>2398</v>
      </c>
      <c r="B1441" t="s">
        <v>2399</v>
      </c>
      <c r="C1441">
        <v>168793</v>
      </c>
      <c r="D1441">
        <v>168793</v>
      </c>
      <c r="H1441">
        <v>0</v>
      </c>
      <c r="I1441">
        <v>30</v>
      </c>
      <c r="J1441">
        <v>20</v>
      </c>
      <c r="K1441">
        <v>10</v>
      </c>
      <c r="L1441">
        <v>0</v>
      </c>
      <c r="M1441">
        <v>60</v>
      </c>
    </row>
    <row r="1442" spans="1:15" x14ac:dyDescent="0.25">
      <c r="A1442" t="s">
        <v>2400</v>
      </c>
      <c r="B1442" t="s">
        <v>367</v>
      </c>
      <c r="C1442">
        <v>167321</v>
      </c>
      <c r="D1442">
        <v>167321</v>
      </c>
      <c r="E1442">
        <v>10</v>
      </c>
      <c r="F1442">
        <v>20</v>
      </c>
      <c r="G1442">
        <v>10</v>
      </c>
      <c r="O1442">
        <v>40</v>
      </c>
    </row>
    <row r="1443" spans="1:15" x14ac:dyDescent="0.25">
      <c r="A1443" t="s">
        <v>2401</v>
      </c>
      <c r="B1443" t="s">
        <v>130</v>
      </c>
      <c r="C1443">
        <v>162505</v>
      </c>
      <c r="D1443">
        <v>162505</v>
      </c>
      <c r="E1443">
        <v>30</v>
      </c>
      <c r="F1443">
        <v>30</v>
      </c>
      <c r="G1443">
        <v>10</v>
      </c>
      <c r="O1443">
        <v>70</v>
      </c>
    </row>
    <row r="1444" spans="1:15" x14ac:dyDescent="0.25">
      <c r="A1444" t="s">
        <v>2402</v>
      </c>
      <c r="B1444" t="s">
        <v>2403</v>
      </c>
      <c r="C1444">
        <v>161963</v>
      </c>
      <c r="D1444">
        <v>161963</v>
      </c>
      <c r="H1444">
        <v>20</v>
      </c>
      <c r="I1444">
        <v>10</v>
      </c>
      <c r="J1444">
        <v>10</v>
      </c>
      <c r="K1444">
        <v>10</v>
      </c>
      <c r="L1444">
        <v>10</v>
      </c>
      <c r="M1444">
        <v>60</v>
      </c>
    </row>
    <row r="1445" spans="1:15" x14ac:dyDescent="0.25">
      <c r="A1445" t="s">
        <v>2404</v>
      </c>
      <c r="B1445" t="s">
        <v>797</v>
      </c>
      <c r="C1445">
        <v>165661</v>
      </c>
      <c r="D1445">
        <v>165661</v>
      </c>
      <c r="E1445">
        <v>30</v>
      </c>
      <c r="F1445">
        <v>40</v>
      </c>
      <c r="G1445">
        <v>30</v>
      </c>
      <c r="O1445">
        <v>100</v>
      </c>
    </row>
    <row r="1446" spans="1:15" x14ac:dyDescent="0.25">
      <c r="A1446" t="s">
        <v>2405</v>
      </c>
      <c r="B1446" t="s">
        <v>2406</v>
      </c>
      <c r="C1446">
        <v>163269</v>
      </c>
      <c r="D1446">
        <v>163269</v>
      </c>
    </row>
    <row r="1447" spans="1:15" x14ac:dyDescent="0.25">
      <c r="A1447" t="s">
        <v>2407</v>
      </c>
      <c r="B1447" t="s">
        <v>59</v>
      </c>
      <c r="C1447">
        <v>168232</v>
      </c>
      <c r="D1447">
        <v>168232</v>
      </c>
    </row>
    <row r="1448" spans="1:15" x14ac:dyDescent="0.25">
      <c r="A1448" t="s">
        <v>2408</v>
      </c>
      <c r="B1448" t="s">
        <v>2409</v>
      </c>
      <c r="C1448">
        <v>165392</v>
      </c>
      <c r="D1448">
        <v>165392</v>
      </c>
      <c r="E1448">
        <v>10</v>
      </c>
      <c r="F1448">
        <v>20</v>
      </c>
      <c r="G1448">
        <v>20</v>
      </c>
      <c r="O1448">
        <v>50</v>
      </c>
    </row>
    <row r="1449" spans="1:15" x14ac:dyDescent="0.25">
      <c r="A1449" t="s">
        <v>2410</v>
      </c>
      <c r="B1449" t="s">
        <v>529</v>
      </c>
      <c r="C1449">
        <v>166735</v>
      </c>
      <c r="D1449">
        <v>166735</v>
      </c>
      <c r="E1449">
        <v>50</v>
      </c>
      <c r="F1449">
        <v>20</v>
      </c>
      <c r="G1449">
        <v>50</v>
      </c>
      <c r="O1449">
        <v>120</v>
      </c>
    </row>
    <row r="1450" spans="1:15" x14ac:dyDescent="0.25">
      <c r="A1450" t="s">
        <v>2411</v>
      </c>
      <c r="B1450" t="s">
        <v>2412</v>
      </c>
      <c r="C1450">
        <v>165597</v>
      </c>
      <c r="D1450">
        <v>165597</v>
      </c>
      <c r="H1450">
        <v>20</v>
      </c>
      <c r="I1450">
        <v>50</v>
      </c>
      <c r="J1450">
        <v>10</v>
      </c>
      <c r="K1450">
        <v>10</v>
      </c>
      <c r="L1450">
        <v>10</v>
      </c>
      <c r="M1450">
        <v>100</v>
      </c>
    </row>
    <row r="1451" spans="1:15" x14ac:dyDescent="0.25">
      <c r="A1451" t="s">
        <v>2413</v>
      </c>
      <c r="B1451" t="s">
        <v>1219</v>
      </c>
      <c r="C1451">
        <v>164246</v>
      </c>
      <c r="D1451">
        <v>164246</v>
      </c>
    </row>
    <row r="1452" spans="1:15" x14ac:dyDescent="0.25">
      <c r="A1452" t="s">
        <v>2414</v>
      </c>
      <c r="B1452" t="s">
        <v>2415</v>
      </c>
      <c r="C1452">
        <v>168263</v>
      </c>
      <c r="D1452">
        <v>168263</v>
      </c>
    </row>
    <row r="1453" spans="1:15" x14ac:dyDescent="0.25">
      <c r="A1453" t="s">
        <v>2416</v>
      </c>
      <c r="B1453" t="s">
        <v>944</v>
      </c>
      <c r="C1453">
        <v>162566</v>
      </c>
      <c r="D1453">
        <v>162566</v>
      </c>
    </row>
    <row r="1454" spans="1:15" x14ac:dyDescent="0.25">
      <c r="A1454" t="s">
        <v>2417</v>
      </c>
      <c r="B1454" t="s">
        <v>2418</v>
      </c>
      <c r="C1454">
        <v>165371</v>
      </c>
      <c r="D1454">
        <v>165371</v>
      </c>
    </row>
    <row r="1455" spans="1:15" x14ac:dyDescent="0.25">
      <c r="A1455" t="s">
        <v>2419</v>
      </c>
      <c r="B1455" t="s">
        <v>2420</v>
      </c>
      <c r="C1455">
        <v>166187</v>
      </c>
      <c r="D1455">
        <v>166187</v>
      </c>
      <c r="E1455">
        <v>40</v>
      </c>
      <c r="F1455">
        <v>20</v>
      </c>
      <c r="G1455">
        <v>40</v>
      </c>
      <c r="O1455">
        <v>100</v>
      </c>
    </row>
    <row r="1456" spans="1:15" x14ac:dyDescent="0.25">
      <c r="A1456" t="s">
        <v>2421</v>
      </c>
      <c r="B1456" t="s">
        <v>2422</v>
      </c>
      <c r="C1456">
        <v>167896</v>
      </c>
      <c r="D1456">
        <v>167896</v>
      </c>
      <c r="H1456">
        <v>0</v>
      </c>
      <c r="M1456">
        <v>0</v>
      </c>
    </row>
    <row r="1457" spans="1:15" x14ac:dyDescent="0.25">
      <c r="A1457" t="s">
        <v>2423</v>
      </c>
      <c r="B1457" t="s">
        <v>2424</v>
      </c>
      <c r="C1457">
        <v>167143</v>
      </c>
      <c r="D1457">
        <v>167143</v>
      </c>
      <c r="E1457">
        <v>20</v>
      </c>
      <c r="F1457">
        <v>20</v>
      </c>
      <c r="O1457">
        <v>40</v>
      </c>
    </row>
    <row r="1458" spans="1:15" x14ac:dyDescent="0.25">
      <c r="A1458" t="s">
        <v>2425</v>
      </c>
      <c r="B1458" t="s">
        <v>130</v>
      </c>
      <c r="C1458">
        <v>168117</v>
      </c>
      <c r="D1458">
        <v>168117</v>
      </c>
      <c r="E1458">
        <v>40</v>
      </c>
      <c r="F1458">
        <v>40</v>
      </c>
      <c r="G1458">
        <v>30</v>
      </c>
      <c r="O1458">
        <v>110</v>
      </c>
    </row>
    <row r="1459" spans="1:15" x14ac:dyDescent="0.25">
      <c r="A1459" t="s">
        <v>2426</v>
      </c>
      <c r="B1459" t="s">
        <v>1601</v>
      </c>
      <c r="C1459">
        <v>161831</v>
      </c>
      <c r="D1459">
        <v>161831</v>
      </c>
      <c r="H1459">
        <v>10</v>
      </c>
      <c r="I1459">
        <v>40</v>
      </c>
      <c r="J1459">
        <v>10</v>
      </c>
      <c r="K1459">
        <v>10</v>
      </c>
      <c r="L1459">
        <v>0</v>
      </c>
      <c r="M1459">
        <v>70</v>
      </c>
    </row>
    <row r="1460" spans="1:15" x14ac:dyDescent="0.25">
      <c r="A1460" t="s">
        <v>2427</v>
      </c>
      <c r="B1460" t="s">
        <v>2428</v>
      </c>
      <c r="C1460">
        <v>161025</v>
      </c>
      <c r="D1460">
        <v>161025</v>
      </c>
      <c r="E1460">
        <v>20</v>
      </c>
      <c r="F1460">
        <v>20</v>
      </c>
      <c r="G1460">
        <v>40</v>
      </c>
      <c r="O1460">
        <v>80</v>
      </c>
    </row>
    <row r="1461" spans="1:15" x14ac:dyDescent="0.25">
      <c r="A1461" t="s">
        <v>2429</v>
      </c>
      <c r="B1461" t="s">
        <v>674</v>
      </c>
      <c r="C1461">
        <v>165238</v>
      </c>
      <c r="D1461">
        <v>165238</v>
      </c>
    </row>
    <row r="1462" spans="1:15" x14ac:dyDescent="0.25">
      <c r="A1462" t="s">
        <v>2430</v>
      </c>
      <c r="B1462" t="s">
        <v>2431</v>
      </c>
      <c r="C1462">
        <v>167715</v>
      </c>
      <c r="D1462">
        <v>167715</v>
      </c>
      <c r="E1462">
        <v>30</v>
      </c>
      <c r="F1462">
        <v>40</v>
      </c>
      <c r="G1462">
        <v>40</v>
      </c>
      <c r="O1462">
        <v>110</v>
      </c>
    </row>
    <row r="1463" spans="1:15" x14ac:dyDescent="0.25">
      <c r="A1463" t="s">
        <v>2432</v>
      </c>
      <c r="B1463" t="s">
        <v>2433</v>
      </c>
      <c r="C1463">
        <v>164351</v>
      </c>
      <c r="D1463">
        <v>164351</v>
      </c>
    </row>
    <row r="1464" spans="1:15" x14ac:dyDescent="0.25">
      <c r="A1464" t="s">
        <v>2434</v>
      </c>
      <c r="B1464" t="s">
        <v>2435</v>
      </c>
      <c r="C1464">
        <v>167052</v>
      </c>
      <c r="D1464">
        <v>167052</v>
      </c>
      <c r="H1464">
        <v>20</v>
      </c>
      <c r="I1464">
        <v>40</v>
      </c>
      <c r="J1464">
        <v>20</v>
      </c>
      <c r="K1464">
        <v>10</v>
      </c>
      <c r="L1464">
        <v>10</v>
      </c>
      <c r="M1464">
        <v>100</v>
      </c>
    </row>
    <row r="1465" spans="1:15" x14ac:dyDescent="0.25">
      <c r="A1465" t="s">
        <v>2436</v>
      </c>
      <c r="B1465" t="s">
        <v>2437</v>
      </c>
      <c r="C1465">
        <v>167322</v>
      </c>
      <c r="D1465">
        <v>167322</v>
      </c>
      <c r="H1465">
        <v>10</v>
      </c>
      <c r="I1465">
        <v>60</v>
      </c>
      <c r="J1465">
        <v>10</v>
      </c>
      <c r="K1465">
        <v>10</v>
      </c>
      <c r="L1465">
        <v>0</v>
      </c>
      <c r="M1465">
        <v>90</v>
      </c>
    </row>
    <row r="1466" spans="1:15" x14ac:dyDescent="0.25">
      <c r="A1466" t="s">
        <v>2438</v>
      </c>
      <c r="B1466" t="s">
        <v>218</v>
      </c>
      <c r="C1466">
        <v>168550</v>
      </c>
      <c r="D1466">
        <v>168550</v>
      </c>
      <c r="E1466">
        <v>20</v>
      </c>
      <c r="F1466">
        <v>40</v>
      </c>
      <c r="G1466">
        <v>30</v>
      </c>
      <c r="O1466">
        <v>90</v>
      </c>
    </row>
    <row r="1467" spans="1:15" x14ac:dyDescent="0.25">
      <c r="A1467" t="s">
        <v>2439</v>
      </c>
      <c r="B1467" t="s">
        <v>2440</v>
      </c>
      <c r="C1467">
        <v>165609</v>
      </c>
      <c r="D1467">
        <v>165609</v>
      </c>
      <c r="H1467">
        <v>0</v>
      </c>
      <c r="I1467">
        <v>50</v>
      </c>
      <c r="J1467">
        <v>20</v>
      </c>
      <c r="K1467">
        <v>0</v>
      </c>
      <c r="L1467">
        <v>0</v>
      </c>
      <c r="M1467">
        <v>70</v>
      </c>
    </row>
    <row r="1468" spans="1:15" x14ac:dyDescent="0.25">
      <c r="A1468" t="s">
        <v>2441</v>
      </c>
      <c r="B1468" t="s">
        <v>2442</v>
      </c>
      <c r="C1468">
        <v>166525</v>
      </c>
      <c r="D1468">
        <v>166525</v>
      </c>
      <c r="H1468">
        <v>10</v>
      </c>
      <c r="I1468">
        <v>0</v>
      </c>
      <c r="J1468">
        <v>0</v>
      </c>
      <c r="K1468">
        <v>0</v>
      </c>
      <c r="L1468">
        <v>0</v>
      </c>
      <c r="M1468">
        <v>10</v>
      </c>
    </row>
    <row r="1469" spans="1:15" x14ac:dyDescent="0.25">
      <c r="A1469" t="s">
        <v>2443</v>
      </c>
      <c r="B1469" t="s">
        <v>2444</v>
      </c>
      <c r="C1469">
        <v>163965</v>
      </c>
      <c r="D1469">
        <v>163965</v>
      </c>
    </row>
    <row r="1470" spans="1:15" x14ac:dyDescent="0.25">
      <c r="A1470" t="s">
        <v>2445</v>
      </c>
      <c r="B1470" t="s">
        <v>286</v>
      </c>
      <c r="C1470">
        <v>165618</v>
      </c>
      <c r="D1470">
        <v>165618</v>
      </c>
      <c r="H1470">
        <v>10</v>
      </c>
      <c r="I1470">
        <v>30</v>
      </c>
      <c r="J1470">
        <v>10</v>
      </c>
      <c r="K1470">
        <v>10</v>
      </c>
      <c r="L1470">
        <v>10</v>
      </c>
      <c r="M1470">
        <v>70</v>
      </c>
    </row>
    <row r="1471" spans="1:15" x14ac:dyDescent="0.25">
      <c r="A1471" t="s">
        <v>2446</v>
      </c>
      <c r="B1471" t="s">
        <v>166</v>
      </c>
      <c r="C1471">
        <v>165527</v>
      </c>
      <c r="D1471">
        <v>165527</v>
      </c>
      <c r="E1471">
        <v>20</v>
      </c>
      <c r="F1471">
        <v>0</v>
      </c>
      <c r="G1471">
        <v>20</v>
      </c>
      <c r="O1471">
        <v>40</v>
      </c>
    </row>
    <row r="1472" spans="1:15" x14ac:dyDescent="0.25">
      <c r="A1472" t="s">
        <v>2447</v>
      </c>
      <c r="B1472" t="s">
        <v>2448</v>
      </c>
      <c r="C1472">
        <v>165996</v>
      </c>
      <c r="D1472">
        <v>165996</v>
      </c>
      <c r="E1472">
        <v>30</v>
      </c>
      <c r="F1472">
        <v>20</v>
      </c>
      <c r="G1472">
        <v>40</v>
      </c>
      <c r="O1472">
        <v>90</v>
      </c>
    </row>
    <row r="1473" spans="1:15" x14ac:dyDescent="0.25">
      <c r="A1473" t="s">
        <v>2449</v>
      </c>
      <c r="B1473" t="s">
        <v>2450</v>
      </c>
      <c r="C1473">
        <v>168327</v>
      </c>
      <c r="D1473">
        <v>168327</v>
      </c>
      <c r="E1473">
        <v>50</v>
      </c>
      <c r="F1473">
        <v>40</v>
      </c>
      <c r="G1473">
        <v>40</v>
      </c>
      <c r="O1473">
        <v>130</v>
      </c>
    </row>
    <row r="1474" spans="1:15" x14ac:dyDescent="0.25">
      <c r="A1474" t="s">
        <v>2451</v>
      </c>
      <c r="B1474" t="s">
        <v>2452</v>
      </c>
      <c r="C1474">
        <v>158197</v>
      </c>
      <c r="D1474">
        <v>158197</v>
      </c>
    </row>
    <row r="1475" spans="1:15" x14ac:dyDescent="0.25">
      <c r="A1475" t="s">
        <v>2453</v>
      </c>
      <c r="B1475" t="s">
        <v>2454</v>
      </c>
      <c r="C1475">
        <v>166451</v>
      </c>
      <c r="D1475">
        <v>166451</v>
      </c>
      <c r="H1475">
        <v>10</v>
      </c>
      <c r="I1475">
        <v>40</v>
      </c>
      <c r="J1475">
        <v>10</v>
      </c>
      <c r="K1475">
        <v>10</v>
      </c>
      <c r="L1475">
        <v>10</v>
      </c>
      <c r="M1475">
        <v>80</v>
      </c>
    </row>
    <row r="1476" spans="1:15" x14ac:dyDescent="0.25">
      <c r="A1476" t="s">
        <v>2455</v>
      </c>
      <c r="B1476" t="s">
        <v>1199</v>
      </c>
      <c r="C1476">
        <v>168552</v>
      </c>
      <c r="D1476">
        <v>168552</v>
      </c>
      <c r="H1476">
        <v>20</v>
      </c>
      <c r="I1476">
        <v>50</v>
      </c>
      <c r="J1476">
        <v>20</v>
      </c>
      <c r="K1476">
        <v>0</v>
      </c>
      <c r="L1476">
        <v>10</v>
      </c>
      <c r="M1476">
        <v>100</v>
      </c>
    </row>
    <row r="1477" spans="1:15" x14ac:dyDescent="0.25">
      <c r="A1477" t="s">
        <v>2456</v>
      </c>
      <c r="B1477" t="s">
        <v>2457</v>
      </c>
      <c r="C1477">
        <v>167210</v>
      </c>
      <c r="D1477">
        <v>167210</v>
      </c>
      <c r="H1477">
        <v>0</v>
      </c>
      <c r="I1477">
        <v>20</v>
      </c>
      <c r="J1477">
        <v>0</v>
      </c>
      <c r="K1477">
        <v>10</v>
      </c>
      <c r="L1477">
        <v>10</v>
      </c>
      <c r="M1477">
        <v>40</v>
      </c>
    </row>
    <row r="1478" spans="1:15" x14ac:dyDescent="0.25">
      <c r="A1478" t="s">
        <v>2458</v>
      </c>
      <c r="B1478" t="s">
        <v>2459</v>
      </c>
      <c r="C1478">
        <v>166448</v>
      </c>
      <c r="D1478">
        <v>166448</v>
      </c>
      <c r="H1478">
        <v>10</v>
      </c>
      <c r="I1478">
        <v>40</v>
      </c>
      <c r="J1478">
        <v>20</v>
      </c>
      <c r="K1478">
        <v>10</v>
      </c>
      <c r="L1478">
        <v>0</v>
      </c>
      <c r="M1478">
        <v>80</v>
      </c>
    </row>
    <row r="1479" spans="1:15" x14ac:dyDescent="0.25">
      <c r="A1479" t="s">
        <v>2460</v>
      </c>
      <c r="B1479" t="s">
        <v>1219</v>
      </c>
      <c r="C1479">
        <v>165450</v>
      </c>
      <c r="D1479">
        <v>165450</v>
      </c>
      <c r="E1479">
        <v>30</v>
      </c>
      <c r="F1479">
        <v>10</v>
      </c>
      <c r="G1479">
        <v>40</v>
      </c>
      <c r="O1479">
        <v>80</v>
      </c>
    </row>
    <row r="1480" spans="1:15" x14ac:dyDescent="0.25">
      <c r="A1480" t="s">
        <v>2461</v>
      </c>
      <c r="B1480" t="s">
        <v>2462</v>
      </c>
      <c r="C1480">
        <v>165545</v>
      </c>
      <c r="D1480">
        <v>165545</v>
      </c>
      <c r="H1480">
        <v>10</v>
      </c>
      <c r="I1480">
        <v>40</v>
      </c>
      <c r="J1480">
        <v>10</v>
      </c>
      <c r="K1480">
        <v>10</v>
      </c>
      <c r="L1480">
        <v>10</v>
      </c>
      <c r="M1480">
        <v>80</v>
      </c>
    </row>
    <row r="1481" spans="1:15" x14ac:dyDescent="0.25">
      <c r="A1481" t="s">
        <v>2463</v>
      </c>
      <c r="B1481" t="s">
        <v>2464</v>
      </c>
      <c r="C1481">
        <v>168208</v>
      </c>
      <c r="D1481">
        <v>168208</v>
      </c>
      <c r="H1481">
        <v>10</v>
      </c>
      <c r="I1481">
        <v>40</v>
      </c>
      <c r="J1481">
        <v>20</v>
      </c>
      <c r="K1481">
        <v>10</v>
      </c>
      <c r="L1481">
        <v>10</v>
      </c>
      <c r="M1481">
        <v>90</v>
      </c>
    </row>
    <row r="1482" spans="1:15" x14ac:dyDescent="0.25">
      <c r="A1482" t="s">
        <v>2465</v>
      </c>
      <c r="B1482" t="s">
        <v>2466</v>
      </c>
      <c r="C1482">
        <v>167488</v>
      </c>
      <c r="D1482">
        <v>167488</v>
      </c>
      <c r="H1482">
        <v>20</v>
      </c>
      <c r="I1482">
        <v>0</v>
      </c>
      <c r="J1482">
        <v>20</v>
      </c>
      <c r="K1482">
        <v>10</v>
      </c>
      <c r="L1482">
        <v>10</v>
      </c>
      <c r="M1482">
        <v>60</v>
      </c>
    </row>
    <row r="1483" spans="1:15" x14ac:dyDescent="0.25">
      <c r="A1483" t="s">
        <v>2467</v>
      </c>
      <c r="B1483" t="s">
        <v>1577</v>
      </c>
      <c r="C1483">
        <v>162849</v>
      </c>
      <c r="D1483">
        <v>162849</v>
      </c>
      <c r="H1483">
        <v>10</v>
      </c>
      <c r="I1483">
        <v>10</v>
      </c>
      <c r="J1483">
        <v>10</v>
      </c>
      <c r="K1483">
        <v>0</v>
      </c>
      <c r="L1483">
        <v>0</v>
      </c>
      <c r="M1483">
        <v>30</v>
      </c>
    </row>
    <row r="1484" spans="1:15" x14ac:dyDescent="0.25">
      <c r="A1484" t="s">
        <v>2468</v>
      </c>
      <c r="B1484" t="s">
        <v>2469</v>
      </c>
      <c r="C1484">
        <v>166175</v>
      </c>
      <c r="D1484">
        <v>166175</v>
      </c>
      <c r="E1484">
        <v>30</v>
      </c>
      <c r="F1484">
        <v>20</v>
      </c>
      <c r="G1484">
        <v>50</v>
      </c>
      <c r="O1484">
        <v>100</v>
      </c>
    </row>
    <row r="1485" spans="1:15" x14ac:dyDescent="0.25">
      <c r="A1485" t="s">
        <v>2470</v>
      </c>
      <c r="B1485" t="s">
        <v>2471</v>
      </c>
      <c r="C1485">
        <v>167325</v>
      </c>
      <c r="D1485">
        <v>167325</v>
      </c>
      <c r="H1485">
        <v>10</v>
      </c>
      <c r="I1485">
        <v>40</v>
      </c>
      <c r="J1485">
        <v>20</v>
      </c>
      <c r="K1485">
        <v>10</v>
      </c>
      <c r="L1485">
        <v>0</v>
      </c>
      <c r="M1485">
        <v>80</v>
      </c>
    </row>
    <row r="1486" spans="1:15" x14ac:dyDescent="0.25">
      <c r="A1486" t="s">
        <v>2472</v>
      </c>
      <c r="B1486" t="s">
        <v>2473</v>
      </c>
      <c r="C1486">
        <v>167270</v>
      </c>
      <c r="D1486">
        <v>167270</v>
      </c>
      <c r="H1486">
        <v>0</v>
      </c>
      <c r="I1486">
        <v>0</v>
      </c>
      <c r="J1486">
        <v>20</v>
      </c>
      <c r="K1486">
        <v>10</v>
      </c>
      <c r="L1486">
        <v>0</v>
      </c>
      <c r="M1486">
        <v>30</v>
      </c>
    </row>
    <row r="1487" spans="1:15" x14ac:dyDescent="0.25">
      <c r="A1487" t="s">
        <v>2474</v>
      </c>
      <c r="B1487" t="s">
        <v>963</v>
      </c>
      <c r="C1487">
        <v>166147</v>
      </c>
      <c r="D1487">
        <v>166147</v>
      </c>
      <c r="E1487">
        <v>40</v>
      </c>
      <c r="F1487">
        <v>30</v>
      </c>
      <c r="G1487">
        <v>20</v>
      </c>
      <c r="O1487">
        <v>90</v>
      </c>
    </row>
    <row r="1488" spans="1:15" x14ac:dyDescent="0.25">
      <c r="A1488" t="s">
        <v>2475</v>
      </c>
      <c r="B1488" t="s">
        <v>2476</v>
      </c>
      <c r="C1488">
        <v>166822</v>
      </c>
      <c r="D1488">
        <v>166822</v>
      </c>
      <c r="H1488">
        <v>10</v>
      </c>
      <c r="I1488">
        <v>60</v>
      </c>
      <c r="J1488">
        <v>20</v>
      </c>
      <c r="K1488">
        <v>10</v>
      </c>
      <c r="L1488">
        <v>10</v>
      </c>
      <c r="M1488">
        <v>110</v>
      </c>
    </row>
    <row r="1489" spans="1:15" x14ac:dyDescent="0.25">
      <c r="A1489" t="s">
        <v>2475</v>
      </c>
      <c r="B1489" t="s">
        <v>944</v>
      </c>
      <c r="C1489">
        <v>166400</v>
      </c>
      <c r="D1489">
        <v>166400</v>
      </c>
    </row>
    <row r="1490" spans="1:15" x14ac:dyDescent="0.25">
      <c r="A1490" t="s">
        <v>2477</v>
      </c>
      <c r="B1490" t="s">
        <v>1701</v>
      </c>
      <c r="C1490">
        <v>163190</v>
      </c>
      <c r="D1490">
        <v>163190</v>
      </c>
      <c r="E1490">
        <v>50</v>
      </c>
      <c r="F1490">
        <v>20</v>
      </c>
      <c r="G1490">
        <v>50</v>
      </c>
      <c r="O1490">
        <v>120</v>
      </c>
    </row>
    <row r="1491" spans="1:15" x14ac:dyDescent="0.25">
      <c r="A1491" t="s">
        <v>2478</v>
      </c>
      <c r="B1491" t="s">
        <v>2479</v>
      </c>
      <c r="C1491">
        <v>166519</v>
      </c>
      <c r="D1491">
        <v>166519</v>
      </c>
    </row>
    <row r="1492" spans="1:15" x14ac:dyDescent="0.25">
      <c r="A1492" t="s">
        <v>2480</v>
      </c>
      <c r="B1492" t="s">
        <v>49</v>
      </c>
      <c r="C1492">
        <v>166852</v>
      </c>
      <c r="D1492">
        <v>166852</v>
      </c>
      <c r="H1492">
        <v>0</v>
      </c>
      <c r="I1492">
        <v>0</v>
      </c>
      <c r="J1492">
        <v>10</v>
      </c>
      <c r="K1492">
        <v>10</v>
      </c>
      <c r="L1492">
        <v>0</v>
      </c>
      <c r="M1492">
        <v>20</v>
      </c>
    </row>
    <row r="1493" spans="1:15" x14ac:dyDescent="0.25">
      <c r="A1493" t="s">
        <v>2481</v>
      </c>
      <c r="B1493" t="s">
        <v>2482</v>
      </c>
      <c r="C1493">
        <v>156299</v>
      </c>
      <c r="D1493">
        <v>156299</v>
      </c>
    </row>
    <row r="1494" spans="1:15" x14ac:dyDescent="0.25">
      <c r="A1494" t="s">
        <v>2483</v>
      </c>
      <c r="B1494" t="s">
        <v>2484</v>
      </c>
      <c r="C1494">
        <v>165331</v>
      </c>
      <c r="D1494">
        <v>165331</v>
      </c>
      <c r="H1494">
        <v>0</v>
      </c>
      <c r="I1494">
        <v>40</v>
      </c>
      <c r="J1494">
        <v>10</v>
      </c>
      <c r="K1494">
        <v>10</v>
      </c>
      <c r="L1494">
        <v>0</v>
      </c>
      <c r="M1494">
        <v>60</v>
      </c>
    </row>
    <row r="1495" spans="1:15" x14ac:dyDescent="0.25">
      <c r="A1495" t="s">
        <v>2485</v>
      </c>
      <c r="B1495" t="s">
        <v>340</v>
      </c>
      <c r="C1495">
        <v>167834</v>
      </c>
      <c r="D1495">
        <v>167834</v>
      </c>
      <c r="E1495">
        <v>20</v>
      </c>
      <c r="F1495">
        <v>0</v>
      </c>
      <c r="G1495">
        <v>20</v>
      </c>
      <c r="O1495">
        <v>40</v>
      </c>
    </row>
    <row r="1496" spans="1:15" x14ac:dyDescent="0.25">
      <c r="A1496" t="s">
        <v>2486</v>
      </c>
      <c r="B1496" t="s">
        <v>2487</v>
      </c>
      <c r="C1496">
        <v>166299</v>
      </c>
      <c r="D1496">
        <v>166299</v>
      </c>
      <c r="E1496">
        <v>30</v>
      </c>
      <c r="F1496">
        <v>0</v>
      </c>
      <c r="G1496">
        <v>20</v>
      </c>
      <c r="O1496">
        <v>50</v>
      </c>
    </row>
    <row r="1497" spans="1:15" x14ac:dyDescent="0.25">
      <c r="A1497" t="s">
        <v>2488</v>
      </c>
      <c r="B1497" t="s">
        <v>797</v>
      </c>
      <c r="C1497">
        <v>166751</v>
      </c>
      <c r="D1497">
        <v>166751</v>
      </c>
      <c r="H1497">
        <v>10</v>
      </c>
      <c r="I1497">
        <v>50</v>
      </c>
      <c r="J1497">
        <v>10</v>
      </c>
      <c r="K1497">
        <v>0</v>
      </c>
      <c r="L1497">
        <v>0</v>
      </c>
      <c r="M1497">
        <v>70</v>
      </c>
    </row>
    <row r="1498" spans="1:15" x14ac:dyDescent="0.25">
      <c r="A1498" t="s">
        <v>2489</v>
      </c>
      <c r="B1498" t="s">
        <v>2490</v>
      </c>
      <c r="C1498">
        <v>165024</v>
      </c>
      <c r="D1498">
        <v>165024</v>
      </c>
      <c r="H1498">
        <v>0</v>
      </c>
      <c r="I1498">
        <v>10</v>
      </c>
      <c r="J1498">
        <v>10</v>
      </c>
      <c r="K1498">
        <v>0</v>
      </c>
      <c r="L1498">
        <v>10</v>
      </c>
      <c r="M1498">
        <v>30</v>
      </c>
    </row>
    <row r="1499" spans="1:15" x14ac:dyDescent="0.25">
      <c r="A1499" t="s">
        <v>2491</v>
      </c>
      <c r="B1499" t="s">
        <v>121</v>
      </c>
      <c r="C1499">
        <v>167475</v>
      </c>
      <c r="D1499">
        <v>167475</v>
      </c>
      <c r="H1499">
        <v>20</v>
      </c>
      <c r="I1499">
        <v>40</v>
      </c>
      <c r="J1499">
        <v>10</v>
      </c>
      <c r="K1499">
        <v>0</v>
      </c>
      <c r="M1499">
        <v>70</v>
      </c>
    </row>
    <row r="1500" spans="1:15" x14ac:dyDescent="0.25">
      <c r="A1500" t="s">
        <v>2492</v>
      </c>
      <c r="B1500" t="s">
        <v>1442</v>
      </c>
      <c r="C1500">
        <v>166273</v>
      </c>
      <c r="D1500">
        <v>166273</v>
      </c>
    </row>
    <row r="1501" spans="1:15" x14ac:dyDescent="0.25">
      <c r="A1501" t="s">
        <v>2493</v>
      </c>
      <c r="B1501" t="s">
        <v>396</v>
      </c>
      <c r="C1501">
        <v>166288</v>
      </c>
      <c r="D1501">
        <v>166288</v>
      </c>
      <c r="H1501">
        <v>10</v>
      </c>
      <c r="I1501">
        <v>60</v>
      </c>
      <c r="J1501">
        <v>20</v>
      </c>
      <c r="K1501">
        <v>10</v>
      </c>
      <c r="L1501">
        <v>10</v>
      </c>
      <c r="M1501">
        <v>110</v>
      </c>
    </row>
    <row r="1502" spans="1:15" x14ac:dyDescent="0.25">
      <c r="A1502" t="s">
        <v>2494</v>
      </c>
      <c r="B1502" t="s">
        <v>75</v>
      </c>
      <c r="C1502">
        <v>166061</v>
      </c>
      <c r="D1502">
        <v>166061</v>
      </c>
    </row>
    <row r="1503" spans="1:15" x14ac:dyDescent="0.25">
      <c r="A1503" t="s">
        <v>2495</v>
      </c>
      <c r="B1503" t="s">
        <v>2496</v>
      </c>
      <c r="C1503">
        <v>165109</v>
      </c>
      <c r="D1503">
        <v>165109</v>
      </c>
    </row>
    <row r="1504" spans="1:15" x14ac:dyDescent="0.25">
      <c r="A1504" t="s">
        <v>2497</v>
      </c>
      <c r="B1504" t="s">
        <v>57</v>
      </c>
      <c r="C1504">
        <v>166702</v>
      </c>
      <c r="D1504">
        <v>166702</v>
      </c>
      <c r="H1504">
        <v>10</v>
      </c>
      <c r="I1504">
        <v>40</v>
      </c>
      <c r="J1504">
        <v>20</v>
      </c>
      <c r="K1504">
        <v>10</v>
      </c>
      <c r="L1504">
        <v>10</v>
      </c>
      <c r="M1504">
        <v>90</v>
      </c>
    </row>
    <row r="1505" spans="1:15" x14ac:dyDescent="0.25">
      <c r="A1505" t="s">
        <v>2498</v>
      </c>
      <c r="B1505" t="s">
        <v>228</v>
      </c>
      <c r="C1505">
        <v>167190</v>
      </c>
      <c r="D1505">
        <v>167190</v>
      </c>
      <c r="H1505">
        <v>20</v>
      </c>
      <c r="I1505">
        <v>30</v>
      </c>
      <c r="J1505">
        <v>10</v>
      </c>
      <c r="K1505">
        <v>0</v>
      </c>
      <c r="L1505">
        <v>0</v>
      </c>
      <c r="M1505">
        <v>60</v>
      </c>
    </row>
    <row r="1506" spans="1:15" x14ac:dyDescent="0.25">
      <c r="A1506" t="s">
        <v>2499</v>
      </c>
      <c r="B1506" t="s">
        <v>2500</v>
      </c>
      <c r="C1506">
        <v>165904</v>
      </c>
      <c r="D1506">
        <v>165904</v>
      </c>
      <c r="E1506">
        <v>40</v>
      </c>
      <c r="F1506">
        <v>0</v>
      </c>
      <c r="G1506">
        <v>60</v>
      </c>
      <c r="O1506">
        <v>100</v>
      </c>
    </row>
    <row r="1507" spans="1:15" x14ac:dyDescent="0.25">
      <c r="A1507" t="s">
        <v>2501</v>
      </c>
      <c r="B1507" t="s">
        <v>486</v>
      </c>
      <c r="C1507">
        <v>167121</v>
      </c>
      <c r="D1507">
        <v>167121</v>
      </c>
      <c r="H1507">
        <v>10</v>
      </c>
      <c r="I1507">
        <v>40</v>
      </c>
      <c r="J1507">
        <v>10</v>
      </c>
      <c r="K1507">
        <v>10</v>
      </c>
      <c r="L1507">
        <v>10</v>
      </c>
      <c r="M1507">
        <v>80</v>
      </c>
    </row>
    <row r="1508" spans="1:15" x14ac:dyDescent="0.25">
      <c r="A1508" t="s">
        <v>2502</v>
      </c>
      <c r="B1508" t="s">
        <v>1743</v>
      </c>
      <c r="C1508">
        <v>165335</v>
      </c>
      <c r="D1508">
        <v>165335</v>
      </c>
    </row>
    <row r="1509" spans="1:15" x14ac:dyDescent="0.25">
      <c r="A1509" t="s">
        <v>2503</v>
      </c>
      <c r="B1509" t="s">
        <v>2504</v>
      </c>
      <c r="C1509">
        <v>168329</v>
      </c>
      <c r="D1509">
        <v>168329</v>
      </c>
      <c r="E1509">
        <v>40</v>
      </c>
      <c r="F1509">
        <v>20</v>
      </c>
      <c r="G1509">
        <v>30</v>
      </c>
      <c r="O1509">
        <v>90</v>
      </c>
    </row>
    <row r="1510" spans="1:15" x14ac:dyDescent="0.25">
      <c r="A1510" t="s">
        <v>2505</v>
      </c>
      <c r="B1510" t="s">
        <v>489</v>
      </c>
      <c r="C1510">
        <v>163690</v>
      </c>
      <c r="D1510">
        <v>163690</v>
      </c>
      <c r="E1510">
        <v>40</v>
      </c>
      <c r="F1510">
        <v>10</v>
      </c>
      <c r="G1510">
        <v>10</v>
      </c>
      <c r="O1510">
        <v>60</v>
      </c>
    </row>
    <row r="1511" spans="1:15" x14ac:dyDescent="0.25">
      <c r="A1511" t="s">
        <v>2506</v>
      </c>
      <c r="B1511" t="s">
        <v>1978</v>
      </c>
      <c r="C1511">
        <v>164526</v>
      </c>
      <c r="D1511">
        <v>164526</v>
      </c>
      <c r="E1511">
        <v>50</v>
      </c>
      <c r="F1511">
        <v>30</v>
      </c>
      <c r="G1511">
        <v>30</v>
      </c>
      <c r="O1511">
        <v>110</v>
      </c>
    </row>
    <row r="1512" spans="1:15" x14ac:dyDescent="0.25">
      <c r="A1512" t="s">
        <v>2507</v>
      </c>
      <c r="B1512" t="s">
        <v>2412</v>
      </c>
      <c r="C1512">
        <v>166099</v>
      </c>
      <c r="D1512">
        <v>166099</v>
      </c>
      <c r="H1512">
        <v>20</v>
      </c>
      <c r="I1512">
        <v>40</v>
      </c>
      <c r="J1512">
        <v>20</v>
      </c>
      <c r="K1512">
        <v>10</v>
      </c>
      <c r="L1512">
        <v>0</v>
      </c>
      <c r="M1512">
        <v>90</v>
      </c>
    </row>
    <row r="1513" spans="1:15" x14ac:dyDescent="0.25">
      <c r="A1513" t="s">
        <v>2508</v>
      </c>
      <c r="B1513" t="s">
        <v>2509</v>
      </c>
      <c r="C1513">
        <v>165950</v>
      </c>
      <c r="D1513">
        <v>165950</v>
      </c>
    </row>
    <row r="1514" spans="1:15" x14ac:dyDescent="0.25">
      <c r="A1514" t="s">
        <v>2510</v>
      </c>
      <c r="B1514" t="s">
        <v>49</v>
      </c>
      <c r="C1514">
        <v>168559</v>
      </c>
      <c r="D1514">
        <v>168559</v>
      </c>
    </row>
    <row r="1515" spans="1:15" x14ac:dyDescent="0.25">
      <c r="A1515" t="s">
        <v>2511</v>
      </c>
      <c r="B1515" t="s">
        <v>286</v>
      </c>
      <c r="C1515">
        <v>165942</v>
      </c>
      <c r="D1515">
        <v>165942</v>
      </c>
      <c r="H1515">
        <v>10</v>
      </c>
      <c r="I1515">
        <v>40</v>
      </c>
      <c r="J1515">
        <v>20</v>
      </c>
      <c r="K1515">
        <v>10</v>
      </c>
      <c r="L1515">
        <v>10</v>
      </c>
      <c r="M1515">
        <v>90</v>
      </c>
    </row>
    <row r="1516" spans="1:15" x14ac:dyDescent="0.25">
      <c r="A1516" t="s">
        <v>2512</v>
      </c>
      <c r="B1516" t="s">
        <v>904</v>
      </c>
      <c r="C1516">
        <v>167184</v>
      </c>
      <c r="D1516">
        <v>167184</v>
      </c>
      <c r="E1516">
        <v>30</v>
      </c>
      <c r="F1516">
        <v>20</v>
      </c>
      <c r="G1516">
        <v>20</v>
      </c>
      <c r="O1516">
        <v>70</v>
      </c>
    </row>
    <row r="1517" spans="1:15" x14ac:dyDescent="0.25">
      <c r="A1517" t="s">
        <v>2513</v>
      </c>
      <c r="B1517" t="s">
        <v>2514</v>
      </c>
      <c r="C1517">
        <v>167439</v>
      </c>
      <c r="D1517">
        <v>167439</v>
      </c>
      <c r="E1517">
        <v>20</v>
      </c>
      <c r="F1517">
        <v>30</v>
      </c>
      <c r="G1517">
        <v>50</v>
      </c>
      <c r="O1517">
        <v>100</v>
      </c>
    </row>
    <row r="1518" spans="1:15" x14ac:dyDescent="0.25">
      <c r="A1518" t="s">
        <v>2515</v>
      </c>
      <c r="B1518" t="s">
        <v>2516</v>
      </c>
      <c r="C1518">
        <v>165492</v>
      </c>
      <c r="D1518">
        <v>165492</v>
      </c>
      <c r="E1518">
        <v>10</v>
      </c>
      <c r="F1518">
        <v>10</v>
      </c>
      <c r="G1518">
        <v>10</v>
      </c>
      <c r="O1518">
        <v>30</v>
      </c>
    </row>
    <row r="1519" spans="1:15" x14ac:dyDescent="0.25">
      <c r="A1519" t="s">
        <v>2517</v>
      </c>
      <c r="B1519" t="s">
        <v>2518</v>
      </c>
      <c r="C1519">
        <v>168247</v>
      </c>
      <c r="D1519">
        <v>168247</v>
      </c>
      <c r="E1519">
        <v>40</v>
      </c>
      <c r="F1519">
        <v>10</v>
      </c>
      <c r="G1519">
        <v>20</v>
      </c>
      <c r="O1519">
        <v>70</v>
      </c>
    </row>
    <row r="1520" spans="1:15" x14ac:dyDescent="0.25">
      <c r="A1520" t="s">
        <v>2519</v>
      </c>
      <c r="B1520" t="s">
        <v>367</v>
      </c>
      <c r="C1520">
        <v>168138</v>
      </c>
      <c r="D1520">
        <v>168138</v>
      </c>
      <c r="H1520">
        <v>20</v>
      </c>
      <c r="I1520">
        <v>40</v>
      </c>
      <c r="J1520">
        <v>10</v>
      </c>
      <c r="K1520">
        <v>10</v>
      </c>
      <c r="L1520">
        <v>10</v>
      </c>
      <c r="M1520">
        <v>90</v>
      </c>
    </row>
    <row r="1521" spans="1:15" x14ac:dyDescent="0.25">
      <c r="A1521" t="s">
        <v>2520</v>
      </c>
      <c r="B1521" t="s">
        <v>2521</v>
      </c>
      <c r="C1521">
        <v>168297</v>
      </c>
      <c r="D1521">
        <v>168297</v>
      </c>
      <c r="H1521">
        <v>20</v>
      </c>
      <c r="I1521">
        <v>40</v>
      </c>
      <c r="J1521">
        <v>20</v>
      </c>
      <c r="K1521">
        <v>10</v>
      </c>
      <c r="L1521">
        <v>0</v>
      </c>
      <c r="M1521">
        <v>90</v>
      </c>
    </row>
    <row r="1522" spans="1:15" x14ac:dyDescent="0.25">
      <c r="A1522" t="s">
        <v>2520</v>
      </c>
      <c r="B1522" t="s">
        <v>2522</v>
      </c>
      <c r="C1522">
        <v>166945</v>
      </c>
      <c r="D1522">
        <v>166945</v>
      </c>
      <c r="H1522">
        <v>20</v>
      </c>
      <c r="I1522">
        <v>50</v>
      </c>
      <c r="J1522">
        <v>20</v>
      </c>
      <c r="K1522">
        <v>0</v>
      </c>
      <c r="L1522">
        <v>0</v>
      </c>
      <c r="M1522">
        <v>90</v>
      </c>
    </row>
    <row r="1523" spans="1:15" x14ac:dyDescent="0.25">
      <c r="A1523" t="s">
        <v>2520</v>
      </c>
      <c r="B1523" t="s">
        <v>2523</v>
      </c>
      <c r="C1523">
        <v>167755</v>
      </c>
      <c r="D1523">
        <v>167755</v>
      </c>
      <c r="E1523">
        <v>10</v>
      </c>
      <c r="O1523">
        <v>10</v>
      </c>
    </row>
    <row r="1524" spans="1:15" x14ac:dyDescent="0.25">
      <c r="A1524" t="s">
        <v>2524</v>
      </c>
      <c r="B1524" t="s">
        <v>2525</v>
      </c>
      <c r="C1524">
        <v>162827</v>
      </c>
      <c r="D1524">
        <v>162827</v>
      </c>
      <c r="E1524">
        <v>40</v>
      </c>
      <c r="F1524">
        <v>40</v>
      </c>
      <c r="G1524">
        <v>40</v>
      </c>
      <c r="O1524">
        <v>120</v>
      </c>
    </row>
    <row r="1525" spans="1:15" x14ac:dyDescent="0.25">
      <c r="A1525" t="s">
        <v>2526</v>
      </c>
      <c r="B1525" t="s">
        <v>2527</v>
      </c>
      <c r="C1525">
        <v>167636</v>
      </c>
      <c r="D1525">
        <v>167636</v>
      </c>
      <c r="H1525">
        <v>0</v>
      </c>
      <c r="I1525">
        <v>30</v>
      </c>
      <c r="J1525">
        <v>10</v>
      </c>
      <c r="K1525">
        <v>0</v>
      </c>
      <c r="L1525">
        <v>0</v>
      </c>
      <c r="M1525">
        <v>40</v>
      </c>
    </row>
    <row r="1526" spans="1:15" x14ac:dyDescent="0.25">
      <c r="A1526" t="s">
        <v>2526</v>
      </c>
      <c r="B1526" t="s">
        <v>2528</v>
      </c>
      <c r="C1526">
        <v>166767</v>
      </c>
      <c r="D1526">
        <v>166767</v>
      </c>
      <c r="H1526">
        <v>0</v>
      </c>
      <c r="I1526">
        <v>30</v>
      </c>
      <c r="J1526">
        <v>20</v>
      </c>
      <c r="K1526">
        <v>0</v>
      </c>
      <c r="L1526">
        <v>10</v>
      </c>
      <c r="M1526">
        <v>60</v>
      </c>
    </row>
    <row r="1527" spans="1:15" x14ac:dyDescent="0.25">
      <c r="A1527" t="s">
        <v>2529</v>
      </c>
      <c r="B1527" t="s">
        <v>2530</v>
      </c>
      <c r="C1527">
        <v>165387</v>
      </c>
      <c r="D1527">
        <v>165387</v>
      </c>
      <c r="E1527">
        <v>30</v>
      </c>
      <c r="F1527">
        <v>30</v>
      </c>
      <c r="G1527">
        <v>30</v>
      </c>
      <c r="N1527" t="s">
        <v>549</v>
      </c>
      <c r="O1527">
        <v>90</v>
      </c>
    </row>
    <row r="1528" spans="1:15" x14ac:dyDescent="0.25">
      <c r="A1528" t="s">
        <v>2531</v>
      </c>
      <c r="B1528" t="s">
        <v>2532</v>
      </c>
      <c r="C1528">
        <v>166329</v>
      </c>
      <c r="D1528">
        <v>166329</v>
      </c>
      <c r="H1528">
        <v>20</v>
      </c>
      <c r="I1528">
        <v>40</v>
      </c>
      <c r="J1528">
        <v>10</v>
      </c>
      <c r="K1528">
        <v>10</v>
      </c>
      <c r="L1528">
        <v>0</v>
      </c>
      <c r="M1528">
        <v>80</v>
      </c>
    </row>
    <row r="1529" spans="1:15" x14ac:dyDescent="0.25">
      <c r="A1529" t="s">
        <v>2533</v>
      </c>
      <c r="B1529" t="s">
        <v>340</v>
      </c>
      <c r="C1529">
        <v>168437</v>
      </c>
      <c r="D1529">
        <v>168437</v>
      </c>
      <c r="E1529">
        <v>10</v>
      </c>
      <c r="F1529">
        <v>10</v>
      </c>
      <c r="G1529">
        <v>30</v>
      </c>
      <c r="O1529">
        <v>50</v>
      </c>
    </row>
    <row r="1530" spans="1:15" x14ac:dyDescent="0.25">
      <c r="A1530" t="s">
        <v>2534</v>
      </c>
      <c r="B1530" t="s">
        <v>677</v>
      </c>
      <c r="C1530">
        <v>168228</v>
      </c>
      <c r="D1530">
        <v>168228</v>
      </c>
      <c r="H1530">
        <v>0</v>
      </c>
      <c r="I1530">
        <v>30</v>
      </c>
      <c r="J1530">
        <v>0</v>
      </c>
      <c r="K1530">
        <v>10</v>
      </c>
      <c r="L1530">
        <v>10</v>
      </c>
      <c r="M1530">
        <v>50</v>
      </c>
    </row>
    <row r="1531" spans="1:15" x14ac:dyDescent="0.25">
      <c r="A1531" t="s">
        <v>2535</v>
      </c>
      <c r="B1531" t="s">
        <v>1499</v>
      </c>
      <c r="C1531">
        <v>160657</v>
      </c>
      <c r="D1531">
        <v>160657</v>
      </c>
    </row>
    <row r="1532" spans="1:15" x14ac:dyDescent="0.25">
      <c r="A1532" t="s">
        <v>2536</v>
      </c>
      <c r="B1532" t="s">
        <v>2537</v>
      </c>
      <c r="C1532">
        <v>168794</v>
      </c>
      <c r="D1532">
        <v>168794</v>
      </c>
      <c r="H1532">
        <v>10</v>
      </c>
      <c r="I1532">
        <v>30</v>
      </c>
      <c r="J1532">
        <v>20</v>
      </c>
      <c r="K1532">
        <v>10</v>
      </c>
      <c r="L1532">
        <v>10</v>
      </c>
      <c r="M1532">
        <v>80</v>
      </c>
    </row>
    <row r="1533" spans="1:15" x14ac:dyDescent="0.25">
      <c r="A1533" t="s">
        <v>2538</v>
      </c>
      <c r="B1533" t="s">
        <v>2539</v>
      </c>
      <c r="C1533">
        <v>166320</v>
      </c>
      <c r="D1533">
        <v>166320</v>
      </c>
      <c r="H1533">
        <v>10</v>
      </c>
      <c r="I1533">
        <v>50</v>
      </c>
      <c r="J1533">
        <v>10</v>
      </c>
      <c r="K1533">
        <v>10</v>
      </c>
      <c r="L1533">
        <v>10</v>
      </c>
      <c r="M1533">
        <v>90</v>
      </c>
    </row>
    <row r="1534" spans="1:15" x14ac:dyDescent="0.25">
      <c r="A1534" t="s">
        <v>2540</v>
      </c>
      <c r="B1534" t="s">
        <v>2541</v>
      </c>
      <c r="C1534">
        <v>168358</v>
      </c>
      <c r="D1534">
        <v>168358</v>
      </c>
      <c r="E1534">
        <v>40</v>
      </c>
      <c r="F1534">
        <v>20</v>
      </c>
      <c r="G1534">
        <v>40</v>
      </c>
      <c r="O1534">
        <v>100</v>
      </c>
    </row>
    <row r="1535" spans="1:15" x14ac:dyDescent="0.25">
      <c r="A1535" t="s">
        <v>2542</v>
      </c>
      <c r="B1535" t="s">
        <v>2543</v>
      </c>
      <c r="C1535">
        <v>160047</v>
      </c>
      <c r="D1535">
        <v>160047</v>
      </c>
      <c r="E1535">
        <v>30</v>
      </c>
      <c r="O1535">
        <v>30</v>
      </c>
    </row>
    <row r="1536" spans="1:15" x14ac:dyDescent="0.25">
      <c r="A1536" t="s">
        <v>2542</v>
      </c>
      <c r="B1536" t="s">
        <v>2544</v>
      </c>
      <c r="C1536">
        <v>167403</v>
      </c>
      <c r="D1536">
        <v>167403</v>
      </c>
      <c r="H1536">
        <v>10</v>
      </c>
      <c r="I1536">
        <v>30</v>
      </c>
      <c r="J1536">
        <v>10</v>
      </c>
      <c r="K1536">
        <v>0</v>
      </c>
      <c r="L1536">
        <v>0</v>
      </c>
      <c r="M1536">
        <v>50</v>
      </c>
    </row>
    <row r="1537" spans="1:18" x14ac:dyDescent="0.25">
      <c r="A1537" t="s">
        <v>2545</v>
      </c>
      <c r="B1537" t="s">
        <v>2546</v>
      </c>
      <c r="C1537">
        <v>168841</v>
      </c>
      <c r="D1537">
        <v>168841</v>
      </c>
      <c r="E1537">
        <v>20</v>
      </c>
      <c r="F1537">
        <v>20</v>
      </c>
      <c r="G1537">
        <v>10</v>
      </c>
      <c r="O1537">
        <v>50</v>
      </c>
    </row>
    <row r="1538" spans="1:18" x14ac:dyDescent="0.25">
      <c r="A1538" t="s">
        <v>2547</v>
      </c>
      <c r="B1538" t="s">
        <v>982</v>
      </c>
      <c r="C1538">
        <v>166520</v>
      </c>
      <c r="D1538">
        <v>166520</v>
      </c>
      <c r="H1538">
        <v>10</v>
      </c>
      <c r="I1538">
        <v>50</v>
      </c>
      <c r="J1538">
        <v>20</v>
      </c>
      <c r="K1538">
        <v>10</v>
      </c>
      <c r="L1538">
        <v>0</v>
      </c>
      <c r="M1538">
        <v>90</v>
      </c>
    </row>
    <row r="1539" spans="1:18" x14ac:dyDescent="0.25">
      <c r="A1539" t="s">
        <v>2548</v>
      </c>
      <c r="B1539" t="s">
        <v>2518</v>
      </c>
      <c r="C1539">
        <v>168514</v>
      </c>
      <c r="D1539">
        <v>168514</v>
      </c>
    </row>
    <row r="1540" spans="1:18" x14ac:dyDescent="0.25">
      <c r="A1540" t="s">
        <v>2549</v>
      </c>
      <c r="B1540" t="s">
        <v>2550</v>
      </c>
      <c r="C1540">
        <v>168376</v>
      </c>
      <c r="D1540">
        <v>168376</v>
      </c>
    </row>
    <row r="1541" spans="1:18" x14ac:dyDescent="0.25">
      <c r="A1541" t="s">
        <v>2551</v>
      </c>
      <c r="B1541" t="s">
        <v>1065</v>
      </c>
      <c r="C1541">
        <v>166185</v>
      </c>
      <c r="D1541">
        <v>166185</v>
      </c>
      <c r="E1541">
        <v>30</v>
      </c>
      <c r="F1541">
        <v>30</v>
      </c>
      <c r="G1541">
        <v>30</v>
      </c>
      <c r="O1541">
        <v>90</v>
      </c>
    </row>
    <row r="1542" spans="1:18" x14ac:dyDescent="0.25">
      <c r="A1542" t="s">
        <v>2552</v>
      </c>
      <c r="B1542" t="s">
        <v>2553</v>
      </c>
      <c r="C1542">
        <v>168908</v>
      </c>
      <c r="D1542">
        <v>168908</v>
      </c>
      <c r="E1542">
        <v>40</v>
      </c>
      <c r="F1542">
        <v>40</v>
      </c>
      <c r="G1542">
        <v>20</v>
      </c>
      <c r="O1542">
        <v>100</v>
      </c>
    </row>
    <row r="1543" spans="1:18" x14ac:dyDescent="0.25">
      <c r="A1543" t="s">
        <v>2554</v>
      </c>
      <c r="B1543" t="s">
        <v>2555</v>
      </c>
      <c r="C1543">
        <v>168719</v>
      </c>
      <c r="D1543">
        <v>168719</v>
      </c>
      <c r="H1543">
        <v>10</v>
      </c>
      <c r="I1543">
        <v>20</v>
      </c>
      <c r="J1543">
        <v>20</v>
      </c>
      <c r="K1543">
        <v>0</v>
      </c>
      <c r="L1543">
        <v>0</v>
      </c>
      <c r="M1543">
        <v>50</v>
      </c>
    </row>
    <row r="1544" spans="1:18" x14ac:dyDescent="0.25">
      <c r="A1544" t="s">
        <v>2556</v>
      </c>
      <c r="B1544" t="s">
        <v>2557</v>
      </c>
      <c r="C1544">
        <v>167541</v>
      </c>
      <c r="D1544">
        <v>167541</v>
      </c>
      <c r="E1544">
        <v>10</v>
      </c>
      <c r="F1544">
        <v>10</v>
      </c>
      <c r="G1544">
        <v>10</v>
      </c>
      <c r="O1544">
        <v>30</v>
      </c>
    </row>
    <row r="1545" spans="1:18" x14ac:dyDescent="0.25">
      <c r="A1545" t="s">
        <v>2558</v>
      </c>
      <c r="B1545" t="s">
        <v>937</v>
      </c>
      <c r="C1545">
        <v>163090</v>
      </c>
      <c r="D1545">
        <v>163090</v>
      </c>
      <c r="E1545">
        <v>30</v>
      </c>
      <c r="F1545">
        <v>20</v>
      </c>
      <c r="G1545">
        <v>20</v>
      </c>
      <c r="O1545">
        <v>70</v>
      </c>
    </row>
    <row r="1546" spans="1:18" x14ac:dyDescent="0.25">
      <c r="A1546" t="s">
        <v>2559</v>
      </c>
      <c r="B1546" t="s">
        <v>197</v>
      </c>
      <c r="C1546">
        <v>167104</v>
      </c>
      <c r="D1546">
        <v>167104</v>
      </c>
    </row>
    <row r="1547" spans="1:18" x14ac:dyDescent="0.25">
      <c r="A1547" t="s">
        <v>2560</v>
      </c>
      <c r="B1547" t="s">
        <v>2561</v>
      </c>
      <c r="C1547">
        <v>168136</v>
      </c>
      <c r="D1547">
        <v>168136</v>
      </c>
    </row>
    <row r="1548" spans="1:18" x14ac:dyDescent="0.25">
      <c r="A1548" t="s">
        <v>2562</v>
      </c>
      <c r="B1548" t="s">
        <v>2563</v>
      </c>
      <c r="C1548">
        <v>163946</v>
      </c>
      <c r="D1548">
        <v>163946</v>
      </c>
    </row>
    <row r="1549" spans="1:18" x14ac:dyDescent="0.25">
      <c r="A1549" t="s">
        <v>2564</v>
      </c>
      <c r="B1549" t="s">
        <v>2565</v>
      </c>
      <c r="C1549">
        <v>168729</v>
      </c>
      <c r="D1549">
        <v>168729</v>
      </c>
    </row>
    <row r="1550" spans="1:18" x14ac:dyDescent="0.25">
      <c r="A1550" t="s">
        <v>2566</v>
      </c>
      <c r="B1550" t="s">
        <v>2567</v>
      </c>
      <c r="C1550">
        <v>166103</v>
      </c>
      <c r="D1550">
        <v>166103</v>
      </c>
      <c r="E1550">
        <v>10</v>
      </c>
      <c r="F1550">
        <v>30</v>
      </c>
      <c r="G1550">
        <v>30</v>
      </c>
      <c r="O1550">
        <v>70</v>
      </c>
      <c r="R1550" t="s">
        <v>20</v>
      </c>
    </row>
    <row r="1551" spans="1:18" x14ac:dyDescent="0.25">
      <c r="A1551" t="s">
        <v>2568</v>
      </c>
      <c r="B1551" t="s">
        <v>2569</v>
      </c>
      <c r="C1551">
        <v>168101</v>
      </c>
      <c r="D1551">
        <v>168101</v>
      </c>
    </row>
    <row r="1552" spans="1:18" x14ac:dyDescent="0.25">
      <c r="A1552" t="s">
        <v>2568</v>
      </c>
      <c r="B1552" t="s">
        <v>2570</v>
      </c>
      <c r="C1552">
        <v>168611</v>
      </c>
      <c r="D1552">
        <v>168611</v>
      </c>
      <c r="H1552">
        <v>10</v>
      </c>
      <c r="I1552">
        <v>10</v>
      </c>
      <c r="J1552">
        <v>0</v>
      </c>
      <c r="K1552">
        <v>0</v>
      </c>
      <c r="M1552">
        <v>20</v>
      </c>
      <c r="R1552">
        <v>10</v>
      </c>
    </row>
    <row r="1553" spans="1:18" x14ac:dyDescent="0.25">
      <c r="A1553" t="s">
        <v>2571</v>
      </c>
      <c r="B1553" t="s">
        <v>2572</v>
      </c>
      <c r="C1553">
        <v>163723</v>
      </c>
      <c r="D1553">
        <v>163723</v>
      </c>
      <c r="E1553">
        <v>50</v>
      </c>
      <c r="F1553">
        <v>30</v>
      </c>
      <c r="G1553">
        <v>50</v>
      </c>
      <c r="O1553">
        <v>130</v>
      </c>
    </row>
    <row r="1554" spans="1:18" x14ac:dyDescent="0.25">
      <c r="A1554" t="s">
        <v>2573</v>
      </c>
      <c r="B1554" t="s">
        <v>2574</v>
      </c>
      <c r="C1554">
        <v>165535</v>
      </c>
      <c r="D1554">
        <v>165535</v>
      </c>
      <c r="E1554">
        <v>10</v>
      </c>
      <c r="F1554">
        <v>20</v>
      </c>
      <c r="G1554">
        <v>10</v>
      </c>
      <c r="O1554">
        <v>40</v>
      </c>
    </row>
    <row r="1555" spans="1:18" x14ac:dyDescent="0.25">
      <c r="A1555" t="s">
        <v>2575</v>
      </c>
      <c r="B1555" t="s">
        <v>2576</v>
      </c>
      <c r="C1555">
        <v>163373</v>
      </c>
      <c r="D1555">
        <v>163373</v>
      </c>
      <c r="N1555" t="s">
        <v>549</v>
      </c>
    </row>
    <row r="1556" spans="1:18" x14ac:dyDescent="0.25">
      <c r="A1556" t="s">
        <v>2577</v>
      </c>
      <c r="B1556" t="s">
        <v>2578</v>
      </c>
      <c r="C1556">
        <v>166921</v>
      </c>
      <c r="D1556">
        <v>166921</v>
      </c>
      <c r="H1556">
        <v>20</v>
      </c>
      <c r="I1556">
        <v>40</v>
      </c>
      <c r="J1556">
        <v>10</v>
      </c>
      <c r="K1556">
        <v>10</v>
      </c>
      <c r="L1556">
        <v>0</v>
      </c>
      <c r="M1556">
        <v>80</v>
      </c>
    </row>
    <row r="1557" spans="1:18" x14ac:dyDescent="0.25">
      <c r="A1557" t="s">
        <v>2579</v>
      </c>
      <c r="B1557" t="s">
        <v>2580</v>
      </c>
      <c r="C1557">
        <v>168325</v>
      </c>
      <c r="D1557">
        <v>168325</v>
      </c>
      <c r="E1557">
        <v>30</v>
      </c>
      <c r="F1557">
        <v>20</v>
      </c>
      <c r="G1557">
        <v>0</v>
      </c>
      <c r="O1557">
        <v>50</v>
      </c>
    </row>
    <row r="1558" spans="1:18" x14ac:dyDescent="0.25">
      <c r="A1558" t="s">
        <v>2581</v>
      </c>
      <c r="B1558" t="s">
        <v>393</v>
      </c>
      <c r="C1558">
        <v>167193</v>
      </c>
      <c r="D1558">
        <v>167193</v>
      </c>
      <c r="H1558">
        <v>10</v>
      </c>
      <c r="I1558">
        <v>30</v>
      </c>
      <c r="J1558">
        <v>0</v>
      </c>
      <c r="K1558">
        <v>10</v>
      </c>
      <c r="L1558">
        <v>10</v>
      </c>
      <c r="M1558">
        <v>60</v>
      </c>
    </row>
    <row r="1559" spans="1:18" x14ac:dyDescent="0.25">
      <c r="A1559" t="s">
        <v>2582</v>
      </c>
      <c r="B1559" t="s">
        <v>2583</v>
      </c>
      <c r="C1559">
        <v>168102</v>
      </c>
      <c r="D1559">
        <v>168102</v>
      </c>
      <c r="E1559">
        <v>20</v>
      </c>
      <c r="F1559">
        <v>10</v>
      </c>
      <c r="G1559">
        <v>40</v>
      </c>
      <c r="O1559">
        <v>70</v>
      </c>
      <c r="R1559" t="s">
        <v>20</v>
      </c>
    </row>
    <row r="1560" spans="1:18" x14ac:dyDescent="0.25">
      <c r="A1560" t="s">
        <v>2584</v>
      </c>
      <c r="B1560" t="s">
        <v>650</v>
      </c>
      <c r="C1560">
        <v>165742</v>
      </c>
      <c r="D1560">
        <v>165742</v>
      </c>
    </row>
    <row r="1561" spans="1:18" x14ac:dyDescent="0.25">
      <c r="A1561" t="s">
        <v>2585</v>
      </c>
      <c r="B1561" t="s">
        <v>2586</v>
      </c>
      <c r="C1561">
        <v>165453</v>
      </c>
      <c r="D1561">
        <v>165453</v>
      </c>
      <c r="H1561">
        <v>0</v>
      </c>
      <c r="I1561">
        <v>50</v>
      </c>
      <c r="J1561">
        <v>0</v>
      </c>
      <c r="K1561">
        <v>0</v>
      </c>
      <c r="L1561">
        <v>0</v>
      </c>
      <c r="M1561">
        <v>50</v>
      </c>
    </row>
    <row r="1562" spans="1:18" x14ac:dyDescent="0.25">
      <c r="A1562" t="s">
        <v>2587</v>
      </c>
      <c r="B1562" t="s">
        <v>2588</v>
      </c>
      <c r="C1562">
        <v>165809</v>
      </c>
      <c r="D1562">
        <v>165809</v>
      </c>
    </row>
    <row r="1563" spans="1:18" x14ac:dyDescent="0.25">
      <c r="A1563" t="s">
        <v>2589</v>
      </c>
      <c r="B1563" t="s">
        <v>1210</v>
      </c>
      <c r="C1563">
        <v>166509</v>
      </c>
      <c r="D1563">
        <v>166509</v>
      </c>
    </row>
    <row r="1564" spans="1:18" x14ac:dyDescent="0.25">
      <c r="A1564" t="s">
        <v>2590</v>
      </c>
      <c r="B1564" t="s">
        <v>2591</v>
      </c>
      <c r="C1564">
        <v>167812</v>
      </c>
      <c r="D1564">
        <v>167812</v>
      </c>
      <c r="E1564">
        <v>50</v>
      </c>
      <c r="F1564">
        <v>30</v>
      </c>
      <c r="G1564">
        <v>40</v>
      </c>
      <c r="O1564">
        <v>120</v>
      </c>
    </row>
    <row r="1565" spans="1:18" x14ac:dyDescent="0.25">
      <c r="A1565" t="s">
        <v>2592</v>
      </c>
      <c r="B1565" t="s">
        <v>551</v>
      </c>
      <c r="C1565">
        <v>167873</v>
      </c>
      <c r="D1565">
        <v>167873</v>
      </c>
      <c r="H1565">
        <v>10</v>
      </c>
      <c r="I1565">
        <v>40</v>
      </c>
      <c r="J1565">
        <v>10</v>
      </c>
      <c r="K1565">
        <v>0</v>
      </c>
      <c r="L1565">
        <v>0</v>
      </c>
      <c r="M1565">
        <v>60</v>
      </c>
    </row>
    <row r="1566" spans="1:18" x14ac:dyDescent="0.25">
      <c r="A1566" t="s">
        <v>2593</v>
      </c>
      <c r="B1566" t="s">
        <v>2594</v>
      </c>
      <c r="C1566">
        <v>167155</v>
      </c>
      <c r="D1566">
        <v>167155</v>
      </c>
      <c r="E1566">
        <v>30</v>
      </c>
      <c r="O1566">
        <v>30</v>
      </c>
    </row>
    <row r="1567" spans="1:18" x14ac:dyDescent="0.25">
      <c r="A1567" t="s">
        <v>2595</v>
      </c>
      <c r="B1567" t="s">
        <v>218</v>
      </c>
      <c r="C1567">
        <v>167492</v>
      </c>
      <c r="D1567">
        <v>167492</v>
      </c>
      <c r="E1567">
        <v>30</v>
      </c>
      <c r="F1567">
        <v>30</v>
      </c>
      <c r="G1567">
        <v>40</v>
      </c>
      <c r="O1567">
        <v>100</v>
      </c>
    </row>
    <row r="1568" spans="1:18" x14ac:dyDescent="0.25">
      <c r="A1568" t="s">
        <v>2596</v>
      </c>
      <c r="B1568" t="s">
        <v>2597</v>
      </c>
      <c r="C1568">
        <v>167837</v>
      </c>
      <c r="D1568">
        <v>167837</v>
      </c>
    </row>
    <row r="1569" spans="1:18" x14ac:dyDescent="0.25">
      <c r="A1569" t="s">
        <v>2598</v>
      </c>
      <c r="B1569" t="s">
        <v>126</v>
      </c>
      <c r="C1569">
        <v>167185</v>
      </c>
      <c r="D1569">
        <v>167185</v>
      </c>
      <c r="E1569">
        <v>0</v>
      </c>
      <c r="F1569">
        <v>20</v>
      </c>
      <c r="G1569">
        <v>20</v>
      </c>
      <c r="O1569">
        <v>40</v>
      </c>
      <c r="R1569">
        <v>10</v>
      </c>
    </row>
    <row r="1570" spans="1:18" x14ac:dyDescent="0.25">
      <c r="A1570" t="s">
        <v>2599</v>
      </c>
      <c r="B1570" t="s">
        <v>2600</v>
      </c>
      <c r="C1570">
        <v>166537</v>
      </c>
      <c r="D1570">
        <v>166537</v>
      </c>
      <c r="H1570">
        <v>0</v>
      </c>
      <c r="I1570">
        <v>0</v>
      </c>
      <c r="J1570">
        <v>20</v>
      </c>
      <c r="K1570">
        <v>10</v>
      </c>
      <c r="L1570">
        <v>10</v>
      </c>
      <c r="M1570">
        <v>40</v>
      </c>
    </row>
    <row r="1571" spans="1:18" x14ac:dyDescent="0.25">
      <c r="A1571" t="s">
        <v>2601</v>
      </c>
      <c r="B1571" t="s">
        <v>1543</v>
      </c>
      <c r="C1571">
        <v>166997</v>
      </c>
      <c r="D1571">
        <v>166997</v>
      </c>
      <c r="E1571">
        <v>0</v>
      </c>
      <c r="F1571">
        <v>10</v>
      </c>
      <c r="G1571">
        <v>20</v>
      </c>
      <c r="O1571">
        <v>30</v>
      </c>
    </row>
    <row r="1572" spans="1:18" x14ac:dyDescent="0.25">
      <c r="A1572" t="s">
        <v>2602</v>
      </c>
      <c r="B1572" t="s">
        <v>158</v>
      </c>
      <c r="C1572">
        <v>165617</v>
      </c>
      <c r="D1572">
        <v>165617</v>
      </c>
      <c r="H1572">
        <v>10</v>
      </c>
      <c r="I1572">
        <v>40</v>
      </c>
      <c r="J1572">
        <v>0</v>
      </c>
      <c r="K1572">
        <v>10</v>
      </c>
      <c r="L1572">
        <v>0</v>
      </c>
      <c r="M1572">
        <v>60</v>
      </c>
    </row>
    <row r="1573" spans="1:18" x14ac:dyDescent="0.25">
      <c r="A1573" t="s">
        <v>2603</v>
      </c>
      <c r="B1573" t="s">
        <v>2604</v>
      </c>
      <c r="C1573">
        <v>167717</v>
      </c>
      <c r="D1573">
        <v>167717</v>
      </c>
      <c r="H1573">
        <v>10</v>
      </c>
      <c r="I1573" t="s">
        <v>20</v>
      </c>
      <c r="J1573">
        <v>10</v>
      </c>
      <c r="M1573">
        <v>20</v>
      </c>
      <c r="N1573" t="s">
        <v>20</v>
      </c>
    </row>
    <row r="1574" spans="1:18" x14ac:dyDescent="0.25">
      <c r="A1574" t="s">
        <v>2605</v>
      </c>
      <c r="B1574" t="s">
        <v>2606</v>
      </c>
      <c r="C1574">
        <v>168657</v>
      </c>
      <c r="D1574">
        <v>168657</v>
      </c>
      <c r="E1574">
        <v>40</v>
      </c>
      <c r="F1574">
        <v>10</v>
      </c>
      <c r="G1574">
        <v>30</v>
      </c>
      <c r="O1574">
        <v>80</v>
      </c>
    </row>
    <row r="1575" spans="1:18" x14ac:dyDescent="0.25">
      <c r="A1575" t="s">
        <v>2607</v>
      </c>
      <c r="B1575" t="s">
        <v>2608</v>
      </c>
      <c r="C1575">
        <v>168171</v>
      </c>
      <c r="D1575">
        <v>168171</v>
      </c>
      <c r="H1575">
        <v>20</v>
      </c>
      <c r="I1575">
        <v>60</v>
      </c>
      <c r="J1575">
        <v>10</v>
      </c>
      <c r="M1575">
        <v>90</v>
      </c>
    </row>
    <row r="1576" spans="1:18" x14ac:dyDescent="0.25">
      <c r="A1576" t="s">
        <v>2609</v>
      </c>
      <c r="B1576" t="s">
        <v>489</v>
      </c>
      <c r="C1576">
        <v>165316</v>
      </c>
      <c r="D1576">
        <v>165316</v>
      </c>
      <c r="H1576">
        <v>20</v>
      </c>
      <c r="I1576">
        <v>60</v>
      </c>
      <c r="J1576">
        <v>20</v>
      </c>
      <c r="K1576">
        <v>10</v>
      </c>
      <c r="L1576">
        <v>10</v>
      </c>
      <c r="M1576">
        <v>120</v>
      </c>
    </row>
    <row r="1577" spans="1:18" x14ac:dyDescent="0.25">
      <c r="A1577" t="s">
        <v>2610</v>
      </c>
      <c r="B1577" t="s">
        <v>596</v>
      </c>
      <c r="C1577">
        <v>167481</v>
      </c>
      <c r="D1577">
        <v>167481</v>
      </c>
      <c r="H1577">
        <v>20</v>
      </c>
      <c r="I1577">
        <v>50</v>
      </c>
      <c r="J1577">
        <v>10</v>
      </c>
      <c r="K1577">
        <v>10</v>
      </c>
      <c r="L1577">
        <v>0</v>
      </c>
      <c r="M1577">
        <v>90</v>
      </c>
    </row>
    <row r="1578" spans="1:18" x14ac:dyDescent="0.25">
      <c r="A1578" t="s">
        <v>2611</v>
      </c>
      <c r="B1578" t="s">
        <v>2612</v>
      </c>
      <c r="C1578">
        <v>168035</v>
      </c>
      <c r="D1578">
        <v>168035</v>
      </c>
      <c r="H1578">
        <v>0</v>
      </c>
      <c r="I1578">
        <v>40</v>
      </c>
      <c r="J1578">
        <v>10</v>
      </c>
      <c r="K1578">
        <v>0</v>
      </c>
      <c r="L1578">
        <v>10</v>
      </c>
      <c r="M1578">
        <v>60</v>
      </c>
    </row>
    <row r="1579" spans="1:18" x14ac:dyDescent="0.25">
      <c r="A1579" t="s">
        <v>2613</v>
      </c>
      <c r="B1579" t="s">
        <v>2614</v>
      </c>
      <c r="C1579">
        <v>167260</v>
      </c>
      <c r="D1579">
        <v>167260</v>
      </c>
      <c r="E1579">
        <v>40</v>
      </c>
      <c r="F1579">
        <v>20</v>
      </c>
      <c r="G1579">
        <v>30</v>
      </c>
      <c r="O1579">
        <v>90</v>
      </c>
    </row>
    <row r="1580" spans="1:18" x14ac:dyDescent="0.25">
      <c r="A1580" t="s">
        <v>2615</v>
      </c>
      <c r="B1580" t="s">
        <v>2616</v>
      </c>
      <c r="C1580">
        <v>167509</v>
      </c>
      <c r="D1580">
        <v>167509</v>
      </c>
      <c r="H1580">
        <v>10</v>
      </c>
      <c r="I1580">
        <v>30</v>
      </c>
      <c r="J1580">
        <v>20</v>
      </c>
      <c r="K1580">
        <v>10</v>
      </c>
      <c r="L1580">
        <v>10</v>
      </c>
      <c r="M1580">
        <v>80</v>
      </c>
    </row>
    <row r="1581" spans="1:18" x14ac:dyDescent="0.25">
      <c r="A1581" t="s">
        <v>2617</v>
      </c>
      <c r="B1581" t="s">
        <v>2618</v>
      </c>
      <c r="C1581">
        <v>168906</v>
      </c>
      <c r="D1581">
        <v>168906</v>
      </c>
      <c r="E1581">
        <v>30</v>
      </c>
      <c r="F1581">
        <v>40</v>
      </c>
      <c r="G1581">
        <v>20</v>
      </c>
      <c r="O1581">
        <v>90</v>
      </c>
    </row>
    <row r="1582" spans="1:18" x14ac:dyDescent="0.25">
      <c r="A1582" t="s">
        <v>2619</v>
      </c>
      <c r="B1582" t="s">
        <v>2620</v>
      </c>
      <c r="C1582">
        <v>168447</v>
      </c>
      <c r="D1582">
        <v>168447</v>
      </c>
      <c r="H1582">
        <v>0</v>
      </c>
      <c r="I1582">
        <v>10</v>
      </c>
      <c r="J1582">
        <v>0</v>
      </c>
      <c r="K1582">
        <v>0</v>
      </c>
      <c r="L1582">
        <v>0</v>
      </c>
      <c r="M1582">
        <v>10</v>
      </c>
    </row>
    <row r="1583" spans="1:18" x14ac:dyDescent="0.25">
      <c r="A1583" t="s">
        <v>2621</v>
      </c>
      <c r="B1583" t="s">
        <v>1824</v>
      </c>
      <c r="C1583">
        <v>168513</v>
      </c>
      <c r="D1583">
        <v>168513</v>
      </c>
      <c r="H1583">
        <v>10</v>
      </c>
      <c r="I1583">
        <v>20</v>
      </c>
      <c r="J1583">
        <v>10</v>
      </c>
      <c r="K1583">
        <v>10</v>
      </c>
      <c r="L1583">
        <v>0</v>
      </c>
      <c r="M1583">
        <v>50</v>
      </c>
      <c r="R1583">
        <v>0</v>
      </c>
    </row>
    <row r="1584" spans="1:18" x14ac:dyDescent="0.25">
      <c r="A1584" t="s">
        <v>2622</v>
      </c>
      <c r="B1584" t="s">
        <v>2623</v>
      </c>
      <c r="C1584">
        <v>167787</v>
      </c>
      <c r="D1584">
        <v>167787</v>
      </c>
      <c r="H1584">
        <v>10</v>
      </c>
      <c r="I1584">
        <v>20</v>
      </c>
      <c r="J1584">
        <v>10</v>
      </c>
      <c r="K1584">
        <v>10</v>
      </c>
      <c r="L1584">
        <v>10</v>
      </c>
      <c r="M1584">
        <v>60</v>
      </c>
    </row>
    <row r="1585" spans="1:18" x14ac:dyDescent="0.25">
      <c r="A1585" t="s">
        <v>2624</v>
      </c>
      <c r="B1585" t="s">
        <v>43</v>
      </c>
      <c r="C1585">
        <v>161568</v>
      </c>
      <c r="D1585">
        <v>161568</v>
      </c>
      <c r="E1585">
        <v>30</v>
      </c>
      <c r="F1585">
        <v>20</v>
      </c>
      <c r="G1585">
        <v>20</v>
      </c>
      <c r="O1585">
        <v>70</v>
      </c>
    </row>
    <row r="1586" spans="1:18" x14ac:dyDescent="0.25">
      <c r="A1586" t="s">
        <v>2625</v>
      </c>
      <c r="B1586" t="s">
        <v>93</v>
      </c>
      <c r="C1586">
        <v>162458</v>
      </c>
      <c r="D1586">
        <v>162458</v>
      </c>
      <c r="E1586">
        <v>10</v>
      </c>
      <c r="F1586">
        <v>10</v>
      </c>
      <c r="G1586">
        <v>60</v>
      </c>
      <c r="O1586">
        <v>80</v>
      </c>
    </row>
    <row r="1587" spans="1:18" x14ac:dyDescent="0.25">
      <c r="A1587" t="s">
        <v>2626</v>
      </c>
      <c r="B1587" t="s">
        <v>830</v>
      </c>
      <c r="C1587">
        <v>165442</v>
      </c>
      <c r="D1587">
        <v>165442</v>
      </c>
      <c r="H1587">
        <v>20</v>
      </c>
      <c r="I1587">
        <v>40</v>
      </c>
      <c r="J1587">
        <v>10</v>
      </c>
      <c r="K1587">
        <v>10</v>
      </c>
      <c r="L1587">
        <v>0</v>
      </c>
      <c r="M1587">
        <v>80</v>
      </c>
    </row>
    <row r="1588" spans="1:18" x14ac:dyDescent="0.25">
      <c r="A1588" t="s">
        <v>2627</v>
      </c>
      <c r="B1588" t="s">
        <v>228</v>
      </c>
      <c r="C1588">
        <v>164277</v>
      </c>
      <c r="D1588">
        <v>164277</v>
      </c>
    </row>
    <row r="1589" spans="1:18" x14ac:dyDescent="0.25">
      <c r="A1589" t="s">
        <v>2627</v>
      </c>
      <c r="B1589" t="s">
        <v>2074</v>
      </c>
      <c r="C1589">
        <v>156187</v>
      </c>
      <c r="D1589">
        <v>156187</v>
      </c>
    </row>
    <row r="1590" spans="1:18" x14ac:dyDescent="0.25">
      <c r="A1590" t="s">
        <v>2628</v>
      </c>
      <c r="B1590" t="s">
        <v>344</v>
      </c>
      <c r="C1590">
        <v>168387</v>
      </c>
      <c r="D1590">
        <v>168387</v>
      </c>
      <c r="H1590">
        <v>10</v>
      </c>
      <c r="I1590">
        <v>40</v>
      </c>
      <c r="J1590">
        <v>20</v>
      </c>
      <c r="K1590">
        <v>10</v>
      </c>
      <c r="L1590">
        <v>0</v>
      </c>
      <c r="M1590">
        <v>80</v>
      </c>
    </row>
    <row r="1591" spans="1:18" x14ac:dyDescent="0.25">
      <c r="A1591" t="s">
        <v>2629</v>
      </c>
      <c r="B1591" t="s">
        <v>548</v>
      </c>
      <c r="C1591">
        <v>165920</v>
      </c>
      <c r="D1591">
        <v>165920</v>
      </c>
      <c r="E1591">
        <v>40</v>
      </c>
      <c r="F1591">
        <v>30</v>
      </c>
      <c r="G1591">
        <v>30</v>
      </c>
      <c r="O1591">
        <v>100</v>
      </c>
    </row>
    <row r="1592" spans="1:18" x14ac:dyDescent="0.25">
      <c r="A1592" t="s">
        <v>2630</v>
      </c>
      <c r="B1592" t="s">
        <v>2631</v>
      </c>
      <c r="C1592">
        <v>168666</v>
      </c>
      <c r="D1592">
        <v>168666</v>
      </c>
    </row>
    <row r="1593" spans="1:18" x14ac:dyDescent="0.25">
      <c r="A1593" t="s">
        <v>2632</v>
      </c>
      <c r="B1593" t="s">
        <v>512</v>
      </c>
      <c r="C1593">
        <v>168071</v>
      </c>
      <c r="D1593">
        <v>168071</v>
      </c>
      <c r="H1593">
        <v>0</v>
      </c>
      <c r="I1593">
        <v>20</v>
      </c>
      <c r="J1593">
        <v>20</v>
      </c>
      <c r="K1593">
        <v>10</v>
      </c>
      <c r="L1593">
        <v>0</v>
      </c>
      <c r="M1593">
        <v>50</v>
      </c>
      <c r="N1593" t="s">
        <v>20</v>
      </c>
    </row>
    <row r="1594" spans="1:18" x14ac:dyDescent="0.25">
      <c r="A1594" t="s">
        <v>2633</v>
      </c>
      <c r="B1594" t="s">
        <v>729</v>
      </c>
      <c r="C1594">
        <v>166457</v>
      </c>
      <c r="D1594">
        <v>166457</v>
      </c>
    </row>
    <row r="1595" spans="1:18" x14ac:dyDescent="0.25">
      <c r="A1595" t="s">
        <v>2634</v>
      </c>
      <c r="B1595" t="s">
        <v>1818</v>
      </c>
      <c r="C1595">
        <v>165483</v>
      </c>
      <c r="D1595">
        <v>165483</v>
      </c>
      <c r="E1595">
        <v>10</v>
      </c>
      <c r="F1595">
        <v>0</v>
      </c>
      <c r="G1595">
        <v>70</v>
      </c>
      <c r="O1595">
        <v>80</v>
      </c>
      <c r="R1595">
        <v>10</v>
      </c>
    </row>
    <row r="1596" spans="1:18" x14ac:dyDescent="0.25">
      <c r="A1596" t="s">
        <v>2635</v>
      </c>
      <c r="B1596" t="s">
        <v>130</v>
      </c>
      <c r="C1596">
        <v>165440</v>
      </c>
      <c r="D1596">
        <v>165440</v>
      </c>
      <c r="E1596">
        <v>40</v>
      </c>
      <c r="F1596">
        <v>20</v>
      </c>
      <c r="G1596">
        <v>10</v>
      </c>
      <c r="O1596">
        <v>70</v>
      </c>
    </row>
    <row r="1597" spans="1:18" x14ac:dyDescent="0.25">
      <c r="A1597" t="s">
        <v>2636</v>
      </c>
      <c r="B1597" t="s">
        <v>963</v>
      </c>
      <c r="C1597">
        <v>168623</v>
      </c>
      <c r="D1597">
        <v>168623</v>
      </c>
      <c r="E1597">
        <v>50</v>
      </c>
      <c r="F1597">
        <v>40</v>
      </c>
      <c r="G1597">
        <v>40</v>
      </c>
      <c r="O1597">
        <v>130</v>
      </c>
    </row>
    <row r="1598" spans="1:18" x14ac:dyDescent="0.25">
      <c r="A1598" t="s">
        <v>2637</v>
      </c>
      <c r="B1598" t="s">
        <v>2638</v>
      </c>
      <c r="C1598">
        <v>167063</v>
      </c>
      <c r="D1598">
        <v>167063</v>
      </c>
      <c r="E1598">
        <v>0</v>
      </c>
      <c r="O1598">
        <v>0</v>
      </c>
      <c r="R1598" t="s">
        <v>20</v>
      </c>
    </row>
    <row r="1599" spans="1:18" x14ac:dyDescent="0.25">
      <c r="A1599" t="s">
        <v>2639</v>
      </c>
      <c r="B1599" t="s">
        <v>2640</v>
      </c>
      <c r="C1599">
        <v>167779</v>
      </c>
      <c r="D1599">
        <v>167779</v>
      </c>
      <c r="E1599">
        <v>40</v>
      </c>
      <c r="F1599">
        <v>10</v>
      </c>
      <c r="G1599">
        <v>30</v>
      </c>
      <c r="O1599">
        <v>80</v>
      </c>
    </row>
    <row r="1600" spans="1:18" x14ac:dyDescent="0.25">
      <c r="A1600" t="s">
        <v>2641</v>
      </c>
      <c r="B1600" t="s">
        <v>2642</v>
      </c>
      <c r="C1600">
        <v>165507</v>
      </c>
      <c r="D1600">
        <v>165507</v>
      </c>
    </row>
    <row r="1601" spans="1:18" x14ac:dyDescent="0.25">
      <c r="A1601" t="s">
        <v>2643</v>
      </c>
      <c r="B1601" t="s">
        <v>2644</v>
      </c>
      <c r="C1601">
        <v>167616</v>
      </c>
      <c r="D1601">
        <v>167616</v>
      </c>
      <c r="E1601">
        <v>20</v>
      </c>
      <c r="F1601">
        <v>20</v>
      </c>
      <c r="G1601">
        <v>40</v>
      </c>
      <c r="O1601">
        <v>80</v>
      </c>
    </row>
    <row r="1602" spans="1:18" x14ac:dyDescent="0.25">
      <c r="A1602" t="s">
        <v>2645</v>
      </c>
      <c r="B1602" t="s">
        <v>944</v>
      </c>
      <c r="C1602">
        <v>168823</v>
      </c>
      <c r="D1602">
        <v>168823</v>
      </c>
      <c r="H1602">
        <v>20</v>
      </c>
      <c r="I1602">
        <v>40</v>
      </c>
      <c r="J1602">
        <v>0</v>
      </c>
      <c r="K1602">
        <v>10</v>
      </c>
      <c r="L1602">
        <v>10</v>
      </c>
      <c r="M1602">
        <v>80</v>
      </c>
    </row>
    <row r="1603" spans="1:18" x14ac:dyDescent="0.25">
      <c r="A1603" t="s">
        <v>2646</v>
      </c>
      <c r="B1603" t="s">
        <v>674</v>
      </c>
      <c r="C1603">
        <v>165547</v>
      </c>
      <c r="D1603">
        <v>165547</v>
      </c>
      <c r="E1603">
        <v>40</v>
      </c>
      <c r="F1603">
        <v>30</v>
      </c>
      <c r="G1603">
        <v>20</v>
      </c>
      <c r="O1603">
        <v>90</v>
      </c>
    </row>
    <row r="1604" spans="1:18" x14ac:dyDescent="0.25">
      <c r="A1604" t="s">
        <v>2647</v>
      </c>
      <c r="B1604" t="s">
        <v>2648</v>
      </c>
      <c r="C1604">
        <v>165025</v>
      </c>
      <c r="D1604">
        <v>165025</v>
      </c>
      <c r="E1604">
        <v>40</v>
      </c>
      <c r="F1604">
        <v>40</v>
      </c>
      <c r="G1604">
        <v>40</v>
      </c>
      <c r="O1604">
        <v>120</v>
      </c>
    </row>
    <row r="1605" spans="1:18" x14ac:dyDescent="0.25">
      <c r="A1605" t="s">
        <v>2649</v>
      </c>
      <c r="B1605" t="s">
        <v>130</v>
      </c>
      <c r="C1605">
        <v>167033</v>
      </c>
      <c r="D1605">
        <v>167033</v>
      </c>
      <c r="E1605">
        <v>20</v>
      </c>
      <c r="F1605">
        <v>20</v>
      </c>
      <c r="G1605">
        <v>30</v>
      </c>
      <c r="O1605">
        <v>70</v>
      </c>
    </row>
    <row r="1606" spans="1:18" x14ac:dyDescent="0.25">
      <c r="A1606" t="s">
        <v>2650</v>
      </c>
      <c r="B1606" t="s">
        <v>367</v>
      </c>
      <c r="C1606">
        <v>165749</v>
      </c>
      <c r="D1606">
        <v>165749</v>
      </c>
      <c r="H1606">
        <v>10</v>
      </c>
      <c r="I1606">
        <v>50</v>
      </c>
      <c r="J1606">
        <v>10</v>
      </c>
      <c r="K1606">
        <v>10</v>
      </c>
      <c r="L1606">
        <v>10</v>
      </c>
      <c r="M1606">
        <v>90</v>
      </c>
    </row>
    <row r="1607" spans="1:18" x14ac:dyDescent="0.25">
      <c r="A1607" t="s">
        <v>2651</v>
      </c>
      <c r="B1607" t="s">
        <v>340</v>
      </c>
      <c r="C1607">
        <v>167256</v>
      </c>
      <c r="D1607">
        <v>167256</v>
      </c>
      <c r="H1607">
        <v>10</v>
      </c>
      <c r="I1607">
        <v>40</v>
      </c>
      <c r="J1607">
        <v>10</v>
      </c>
      <c r="K1607">
        <v>0</v>
      </c>
      <c r="L1607" t="s">
        <v>20</v>
      </c>
      <c r="M1607">
        <v>60</v>
      </c>
    </row>
    <row r="1608" spans="1:18" x14ac:dyDescent="0.25">
      <c r="A1608" t="s">
        <v>2652</v>
      </c>
      <c r="B1608" t="s">
        <v>1649</v>
      </c>
      <c r="C1608">
        <v>166072</v>
      </c>
      <c r="D1608">
        <v>166072</v>
      </c>
      <c r="H1608">
        <v>10</v>
      </c>
      <c r="I1608">
        <v>40</v>
      </c>
      <c r="J1608">
        <v>10</v>
      </c>
      <c r="K1608">
        <v>10</v>
      </c>
      <c r="L1608">
        <v>10</v>
      </c>
      <c r="M1608">
        <v>80</v>
      </c>
    </row>
    <row r="1609" spans="1:18" x14ac:dyDescent="0.25">
      <c r="A1609" t="s">
        <v>2653</v>
      </c>
      <c r="B1609" t="s">
        <v>2654</v>
      </c>
      <c r="C1609">
        <v>167743</v>
      </c>
      <c r="D1609">
        <v>167743</v>
      </c>
      <c r="H1609">
        <v>20</v>
      </c>
      <c r="I1609">
        <v>30</v>
      </c>
      <c r="J1609">
        <v>10</v>
      </c>
      <c r="K1609">
        <v>10</v>
      </c>
      <c r="L1609">
        <v>10</v>
      </c>
      <c r="M1609">
        <v>80</v>
      </c>
    </row>
    <row r="1610" spans="1:18" x14ac:dyDescent="0.25">
      <c r="A1610" t="s">
        <v>2655</v>
      </c>
      <c r="B1610" t="s">
        <v>904</v>
      </c>
      <c r="C1610">
        <v>163079</v>
      </c>
      <c r="D1610">
        <v>163079</v>
      </c>
    </row>
    <row r="1611" spans="1:18" x14ac:dyDescent="0.25">
      <c r="A1611" t="s">
        <v>2656</v>
      </c>
      <c r="B1611" t="s">
        <v>228</v>
      </c>
      <c r="C1611">
        <v>168409</v>
      </c>
      <c r="D1611">
        <v>168409</v>
      </c>
    </row>
    <row r="1612" spans="1:18" x14ac:dyDescent="0.25">
      <c r="A1612" t="s">
        <v>2657</v>
      </c>
      <c r="B1612" t="s">
        <v>2658</v>
      </c>
      <c r="C1612">
        <v>167666</v>
      </c>
      <c r="D1612">
        <v>167666</v>
      </c>
      <c r="E1612">
        <v>30</v>
      </c>
      <c r="F1612">
        <v>30</v>
      </c>
      <c r="G1612">
        <v>30</v>
      </c>
      <c r="O1612">
        <v>90</v>
      </c>
    </row>
    <row r="1613" spans="1:18" x14ac:dyDescent="0.25">
      <c r="A1613" t="s">
        <v>2659</v>
      </c>
      <c r="B1613" t="s">
        <v>67</v>
      </c>
      <c r="C1613">
        <v>166390</v>
      </c>
      <c r="D1613">
        <v>166390</v>
      </c>
      <c r="E1613">
        <v>40</v>
      </c>
      <c r="F1613">
        <v>20</v>
      </c>
      <c r="G1613">
        <v>40</v>
      </c>
      <c r="O1613">
        <v>100</v>
      </c>
      <c r="R1613" t="s">
        <v>20</v>
      </c>
    </row>
    <row r="1614" spans="1:18" x14ac:dyDescent="0.25">
      <c r="A1614" t="s">
        <v>2660</v>
      </c>
      <c r="B1614" t="s">
        <v>43</v>
      </c>
      <c r="C1614">
        <v>165917</v>
      </c>
      <c r="D1614">
        <v>165917</v>
      </c>
      <c r="E1614">
        <v>30</v>
      </c>
      <c r="F1614">
        <v>20</v>
      </c>
      <c r="G1614">
        <v>60</v>
      </c>
      <c r="O1614">
        <v>110</v>
      </c>
    </row>
    <row r="1615" spans="1:18" x14ac:dyDescent="0.25">
      <c r="A1615" t="s">
        <v>2661</v>
      </c>
      <c r="B1615" t="s">
        <v>2662</v>
      </c>
      <c r="C1615">
        <v>165619</v>
      </c>
      <c r="D1615">
        <v>165619</v>
      </c>
      <c r="H1615">
        <v>10</v>
      </c>
      <c r="I1615">
        <v>60</v>
      </c>
      <c r="J1615">
        <v>10</v>
      </c>
      <c r="K1615">
        <v>10</v>
      </c>
      <c r="L1615">
        <v>10</v>
      </c>
      <c r="M1615">
        <v>100</v>
      </c>
    </row>
    <row r="1616" spans="1:18" x14ac:dyDescent="0.25">
      <c r="A1616" t="s">
        <v>2663</v>
      </c>
      <c r="B1616" t="s">
        <v>330</v>
      </c>
      <c r="C1616">
        <v>168112</v>
      </c>
      <c r="D1616">
        <v>168112</v>
      </c>
      <c r="R1616" t="s">
        <v>20</v>
      </c>
    </row>
    <row r="1617" spans="1:18" x14ac:dyDescent="0.25">
      <c r="A1617" t="s">
        <v>2664</v>
      </c>
      <c r="B1617" t="s">
        <v>2665</v>
      </c>
      <c r="C1617">
        <v>167186</v>
      </c>
      <c r="D1617">
        <v>167186</v>
      </c>
      <c r="H1617">
        <v>10</v>
      </c>
      <c r="I1617">
        <v>0</v>
      </c>
      <c r="J1617">
        <v>20</v>
      </c>
      <c r="K1617">
        <v>0</v>
      </c>
      <c r="L1617">
        <v>0</v>
      </c>
      <c r="M1617">
        <v>30</v>
      </c>
    </row>
    <row r="1618" spans="1:18" x14ac:dyDescent="0.25">
      <c r="A1618" t="s">
        <v>2666</v>
      </c>
      <c r="B1618" t="s">
        <v>944</v>
      </c>
      <c r="C1618">
        <v>166898</v>
      </c>
      <c r="D1618">
        <v>166898</v>
      </c>
      <c r="H1618">
        <v>20</v>
      </c>
      <c r="I1618">
        <v>50</v>
      </c>
      <c r="J1618">
        <v>20</v>
      </c>
      <c r="K1618">
        <v>10</v>
      </c>
      <c r="L1618">
        <v>0</v>
      </c>
      <c r="M1618">
        <v>100</v>
      </c>
    </row>
    <row r="1619" spans="1:18" x14ac:dyDescent="0.25">
      <c r="A1619" t="s">
        <v>2667</v>
      </c>
      <c r="B1619" t="s">
        <v>1240</v>
      </c>
      <c r="C1619">
        <v>162028</v>
      </c>
      <c r="D1619">
        <v>162028</v>
      </c>
      <c r="E1619">
        <v>30</v>
      </c>
      <c r="F1619">
        <v>30</v>
      </c>
      <c r="G1619">
        <v>40</v>
      </c>
      <c r="O1619">
        <v>100</v>
      </c>
    </row>
    <row r="1620" spans="1:18" x14ac:dyDescent="0.25">
      <c r="A1620" t="s">
        <v>2668</v>
      </c>
      <c r="B1620" t="s">
        <v>2669</v>
      </c>
      <c r="C1620">
        <v>168355</v>
      </c>
      <c r="D1620">
        <v>168355</v>
      </c>
      <c r="H1620">
        <v>0</v>
      </c>
      <c r="I1620">
        <v>20</v>
      </c>
      <c r="J1620">
        <v>10</v>
      </c>
      <c r="K1620">
        <v>0</v>
      </c>
      <c r="L1620">
        <v>10</v>
      </c>
      <c r="M1620">
        <v>40</v>
      </c>
      <c r="N1620" t="s">
        <v>20</v>
      </c>
    </row>
    <row r="1621" spans="1:18" x14ac:dyDescent="0.25">
      <c r="A1621" t="s">
        <v>2670</v>
      </c>
      <c r="B1621" t="s">
        <v>2671</v>
      </c>
      <c r="C1621">
        <v>166334</v>
      </c>
      <c r="D1621">
        <v>166334</v>
      </c>
      <c r="E1621">
        <v>0</v>
      </c>
      <c r="F1621">
        <v>10</v>
      </c>
      <c r="G1621">
        <v>10</v>
      </c>
      <c r="O1621">
        <v>20</v>
      </c>
    </row>
    <row r="1622" spans="1:18" x14ac:dyDescent="0.25">
      <c r="A1622" t="s">
        <v>2672</v>
      </c>
      <c r="B1622" t="s">
        <v>2673</v>
      </c>
      <c r="C1622">
        <v>168191</v>
      </c>
      <c r="D1622">
        <v>168191</v>
      </c>
      <c r="E1622">
        <v>20</v>
      </c>
      <c r="F1622">
        <v>20</v>
      </c>
      <c r="G1622">
        <v>0</v>
      </c>
      <c r="O1622">
        <v>40</v>
      </c>
    </row>
    <row r="1623" spans="1:18" x14ac:dyDescent="0.25">
      <c r="A1623" t="s">
        <v>2674</v>
      </c>
      <c r="B1623" t="s">
        <v>2675</v>
      </c>
      <c r="C1623">
        <v>163915</v>
      </c>
      <c r="D1623">
        <v>163915</v>
      </c>
    </row>
    <row r="1624" spans="1:18" x14ac:dyDescent="0.25">
      <c r="A1624" t="s">
        <v>2676</v>
      </c>
      <c r="B1624" t="s">
        <v>958</v>
      </c>
      <c r="C1624">
        <v>168560</v>
      </c>
      <c r="D1624">
        <v>168560</v>
      </c>
      <c r="E1624">
        <v>30</v>
      </c>
      <c r="F1624">
        <v>40</v>
      </c>
      <c r="G1624">
        <v>40</v>
      </c>
      <c r="O1624">
        <v>110</v>
      </c>
    </row>
    <row r="1625" spans="1:18" x14ac:dyDescent="0.25">
      <c r="A1625" t="s">
        <v>2677</v>
      </c>
      <c r="B1625" t="s">
        <v>2678</v>
      </c>
      <c r="C1625">
        <v>168805</v>
      </c>
      <c r="D1625">
        <v>168805</v>
      </c>
      <c r="E1625">
        <v>20</v>
      </c>
      <c r="F1625">
        <v>10</v>
      </c>
      <c r="G1625">
        <v>50</v>
      </c>
      <c r="O1625">
        <v>80</v>
      </c>
    </row>
    <row r="1626" spans="1:18" x14ac:dyDescent="0.25">
      <c r="A1626" t="s">
        <v>2679</v>
      </c>
      <c r="B1626" t="s">
        <v>2680</v>
      </c>
      <c r="C1626">
        <v>167105</v>
      </c>
      <c r="D1626">
        <v>167105</v>
      </c>
      <c r="H1626">
        <v>10</v>
      </c>
      <c r="I1626">
        <v>40</v>
      </c>
      <c r="J1626">
        <v>20</v>
      </c>
      <c r="K1626">
        <v>10</v>
      </c>
      <c r="L1626">
        <v>10</v>
      </c>
      <c r="M1626">
        <v>90</v>
      </c>
      <c r="R1626" t="s">
        <v>20</v>
      </c>
    </row>
    <row r="1627" spans="1:18" x14ac:dyDescent="0.25">
      <c r="A1627" t="s">
        <v>2681</v>
      </c>
      <c r="B1627" t="s">
        <v>2682</v>
      </c>
      <c r="C1627">
        <v>168683</v>
      </c>
      <c r="D1627">
        <v>168683</v>
      </c>
      <c r="E1627">
        <v>10</v>
      </c>
      <c r="F1627">
        <v>10</v>
      </c>
      <c r="G1627">
        <v>30</v>
      </c>
      <c r="O1627">
        <v>50</v>
      </c>
    </row>
    <row r="1628" spans="1:18" x14ac:dyDescent="0.25">
      <c r="A1628" t="s">
        <v>2683</v>
      </c>
      <c r="B1628" t="s">
        <v>2684</v>
      </c>
      <c r="C1628">
        <v>165984</v>
      </c>
      <c r="D1628">
        <v>165984</v>
      </c>
      <c r="E1628">
        <v>40</v>
      </c>
      <c r="F1628">
        <v>40</v>
      </c>
      <c r="G1628">
        <v>20</v>
      </c>
      <c r="O1628">
        <v>100</v>
      </c>
    </row>
    <row r="1629" spans="1:18" x14ac:dyDescent="0.25">
      <c r="A1629" t="s">
        <v>2685</v>
      </c>
      <c r="B1629" t="s">
        <v>2686</v>
      </c>
      <c r="C1629">
        <v>165261</v>
      </c>
      <c r="D1629">
        <v>165261</v>
      </c>
      <c r="E1629">
        <v>30</v>
      </c>
      <c r="F1629">
        <v>30</v>
      </c>
      <c r="G1629">
        <v>30</v>
      </c>
      <c r="O1629">
        <v>90</v>
      </c>
    </row>
    <row r="1630" spans="1:18" x14ac:dyDescent="0.25">
      <c r="A1630" t="s">
        <v>2687</v>
      </c>
      <c r="B1630" t="s">
        <v>232</v>
      </c>
      <c r="C1630">
        <v>166932</v>
      </c>
      <c r="D1630">
        <v>166932</v>
      </c>
    </row>
    <row r="1631" spans="1:18" x14ac:dyDescent="0.25">
      <c r="A1631" t="s">
        <v>2688</v>
      </c>
      <c r="B1631" t="s">
        <v>286</v>
      </c>
      <c r="C1631">
        <v>164385</v>
      </c>
      <c r="D1631">
        <v>164385</v>
      </c>
      <c r="E1631">
        <v>20</v>
      </c>
      <c r="F1631">
        <v>30</v>
      </c>
      <c r="G1631">
        <v>40</v>
      </c>
      <c r="O1631">
        <v>90</v>
      </c>
    </row>
    <row r="1632" spans="1:18" x14ac:dyDescent="0.25">
      <c r="A1632" t="s">
        <v>2689</v>
      </c>
      <c r="B1632" t="s">
        <v>158</v>
      </c>
      <c r="C1632">
        <v>165300</v>
      </c>
      <c r="D1632">
        <v>165300</v>
      </c>
      <c r="E1632">
        <v>0</v>
      </c>
      <c r="F1632">
        <v>20</v>
      </c>
      <c r="G1632">
        <v>20</v>
      </c>
      <c r="O1632">
        <v>40</v>
      </c>
    </row>
    <row r="1633" spans="1:15" x14ac:dyDescent="0.25">
      <c r="A1633" t="s">
        <v>2690</v>
      </c>
      <c r="B1633" t="s">
        <v>2691</v>
      </c>
      <c r="C1633">
        <v>168761</v>
      </c>
      <c r="D1633">
        <v>168761</v>
      </c>
      <c r="E1633">
        <v>10</v>
      </c>
      <c r="F1633">
        <v>20</v>
      </c>
      <c r="G1633">
        <v>20</v>
      </c>
      <c r="O1633">
        <v>50</v>
      </c>
    </row>
    <row r="1634" spans="1:15" x14ac:dyDescent="0.25">
      <c r="A1634" t="s">
        <v>2692</v>
      </c>
      <c r="B1634" t="s">
        <v>1499</v>
      </c>
      <c r="C1634">
        <v>166098</v>
      </c>
      <c r="D1634">
        <v>166098</v>
      </c>
      <c r="H1634">
        <v>10</v>
      </c>
      <c r="I1634">
        <v>40</v>
      </c>
      <c r="J1634">
        <v>10</v>
      </c>
      <c r="K1634">
        <v>10</v>
      </c>
      <c r="L1634">
        <v>10</v>
      </c>
      <c r="M1634">
        <v>80</v>
      </c>
    </row>
    <row r="1635" spans="1:15" x14ac:dyDescent="0.25">
      <c r="A1635" t="s">
        <v>2693</v>
      </c>
      <c r="B1635" t="s">
        <v>828</v>
      </c>
      <c r="C1635">
        <v>168095</v>
      </c>
      <c r="D1635">
        <v>168095</v>
      </c>
    </row>
    <row r="1636" spans="1:15" x14ac:dyDescent="0.25">
      <c r="A1636" t="s">
        <v>2694</v>
      </c>
      <c r="B1636" t="s">
        <v>551</v>
      </c>
      <c r="C1636">
        <v>165620</v>
      </c>
      <c r="D1636">
        <v>165620</v>
      </c>
      <c r="E1636">
        <v>30</v>
      </c>
      <c r="F1636">
        <v>20</v>
      </c>
      <c r="G1636">
        <v>50</v>
      </c>
      <c r="O1636">
        <v>100</v>
      </c>
    </row>
    <row r="1637" spans="1:15" x14ac:dyDescent="0.25">
      <c r="A1637" t="s">
        <v>2695</v>
      </c>
      <c r="B1637" t="s">
        <v>2696</v>
      </c>
      <c r="C1637">
        <v>167544</v>
      </c>
      <c r="D1637">
        <v>167544</v>
      </c>
      <c r="H1637">
        <v>0</v>
      </c>
      <c r="I1637">
        <v>40</v>
      </c>
      <c r="J1637">
        <v>0</v>
      </c>
      <c r="K1637">
        <v>10</v>
      </c>
      <c r="L1637">
        <v>0</v>
      </c>
      <c r="M1637">
        <v>50</v>
      </c>
    </row>
    <row r="1638" spans="1:15" x14ac:dyDescent="0.25">
      <c r="A1638" t="s">
        <v>2697</v>
      </c>
      <c r="B1638" t="s">
        <v>529</v>
      </c>
      <c r="C1638">
        <v>166010</v>
      </c>
      <c r="D1638">
        <v>166010</v>
      </c>
      <c r="H1638">
        <v>20</v>
      </c>
      <c r="I1638">
        <v>0</v>
      </c>
      <c r="J1638">
        <v>10</v>
      </c>
      <c r="K1638">
        <v>10</v>
      </c>
      <c r="L1638">
        <v>10</v>
      </c>
      <c r="M1638">
        <v>50</v>
      </c>
    </row>
    <row r="1639" spans="1:15" x14ac:dyDescent="0.25">
      <c r="A1639" t="s">
        <v>2698</v>
      </c>
      <c r="B1639" t="s">
        <v>2699</v>
      </c>
      <c r="C1639">
        <v>163556</v>
      </c>
      <c r="D1639">
        <v>163556</v>
      </c>
    </row>
    <row r="1640" spans="1:15" x14ac:dyDescent="0.25">
      <c r="A1640" t="s">
        <v>2700</v>
      </c>
      <c r="B1640" t="s">
        <v>2518</v>
      </c>
      <c r="C1640">
        <v>168068</v>
      </c>
      <c r="D1640">
        <v>168068</v>
      </c>
      <c r="E1640">
        <v>30</v>
      </c>
      <c r="F1640">
        <v>20</v>
      </c>
      <c r="G1640">
        <v>10</v>
      </c>
      <c r="O1640">
        <v>60</v>
      </c>
    </row>
    <row r="1641" spans="1:15" x14ac:dyDescent="0.25">
      <c r="A1641" t="s">
        <v>2701</v>
      </c>
      <c r="B1641" t="s">
        <v>130</v>
      </c>
      <c r="C1641">
        <v>165947</v>
      </c>
      <c r="D1641">
        <v>165947</v>
      </c>
      <c r="H1641">
        <v>10</v>
      </c>
      <c r="I1641">
        <v>50</v>
      </c>
      <c r="J1641">
        <v>10</v>
      </c>
      <c r="K1641">
        <v>10</v>
      </c>
      <c r="L1641">
        <v>0</v>
      </c>
      <c r="M1641">
        <v>80</v>
      </c>
    </row>
    <row r="1642" spans="1:15" x14ac:dyDescent="0.25">
      <c r="A1642" t="s">
        <v>2702</v>
      </c>
      <c r="B1642" t="s">
        <v>2703</v>
      </c>
      <c r="C1642">
        <v>167402</v>
      </c>
      <c r="D1642">
        <v>167402</v>
      </c>
      <c r="H1642">
        <v>10</v>
      </c>
      <c r="I1642">
        <v>40</v>
      </c>
      <c r="J1642">
        <v>10</v>
      </c>
      <c r="K1642">
        <v>10</v>
      </c>
      <c r="L1642">
        <v>10</v>
      </c>
      <c r="M1642">
        <v>80</v>
      </c>
    </row>
    <row r="1643" spans="1:15" x14ac:dyDescent="0.25">
      <c r="A1643" t="s">
        <v>2704</v>
      </c>
      <c r="B1643" t="s">
        <v>1513</v>
      </c>
      <c r="C1643">
        <v>164855</v>
      </c>
      <c r="D1643">
        <v>164855</v>
      </c>
    </row>
    <row r="1644" spans="1:15" x14ac:dyDescent="0.25">
      <c r="A1644" t="s">
        <v>2705</v>
      </c>
      <c r="B1644" t="s">
        <v>2706</v>
      </c>
      <c r="C1644">
        <v>167470</v>
      </c>
      <c r="D1644">
        <v>167470</v>
      </c>
      <c r="E1644">
        <v>40</v>
      </c>
      <c r="F1644">
        <v>30</v>
      </c>
      <c r="G1644">
        <v>60</v>
      </c>
      <c r="O1644">
        <v>130</v>
      </c>
    </row>
    <row r="1645" spans="1:15" x14ac:dyDescent="0.25">
      <c r="A1645" t="s">
        <v>2707</v>
      </c>
      <c r="B1645" t="s">
        <v>818</v>
      </c>
      <c r="C1645">
        <v>162101</v>
      </c>
      <c r="D1645">
        <v>162101</v>
      </c>
    </row>
    <row r="1646" spans="1:15" x14ac:dyDescent="0.25">
      <c r="A1646" t="s">
        <v>2708</v>
      </c>
      <c r="B1646" t="s">
        <v>2709</v>
      </c>
      <c r="C1646">
        <v>167729</v>
      </c>
      <c r="D1646">
        <v>167729</v>
      </c>
      <c r="H1646">
        <v>0</v>
      </c>
      <c r="I1646">
        <v>20</v>
      </c>
      <c r="J1646">
        <v>20</v>
      </c>
      <c r="K1646">
        <v>0</v>
      </c>
      <c r="L1646">
        <v>0</v>
      </c>
      <c r="M1646">
        <v>40</v>
      </c>
    </row>
    <row r="1647" spans="1:15" x14ac:dyDescent="0.25">
      <c r="A1647" t="s">
        <v>2710</v>
      </c>
      <c r="B1647" t="s">
        <v>83</v>
      </c>
      <c r="C1647">
        <v>166741</v>
      </c>
      <c r="D1647">
        <v>166741</v>
      </c>
      <c r="H1647">
        <v>0</v>
      </c>
      <c r="I1647">
        <v>40</v>
      </c>
      <c r="J1647">
        <v>20</v>
      </c>
      <c r="K1647">
        <v>0</v>
      </c>
      <c r="L1647">
        <v>10</v>
      </c>
      <c r="M1647">
        <v>70</v>
      </c>
    </row>
    <row r="1648" spans="1:15" x14ac:dyDescent="0.25">
      <c r="A1648" t="s">
        <v>2711</v>
      </c>
      <c r="B1648" t="s">
        <v>2712</v>
      </c>
      <c r="C1648">
        <v>164898</v>
      </c>
      <c r="D1648">
        <v>164898</v>
      </c>
    </row>
    <row r="1649" spans="1:15" x14ac:dyDescent="0.25">
      <c r="A1649" t="s">
        <v>2713</v>
      </c>
      <c r="B1649" t="s">
        <v>2714</v>
      </c>
      <c r="C1649">
        <v>166095</v>
      </c>
      <c r="D1649">
        <v>166095</v>
      </c>
      <c r="H1649">
        <v>10</v>
      </c>
      <c r="I1649">
        <v>40</v>
      </c>
      <c r="J1649">
        <v>0</v>
      </c>
      <c r="K1649">
        <v>0</v>
      </c>
      <c r="L1649">
        <v>10</v>
      </c>
      <c r="M1649">
        <v>60</v>
      </c>
    </row>
    <row r="1650" spans="1:15" x14ac:dyDescent="0.25">
      <c r="A1650" t="s">
        <v>2715</v>
      </c>
      <c r="B1650" t="s">
        <v>45</v>
      </c>
      <c r="C1650">
        <v>168851</v>
      </c>
      <c r="D1650">
        <v>168851</v>
      </c>
      <c r="H1650">
        <v>0</v>
      </c>
      <c r="I1650">
        <v>40</v>
      </c>
      <c r="J1650">
        <v>20</v>
      </c>
      <c r="K1650">
        <v>10</v>
      </c>
      <c r="L1650">
        <v>10</v>
      </c>
      <c r="M1650">
        <v>80</v>
      </c>
    </row>
    <row r="1651" spans="1:15" x14ac:dyDescent="0.25">
      <c r="A1651" t="s">
        <v>2716</v>
      </c>
      <c r="B1651" t="s">
        <v>510</v>
      </c>
      <c r="C1651">
        <v>166377</v>
      </c>
      <c r="D1651">
        <v>166377</v>
      </c>
      <c r="E1651">
        <v>30</v>
      </c>
      <c r="F1651">
        <v>30</v>
      </c>
      <c r="G1651">
        <v>40</v>
      </c>
      <c r="O1651">
        <v>100</v>
      </c>
    </row>
    <row r="1652" spans="1:15" x14ac:dyDescent="0.25">
      <c r="A1652" t="s">
        <v>2717</v>
      </c>
      <c r="B1652" t="s">
        <v>2718</v>
      </c>
      <c r="C1652">
        <v>166949</v>
      </c>
      <c r="D1652">
        <v>166949</v>
      </c>
      <c r="H1652">
        <v>10</v>
      </c>
      <c r="I1652">
        <v>30</v>
      </c>
      <c r="J1652">
        <v>10</v>
      </c>
      <c r="K1652">
        <v>10</v>
      </c>
      <c r="L1652">
        <v>10</v>
      </c>
      <c r="M1652">
        <v>70</v>
      </c>
    </row>
    <row r="1653" spans="1:15" x14ac:dyDescent="0.25">
      <c r="A1653" t="s">
        <v>2719</v>
      </c>
      <c r="B1653" t="s">
        <v>2720</v>
      </c>
      <c r="C1653">
        <v>168466</v>
      </c>
      <c r="D1653">
        <v>168466</v>
      </c>
      <c r="H1653">
        <v>0</v>
      </c>
      <c r="I1653">
        <v>30</v>
      </c>
      <c r="J1653">
        <v>10</v>
      </c>
      <c r="K1653">
        <v>10</v>
      </c>
      <c r="L1653">
        <v>10</v>
      </c>
      <c r="M1653">
        <v>60</v>
      </c>
    </row>
    <row r="1654" spans="1:15" x14ac:dyDescent="0.25">
      <c r="A1654" t="s">
        <v>2721</v>
      </c>
      <c r="B1654" t="s">
        <v>944</v>
      </c>
      <c r="C1654">
        <v>154893</v>
      </c>
      <c r="D1654">
        <v>154893</v>
      </c>
      <c r="H1654">
        <v>20</v>
      </c>
      <c r="I1654">
        <v>20</v>
      </c>
      <c r="J1654">
        <v>10</v>
      </c>
      <c r="K1654">
        <v>10</v>
      </c>
      <c r="L1654">
        <v>0</v>
      </c>
      <c r="M1654">
        <v>60</v>
      </c>
    </row>
    <row r="1655" spans="1:15" x14ac:dyDescent="0.25">
      <c r="A1655" t="s">
        <v>2722</v>
      </c>
      <c r="B1655" t="s">
        <v>218</v>
      </c>
      <c r="C1655">
        <v>167557</v>
      </c>
      <c r="D1655">
        <v>167557</v>
      </c>
      <c r="H1655">
        <v>10</v>
      </c>
      <c r="I1655">
        <v>40</v>
      </c>
      <c r="J1655">
        <v>10</v>
      </c>
      <c r="K1655">
        <v>10</v>
      </c>
      <c r="L1655">
        <v>0</v>
      </c>
      <c r="M1655">
        <v>70</v>
      </c>
    </row>
    <row r="1656" spans="1:15" x14ac:dyDescent="0.25">
      <c r="A1656" t="s">
        <v>2723</v>
      </c>
      <c r="B1656" t="s">
        <v>2724</v>
      </c>
      <c r="C1656">
        <v>168866</v>
      </c>
      <c r="D1656">
        <v>168866</v>
      </c>
      <c r="H1656">
        <v>0</v>
      </c>
      <c r="I1656">
        <v>50</v>
      </c>
      <c r="J1656">
        <v>10</v>
      </c>
      <c r="K1656">
        <v>10</v>
      </c>
      <c r="L1656">
        <v>10</v>
      </c>
      <c r="M1656">
        <v>80</v>
      </c>
    </row>
    <row r="1657" spans="1:15" x14ac:dyDescent="0.25">
      <c r="A1657" t="s">
        <v>2725</v>
      </c>
      <c r="B1657" t="s">
        <v>2726</v>
      </c>
      <c r="C1657">
        <v>168016</v>
      </c>
      <c r="D1657">
        <v>168016</v>
      </c>
      <c r="H1657">
        <v>10</v>
      </c>
      <c r="I1657">
        <v>30</v>
      </c>
      <c r="J1657">
        <v>20</v>
      </c>
      <c r="K1657">
        <v>10</v>
      </c>
      <c r="L1657">
        <v>0</v>
      </c>
      <c r="M1657">
        <v>70</v>
      </c>
    </row>
    <row r="1658" spans="1:15" x14ac:dyDescent="0.25">
      <c r="A1658" t="s">
        <v>2727</v>
      </c>
      <c r="B1658" t="s">
        <v>2728</v>
      </c>
      <c r="C1658">
        <v>165894</v>
      </c>
      <c r="D1658">
        <v>165894</v>
      </c>
      <c r="H1658">
        <v>20</v>
      </c>
      <c r="I1658">
        <v>60</v>
      </c>
      <c r="J1658">
        <v>10</v>
      </c>
      <c r="K1658">
        <v>10</v>
      </c>
      <c r="L1658">
        <v>10</v>
      </c>
      <c r="M1658">
        <v>110</v>
      </c>
    </row>
    <row r="1659" spans="1:15" x14ac:dyDescent="0.25">
      <c r="A1659" t="s">
        <v>2729</v>
      </c>
      <c r="B1659" t="s">
        <v>551</v>
      </c>
      <c r="C1659">
        <v>166855</v>
      </c>
      <c r="D1659">
        <v>166855</v>
      </c>
      <c r="H1659">
        <v>10</v>
      </c>
      <c r="I1659">
        <v>50</v>
      </c>
      <c r="J1659">
        <v>10</v>
      </c>
      <c r="K1659">
        <v>10</v>
      </c>
      <c r="L1659">
        <v>10</v>
      </c>
      <c r="M1659">
        <v>90</v>
      </c>
    </row>
    <row r="1660" spans="1:15" x14ac:dyDescent="0.25">
      <c r="A1660" t="s">
        <v>2730</v>
      </c>
      <c r="B1660" t="s">
        <v>2720</v>
      </c>
      <c r="C1660">
        <v>166246</v>
      </c>
      <c r="D1660">
        <v>166246</v>
      </c>
      <c r="H1660">
        <v>20</v>
      </c>
      <c r="I1660">
        <v>40</v>
      </c>
      <c r="J1660">
        <v>10</v>
      </c>
      <c r="K1660">
        <v>0</v>
      </c>
      <c r="L1660">
        <v>10</v>
      </c>
      <c r="M1660">
        <v>80</v>
      </c>
    </row>
    <row r="1661" spans="1:15" x14ac:dyDescent="0.25">
      <c r="A1661" t="s">
        <v>2731</v>
      </c>
      <c r="B1661" t="s">
        <v>197</v>
      </c>
      <c r="C1661">
        <v>167512</v>
      </c>
      <c r="D1661">
        <v>167512</v>
      </c>
      <c r="E1661">
        <v>0</v>
      </c>
      <c r="F1661">
        <v>20</v>
      </c>
      <c r="G1661">
        <v>30</v>
      </c>
      <c r="O1661">
        <v>50</v>
      </c>
    </row>
    <row r="1662" spans="1:15" x14ac:dyDescent="0.25">
      <c r="A1662" t="s">
        <v>2732</v>
      </c>
      <c r="B1662" t="s">
        <v>418</v>
      </c>
      <c r="C1662">
        <v>167662</v>
      </c>
      <c r="D1662">
        <v>167662</v>
      </c>
      <c r="E1662">
        <v>40</v>
      </c>
      <c r="F1662">
        <v>10</v>
      </c>
      <c r="G1662">
        <v>40</v>
      </c>
      <c r="O1662">
        <v>90</v>
      </c>
    </row>
    <row r="1663" spans="1:15" x14ac:dyDescent="0.25">
      <c r="A1663" t="s">
        <v>2733</v>
      </c>
      <c r="B1663" t="s">
        <v>2734</v>
      </c>
      <c r="C1663">
        <v>168129</v>
      </c>
      <c r="D1663">
        <v>168129</v>
      </c>
      <c r="H1663">
        <v>0</v>
      </c>
      <c r="I1663">
        <v>0</v>
      </c>
      <c r="J1663">
        <v>20</v>
      </c>
      <c r="K1663">
        <v>10</v>
      </c>
      <c r="L1663">
        <v>10</v>
      </c>
      <c r="M1663">
        <v>40</v>
      </c>
    </row>
    <row r="1664" spans="1:15" x14ac:dyDescent="0.25">
      <c r="A1664" t="s">
        <v>2735</v>
      </c>
      <c r="B1664" t="s">
        <v>2736</v>
      </c>
      <c r="C1664">
        <v>167810</v>
      </c>
      <c r="D1664">
        <v>167810</v>
      </c>
      <c r="H1664">
        <v>10</v>
      </c>
      <c r="I1664">
        <v>20</v>
      </c>
      <c r="J1664">
        <v>0</v>
      </c>
      <c r="K1664">
        <v>10</v>
      </c>
      <c r="L1664">
        <v>0</v>
      </c>
      <c r="M1664">
        <v>40</v>
      </c>
    </row>
    <row r="1665" spans="1:15" x14ac:dyDescent="0.25">
      <c r="A1665" t="s">
        <v>2735</v>
      </c>
      <c r="B1665" t="s">
        <v>2737</v>
      </c>
      <c r="C1665">
        <v>162464</v>
      </c>
      <c r="D1665">
        <v>162464</v>
      </c>
    </row>
    <row r="1666" spans="1:15" x14ac:dyDescent="0.25">
      <c r="A1666" t="s">
        <v>2738</v>
      </c>
      <c r="B1666" t="s">
        <v>176</v>
      </c>
      <c r="C1666">
        <v>167080</v>
      </c>
      <c r="D1666">
        <v>167080</v>
      </c>
      <c r="E1666">
        <v>40</v>
      </c>
      <c r="F1666">
        <v>10</v>
      </c>
      <c r="G1666">
        <v>30</v>
      </c>
      <c r="O1666">
        <v>80</v>
      </c>
    </row>
    <row r="1667" spans="1:15" x14ac:dyDescent="0.25">
      <c r="A1667" t="s">
        <v>2739</v>
      </c>
      <c r="B1667" t="s">
        <v>2740</v>
      </c>
      <c r="C1667">
        <v>167763</v>
      </c>
      <c r="D1667">
        <v>167763</v>
      </c>
      <c r="E1667">
        <v>40</v>
      </c>
      <c r="F1667">
        <v>40</v>
      </c>
      <c r="G1667">
        <v>50</v>
      </c>
      <c r="O1667">
        <v>130</v>
      </c>
    </row>
    <row r="1668" spans="1:15" x14ac:dyDescent="0.25">
      <c r="A1668" t="s">
        <v>2741</v>
      </c>
      <c r="B1668" t="s">
        <v>218</v>
      </c>
      <c r="C1668">
        <v>167793</v>
      </c>
      <c r="D1668">
        <v>167793</v>
      </c>
      <c r="E1668">
        <v>30</v>
      </c>
      <c r="F1668">
        <v>10</v>
      </c>
      <c r="G1668">
        <v>30</v>
      </c>
      <c r="O1668">
        <v>70</v>
      </c>
    </row>
    <row r="1669" spans="1:15" x14ac:dyDescent="0.25">
      <c r="A1669" t="s">
        <v>2742</v>
      </c>
      <c r="B1669" t="s">
        <v>2743</v>
      </c>
      <c r="C1669">
        <v>168405</v>
      </c>
      <c r="D1669">
        <v>168405</v>
      </c>
    </row>
    <row r="1670" spans="1:15" x14ac:dyDescent="0.25">
      <c r="A1670" t="s">
        <v>2744</v>
      </c>
      <c r="B1670" t="s">
        <v>203</v>
      </c>
      <c r="C1670">
        <v>165354</v>
      </c>
      <c r="D1670">
        <v>165354</v>
      </c>
      <c r="E1670">
        <v>40</v>
      </c>
      <c r="F1670">
        <v>30</v>
      </c>
      <c r="G1670">
        <v>50</v>
      </c>
      <c r="O1670">
        <v>120</v>
      </c>
    </row>
    <row r="1671" spans="1:15" x14ac:dyDescent="0.25">
      <c r="A1671" t="s">
        <v>2745</v>
      </c>
      <c r="B1671" t="s">
        <v>2746</v>
      </c>
      <c r="C1671">
        <v>166442</v>
      </c>
      <c r="D1671">
        <v>166442</v>
      </c>
      <c r="E1671">
        <v>30</v>
      </c>
      <c r="F1671">
        <v>20</v>
      </c>
      <c r="G1671">
        <v>30</v>
      </c>
      <c r="O1671">
        <v>80</v>
      </c>
    </row>
    <row r="1672" spans="1:15" x14ac:dyDescent="0.25">
      <c r="A1672" t="s">
        <v>2745</v>
      </c>
      <c r="B1672" t="s">
        <v>45</v>
      </c>
      <c r="C1672">
        <v>168546</v>
      </c>
      <c r="D1672">
        <v>168546</v>
      </c>
      <c r="H1672">
        <v>10</v>
      </c>
      <c r="I1672">
        <v>40</v>
      </c>
      <c r="J1672">
        <v>20</v>
      </c>
      <c r="K1672">
        <v>10</v>
      </c>
      <c r="L1672">
        <v>0</v>
      </c>
      <c r="M1672">
        <v>80</v>
      </c>
    </row>
    <row r="1673" spans="1:15" x14ac:dyDescent="0.25">
      <c r="A1673" t="s">
        <v>2747</v>
      </c>
      <c r="B1673" t="s">
        <v>2748</v>
      </c>
      <c r="C1673">
        <v>159029</v>
      </c>
      <c r="D1673">
        <v>159029</v>
      </c>
    </row>
    <row r="1674" spans="1:15" x14ac:dyDescent="0.25">
      <c r="A1674" t="s">
        <v>2749</v>
      </c>
      <c r="B1674" t="s">
        <v>1308</v>
      </c>
      <c r="C1674">
        <v>168396</v>
      </c>
      <c r="D1674">
        <v>168396</v>
      </c>
    </row>
    <row r="1675" spans="1:15" x14ac:dyDescent="0.25">
      <c r="A1675" t="s">
        <v>2750</v>
      </c>
      <c r="B1675" t="s">
        <v>286</v>
      </c>
      <c r="C1675">
        <v>167084</v>
      </c>
      <c r="D1675">
        <v>167084</v>
      </c>
      <c r="E1675">
        <v>30</v>
      </c>
      <c r="F1675">
        <v>20</v>
      </c>
      <c r="G1675">
        <v>20</v>
      </c>
      <c r="O1675">
        <v>70</v>
      </c>
    </row>
    <row r="1676" spans="1:15" x14ac:dyDescent="0.25">
      <c r="A1676" t="s">
        <v>2751</v>
      </c>
      <c r="B1676" t="s">
        <v>958</v>
      </c>
      <c r="C1676">
        <v>165336</v>
      </c>
      <c r="D1676">
        <v>165336</v>
      </c>
    </row>
    <row r="1677" spans="1:15" x14ac:dyDescent="0.25">
      <c r="A1677" t="s">
        <v>2752</v>
      </c>
      <c r="B1677" t="s">
        <v>1308</v>
      </c>
      <c r="C1677">
        <v>159841</v>
      </c>
      <c r="D1677">
        <v>159841</v>
      </c>
    </row>
    <row r="1678" spans="1:15" x14ac:dyDescent="0.25">
      <c r="A1678" t="s">
        <v>2753</v>
      </c>
      <c r="B1678" t="s">
        <v>489</v>
      </c>
      <c r="C1678">
        <v>163326</v>
      </c>
      <c r="D1678">
        <v>163326</v>
      </c>
      <c r="E1678">
        <v>20</v>
      </c>
      <c r="F1678">
        <v>0</v>
      </c>
      <c r="G1678">
        <v>40</v>
      </c>
      <c r="O1678">
        <v>60</v>
      </c>
    </row>
    <row r="1679" spans="1:15" x14ac:dyDescent="0.25">
      <c r="A1679" t="s">
        <v>2754</v>
      </c>
      <c r="B1679" t="s">
        <v>2755</v>
      </c>
      <c r="C1679">
        <v>167594</v>
      </c>
      <c r="D1679">
        <v>167594</v>
      </c>
      <c r="H1679">
        <v>20</v>
      </c>
      <c r="I1679">
        <v>30</v>
      </c>
      <c r="J1679">
        <v>20</v>
      </c>
      <c r="K1679">
        <v>10</v>
      </c>
      <c r="L1679">
        <v>10</v>
      </c>
      <c r="M1679">
        <v>90</v>
      </c>
    </row>
    <row r="1680" spans="1:15" x14ac:dyDescent="0.25">
      <c r="A1680" t="s">
        <v>2756</v>
      </c>
      <c r="B1680" t="s">
        <v>166</v>
      </c>
      <c r="C1680">
        <v>168431</v>
      </c>
      <c r="D1680">
        <v>168431</v>
      </c>
      <c r="H1680">
        <v>10</v>
      </c>
      <c r="I1680">
        <v>30</v>
      </c>
      <c r="J1680">
        <v>20</v>
      </c>
      <c r="K1680">
        <v>0</v>
      </c>
      <c r="L1680">
        <v>10</v>
      </c>
      <c r="M1680">
        <v>70</v>
      </c>
    </row>
    <row r="1681" spans="1:18" x14ac:dyDescent="0.25">
      <c r="A1681" t="s">
        <v>2757</v>
      </c>
      <c r="B1681" t="s">
        <v>2758</v>
      </c>
      <c r="C1681">
        <v>168314</v>
      </c>
      <c r="D1681">
        <v>168314</v>
      </c>
    </row>
    <row r="1682" spans="1:18" x14ac:dyDescent="0.25">
      <c r="A1682" t="s">
        <v>2759</v>
      </c>
      <c r="B1682" t="s">
        <v>367</v>
      </c>
      <c r="C1682">
        <v>168334</v>
      </c>
      <c r="D1682">
        <v>168334</v>
      </c>
    </row>
    <row r="1683" spans="1:18" x14ac:dyDescent="0.25">
      <c r="A1683" t="s">
        <v>2760</v>
      </c>
      <c r="B1683" t="s">
        <v>2761</v>
      </c>
      <c r="C1683">
        <v>166823</v>
      </c>
      <c r="D1683">
        <v>166823</v>
      </c>
      <c r="H1683">
        <v>10</v>
      </c>
      <c r="I1683">
        <v>20</v>
      </c>
      <c r="J1683">
        <v>10</v>
      </c>
      <c r="K1683">
        <v>10</v>
      </c>
      <c r="L1683">
        <v>10</v>
      </c>
      <c r="M1683">
        <v>60</v>
      </c>
    </row>
    <row r="1684" spans="1:18" x14ac:dyDescent="0.25">
      <c r="A1684" t="s">
        <v>2762</v>
      </c>
      <c r="B1684" t="s">
        <v>130</v>
      </c>
      <c r="C1684">
        <v>166399</v>
      </c>
      <c r="D1684">
        <v>166399</v>
      </c>
      <c r="E1684">
        <v>40</v>
      </c>
      <c r="F1684">
        <v>40</v>
      </c>
      <c r="G1684">
        <v>20</v>
      </c>
      <c r="O1684">
        <v>100</v>
      </c>
    </row>
    <row r="1685" spans="1:18" x14ac:dyDescent="0.25">
      <c r="A1685" t="s">
        <v>2763</v>
      </c>
      <c r="B1685" t="s">
        <v>166</v>
      </c>
      <c r="C1685">
        <v>167380</v>
      </c>
      <c r="D1685">
        <v>167380</v>
      </c>
      <c r="H1685">
        <v>20</v>
      </c>
      <c r="I1685">
        <v>50</v>
      </c>
      <c r="J1685">
        <v>10</v>
      </c>
      <c r="K1685">
        <v>10</v>
      </c>
      <c r="L1685">
        <v>10</v>
      </c>
      <c r="M1685">
        <v>100</v>
      </c>
    </row>
    <row r="1686" spans="1:18" x14ac:dyDescent="0.25">
      <c r="A1686" t="s">
        <v>2764</v>
      </c>
      <c r="B1686" t="s">
        <v>1059</v>
      </c>
      <c r="C1686">
        <v>165795</v>
      </c>
      <c r="D1686">
        <v>165795</v>
      </c>
      <c r="H1686">
        <v>20</v>
      </c>
      <c r="I1686">
        <v>20</v>
      </c>
      <c r="J1686">
        <v>20</v>
      </c>
      <c r="K1686">
        <v>10</v>
      </c>
      <c r="L1686">
        <v>10</v>
      </c>
      <c r="M1686">
        <v>80</v>
      </c>
    </row>
    <row r="1687" spans="1:18" x14ac:dyDescent="0.25">
      <c r="A1687" t="s">
        <v>2765</v>
      </c>
      <c r="B1687" t="s">
        <v>2766</v>
      </c>
      <c r="C1687">
        <v>166863</v>
      </c>
      <c r="D1687">
        <v>166863</v>
      </c>
      <c r="H1687">
        <v>10</v>
      </c>
      <c r="I1687">
        <v>40</v>
      </c>
      <c r="J1687">
        <v>20</v>
      </c>
      <c r="K1687">
        <v>10</v>
      </c>
      <c r="L1687">
        <v>0</v>
      </c>
      <c r="M1687">
        <v>80</v>
      </c>
    </row>
    <row r="1688" spans="1:18" x14ac:dyDescent="0.25">
      <c r="A1688" t="s">
        <v>2767</v>
      </c>
      <c r="B1688" t="s">
        <v>1835</v>
      </c>
      <c r="C1688">
        <v>166477</v>
      </c>
      <c r="D1688">
        <v>166477</v>
      </c>
      <c r="H1688">
        <v>0</v>
      </c>
      <c r="I1688">
        <v>30</v>
      </c>
      <c r="J1688">
        <v>10</v>
      </c>
      <c r="K1688">
        <v>0</v>
      </c>
      <c r="L1688">
        <v>10</v>
      </c>
      <c r="M1688">
        <v>50</v>
      </c>
    </row>
    <row r="1689" spans="1:18" x14ac:dyDescent="0.25">
      <c r="A1689" t="s">
        <v>2767</v>
      </c>
      <c r="B1689" t="s">
        <v>2768</v>
      </c>
      <c r="C1689">
        <v>168285</v>
      </c>
      <c r="D1689">
        <v>168285</v>
      </c>
      <c r="R1689">
        <v>0</v>
      </c>
    </row>
    <row r="1690" spans="1:18" x14ac:dyDescent="0.25">
      <c r="A1690" t="s">
        <v>2769</v>
      </c>
      <c r="B1690" t="s">
        <v>286</v>
      </c>
      <c r="C1690">
        <v>163436</v>
      </c>
      <c r="D1690">
        <v>163436</v>
      </c>
    </row>
    <row r="1691" spans="1:18" x14ac:dyDescent="0.25">
      <c r="A1691" t="s">
        <v>2769</v>
      </c>
      <c r="B1691" t="s">
        <v>2770</v>
      </c>
      <c r="C1691">
        <v>167827</v>
      </c>
      <c r="D1691">
        <v>167827</v>
      </c>
    </row>
    <row r="1692" spans="1:18" x14ac:dyDescent="0.25">
      <c r="A1692" t="s">
        <v>2771</v>
      </c>
      <c r="B1692" t="s">
        <v>2772</v>
      </c>
      <c r="C1692">
        <v>161696</v>
      </c>
      <c r="D1692">
        <v>161696</v>
      </c>
    </row>
    <row r="1693" spans="1:18" x14ac:dyDescent="0.25">
      <c r="A1693" t="s">
        <v>2773</v>
      </c>
      <c r="B1693" t="s">
        <v>340</v>
      </c>
      <c r="C1693">
        <v>166168</v>
      </c>
      <c r="D1693">
        <v>166168</v>
      </c>
      <c r="E1693">
        <v>40</v>
      </c>
      <c r="F1693">
        <v>30</v>
      </c>
      <c r="G1693">
        <v>30</v>
      </c>
      <c r="O1693">
        <v>100</v>
      </c>
    </row>
    <row r="1694" spans="1:18" x14ac:dyDescent="0.25">
      <c r="A1694" t="s">
        <v>2774</v>
      </c>
      <c r="B1694" t="s">
        <v>715</v>
      </c>
      <c r="C1694">
        <v>168765</v>
      </c>
      <c r="D1694">
        <v>168765</v>
      </c>
      <c r="E1694">
        <v>20</v>
      </c>
      <c r="F1694">
        <v>20</v>
      </c>
      <c r="G1694">
        <v>40</v>
      </c>
      <c r="N1694" t="s">
        <v>549</v>
      </c>
      <c r="O1694">
        <v>80</v>
      </c>
      <c r="R1694">
        <v>0</v>
      </c>
    </row>
    <row r="1695" spans="1:18" x14ac:dyDescent="0.25">
      <c r="A1695" t="s">
        <v>2775</v>
      </c>
      <c r="B1695" t="s">
        <v>2435</v>
      </c>
      <c r="C1695">
        <v>167754</v>
      </c>
      <c r="D1695">
        <v>167754</v>
      </c>
      <c r="E1695">
        <v>0</v>
      </c>
      <c r="F1695">
        <v>20</v>
      </c>
      <c r="O1695">
        <v>20</v>
      </c>
    </row>
    <row r="1696" spans="1:18" x14ac:dyDescent="0.25">
      <c r="A1696" t="s">
        <v>2776</v>
      </c>
      <c r="B1696" t="s">
        <v>2777</v>
      </c>
      <c r="C1696">
        <v>166333</v>
      </c>
      <c r="D1696">
        <v>166333</v>
      </c>
      <c r="H1696">
        <v>20</v>
      </c>
      <c r="I1696">
        <v>40</v>
      </c>
      <c r="J1696">
        <v>20</v>
      </c>
      <c r="K1696">
        <v>10</v>
      </c>
      <c r="L1696">
        <v>0</v>
      </c>
      <c r="M1696">
        <v>90</v>
      </c>
    </row>
    <row r="1697" spans="1:18" x14ac:dyDescent="0.25">
      <c r="A1697" t="s">
        <v>2778</v>
      </c>
      <c r="B1697" t="s">
        <v>176</v>
      </c>
      <c r="C1697">
        <v>167813</v>
      </c>
      <c r="D1697">
        <v>167813</v>
      </c>
      <c r="H1697">
        <v>0</v>
      </c>
      <c r="I1697">
        <v>20</v>
      </c>
      <c r="J1697">
        <v>0</v>
      </c>
      <c r="K1697">
        <v>0</v>
      </c>
      <c r="L1697">
        <v>0</v>
      </c>
      <c r="M1697">
        <v>20</v>
      </c>
    </row>
    <row r="1698" spans="1:18" x14ac:dyDescent="0.25">
      <c r="A1698" t="s">
        <v>2779</v>
      </c>
      <c r="B1698" t="s">
        <v>166</v>
      </c>
      <c r="C1698">
        <v>165031</v>
      </c>
      <c r="D1698">
        <v>165031</v>
      </c>
      <c r="E1698">
        <v>50</v>
      </c>
      <c r="F1698">
        <v>20</v>
      </c>
      <c r="G1698">
        <v>20</v>
      </c>
      <c r="O1698">
        <v>90</v>
      </c>
    </row>
    <row r="1699" spans="1:18" x14ac:dyDescent="0.25">
      <c r="A1699" t="s">
        <v>2780</v>
      </c>
      <c r="B1699" t="s">
        <v>2781</v>
      </c>
      <c r="C1699">
        <v>166797</v>
      </c>
      <c r="D1699">
        <v>166797</v>
      </c>
      <c r="H1699">
        <v>20</v>
      </c>
      <c r="I1699">
        <v>50</v>
      </c>
      <c r="J1699">
        <v>10</v>
      </c>
      <c r="K1699">
        <v>10</v>
      </c>
      <c r="L1699">
        <v>0</v>
      </c>
      <c r="M1699">
        <v>90</v>
      </c>
    </row>
    <row r="1700" spans="1:18" x14ac:dyDescent="0.25">
      <c r="A1700" t="s">
        <v>2782</v>
      </c>
      <c r="B1700" t="s">
        <v>2783</v>
      </c>
      <c r="C1700">
        <v>168627</v>
      </c>
      <c r="D1700">
        <v>168627</v>
      </c>
      <c r="E1700">
        <v>50</v>
      </c>
      <c r="F1700">
        <v>40</v>
      </c>
      <c r="G1700">
        <v>50</v>
      </c>
      <c r="O1700">
        <v>140</v>
      </c>
    </row>
    <row r="1701" spans="1:18" x14ac:dyDescent="0.25">
      <c r="A1701" t="s">
        <v>2782</v>
      </c>
      <c r="B1701" t="s">
        <v>2784</v>
      </c>
      <c r="C1701">
        <v>166344</v>
      </c>
      <c r="D1701">
        <v>166344</v>
      </c>
      <c r="E1701">
        <v>30</v>
      </c>
      <c r="F1701">
        <v>30</v>
      </c>
      <c r="G1701">
        <v>30</v>
      </c>
      <c r="O1701">
        <v>90</v>
      </c>
    </row>
    <row r="1702" spans="1:18" x14ac:dyDescent="0.25">
      <c r="A1702" t="s">
        <v>2782</v>
      </c>
      <c r="B1702" t="s">
        <v>2785</v>
      </c>
      <c r="C1702">
        <v>168487</v>
      </c>
      <c r="D1702">
        <v>168487</v>
      </c>
    </row>
    <row r="1703" spans="1:18" x14ac:dyDescent="0.25">
      <c r="A1703" t="s">
        <v>2786</v>
      </c>
      <c r="B1703" t="s">
        <v>2787</v>
      </c>
      <c r="C1703">
        <v>167355</v>
      </c>
      <c r="D1703">
        <v>167355</v>
      </c>
      <c r="E1703">
        <v>10</v>
      </c>
      <c r="F1703">
        <v>0</v>
      </c>
      <c r="G1703">
        <v>30</v>
      </c>
      <c r="O1703">
        <v>40</v>
      </c>
    </row>
    <row r="1704" spans="1:18" x14ac:dyDescent="0.25">
      <c r="A1704" t="s">
        <v>2788</v>
      </c>
      <c r="B1704" t="s">
        <v>1223</v>
      </c>
      <c r="C1704">
        <v>166244</v>
      </c>
      <c r="D1704">
        <v>166244</v>
      </c>
      <c r="E1704">
        <v>50</v>
      </c>
      <c r="F1704">
        <v>40</v>
      </c>
      <c r="G1704" t="s">
        <v>20</v>
      </c>
      <c r="O1704">
        <v>90</v>
      </c>
    </row>
    <row r="1705" spans="1:18" x14ac:dyDescent="0.25">
      <c r="A1705" t="s">
        <v>2789</v>
      </c>
      <c r="B1705" t="s">
        <v>99</v>
      </c>
      <c r="C1705">
        <v>165528</v>
      </c>
      <c r="D1705">
        <v>165528</v>
      </c>
      <c r="H1705">
        <v>0</v>
      </c>
      <c r="I1705">
        <v>50</v>
      </c>
      <c r="J1705">
        <v>10</v>
      </c>
      <c r="K1705">
        <v>0</v>
      </c>
      <c r="L1705">
        <v>10</v>
      </c>
      <c r="M1705">
        <v>70</v>
      </c>
    </row>
    <row r="1706" spans="1:18" x14ac:dyDescent="0.25">
      <c r="A1706" t="s">
        <v>2790</v>
      </c>
      <c r="B1706" t="s">
        <v>467</v>
      </c>
      <c r="C1706">
        <v>168747</v>
      </c>
      <c r="D1706">
        <v>168747</v>
      </c>
      <c r="H1706">
        <v>10</v>
      </c>
      <c r="I1706">
        <v>30</v>
      </c>
      <c r="J1706">
        <v>0</v>
      </c>
      <c r="K1706">
        <v>0</v>
      </c>
      <c r="L1706">
        <v>0</v>
      </c>
      <c r="M1706">
        <v>40</v>
      </c>
    </row>
    <row r="1707" spans="1:18" x14ac:dyDescent="0.25">
      <c r="A1707" t="s">
        <v>2790</v>
      </c>
      <c r="B1707" t="s">
        <v>2791</v>
      </c>
      <c r="C1707">
        <v>162837</v>
      </c>
      <c r="D1707">
        <v>162837</v>
      </c>
    </row>
    <row r="1708" spans="1:18" x14ac:dyDescent="0.25">
      <c r="A1708" t="s">
        <v>2792</v>
      </c>
      <c r="B1708" t="s">
        <v>727</v>
      </c>
      <c r="C1708">
        <v>166405</v>
      </c>
      <c r="D1708">
        <v>166405</v>
      </c>
    </row>
    <row r="1709" spans="1:18" x14ac:dyDescent="0.25">
      <c r="A1709" t="s">
        <v>2793</v>
      </c>
      <c r="B1709" t="s">
        <v>2794</v>
      </c>
      <c r="C1709">
        <v>166886</v>
      </c>
      <c r="D1709">
        <v>166886</v>
      </c>
      <c r="E1709">
        <v>0</v>
      </c>
      <c r="F1709">
        <v>10</v>
      </c>
      <c r="O1709">
        <v>10</v>
      </c>
      <c r="R1709" t="s">
        <v>20</v>
      </c>
    </row>
    <row r="1710" spans="1:18" x14ac:dyDescent="0.25">
      <c r="A1710" t="s">
        <v>2795</v>
      </c>
      <c r="B1710" t="s">
        <v>2095</v>
      </c>
      <c r="C1710">
        <v>166392</v>
      </c>
      <c r="D1710">
        <v>166392</v>
      </c>
      <c r="H1710">
        <v>10</v>
      </c>
      <c r="I1710">
        <v>50</v>
      </c>
      <c r="J1710">
        <v>10</v>
      </c>
      <c r="K1710">
        <v>10</v>
      </c>
      <c r="L1710">
        <v>0</v>
      </c>
      <c r="M1710">
        <v>80</v>
      </c>
    </row>
    <row r="1711" spans="1:18" x14ac:dyDescent="0.25">
      <c r="A1711" t="s">
        <v>2796</v>
      </c>
      <c r="B1711" t="s">
        <v>2797</v>
      </c>
      <c r="C1711">
        <v>166960</v>
      </c>
      <c r="D1711">
        <v>166960</v>
      </c>
      <c r="H1711">
        <v>0</v>
      </c>
      <c r="I1711">
        <v>30</v>
      </c>
      <c r="J1711">
        <v>10</v>
      </c>
      <c r="K1711">
        <v>0</v>
      </c>
      <c r="M1711">
        <v>40</v>
      </c>
    </row>
    <row r="1712" spans="1:18" x14ac:dyDescent="0.25">
      <c r="A1712" t="s">
        <v>2798</v>
      </c>
      <c r="B1712" t="s">
        <v>1631</v>
      </c>
      <c r="C1712">
        <v>168538</v>
      </c>
      <c r="D1712">
        <v>168538</v>
      </c>
      <c r="E1712">
        <v>10</v>
      </c>
      <c r="F1712">
        <v>30</v>
      </c>
      <c r="G1712">
        <v>10</v>
      </c>
      <c r="O1712">
        <v>50</v>
      </c>
    </row>
    <row r="1713" spans="1:15" x14ac:dyDescent="0.25">
      <c r="A1713" t="s">
        <v>2799</v>
      </c>
      <c r="B1713" t="s">
        <v>2800</v>
      </c>
      <c r="C1713">
        <v>167542</v>
      </c>
      <c r="D1713">
        <v>167542</v>
      </c>
      <c r="E1713">
        <v>30</v>
      </c>
      <c r="F1713">
        <v>40</v>
      </c>
      <c r="G1713">
        <v>50</v>
      </c>
      <c r="O1713">
        <v>120</v>
      </c>
    </row>
    <row r="1714" spans="1:15" x14ac:dyDescent="0.25">
      <c r="A1714" t="s">
        <v>2799</v>
      </c>
      <c r="B1714" t="s">
        <v>906</v>
      </c>
      <c r="C1714">
        <v>165930</v>
      </c>
      <c r="D1714">
        <v>165930</v>
      </c>
      <c r="E1714">
        <v>50</v>
      </c>
      <c r="F1714">
        <v>20</v>
      </c>
      <c r="G1714">
        <v>40</v>
      </c>
      <c r="O1714">
        <v>110</v>
      </c>
    </row>
    <row r="1715" spans="1:15" x14ac:dyDescent="0.25">
      <c r="A1715" t="s">
        <v>2801</v>
      </c>
      <c r="B1715" t="s">
        <v>870</v>
      </c>
      <c r="C1715">
        <v>168659</v>
      </c>
      <c r="D1715">
        <v>168659</v>
      </c>
      <c r="H1715">
        <v>10</v>
      </c>
      <c r="I1715">
        <v>30</v>
      </c>
      <c r="J1715">
        <v>10</v>
      </c>
      <c r="K1715">
        <v>10</v>
      </c>
      <c r="L1715">
        <v>0</v>
      </c>
      <c r="M1715">
        <v>60</v>
      </c>
    </row>
    <row r="1716" spans="1:15" x14ac:dyDescent="0.25">
      <c r="A1716" t="s">
        <v>2802</v>
      </c>
      <c r="B1716" t="s">
        <v>2803</v>
      </c>
      <c r="C1716">
        <v>161387</v>
      </c>
      <c r="D1716">
        <v>161387</v>
      </c>
      <c r="H1716">
        <v>20</v>
      </c>
      <c r="I1716">
        <v>40</v>
      </c>
      <c r="J1716">
        <v>0</v>
      </c>
      <c r="K1716">
        <v>10</v>
      </c>
      <c r="L1716">
        <v>0</v>
      </c>
      <c r="M1716">
        <v>70</v>
      </c>
    </row>
    <row r="1717" spans="1:15" x14ac:dyDescent="0.25">
      <c r="A1717" t="s">
        <v>2804</v>
      </c>
      <c r="B1717" t="s">
        <v>1949</v>
      </c>
      <c r="C1717">
        <v>168845</v>
      </c>
      <c r="D1717">
        <v>168845</v>
      </c>
    </row>
    <row r="1718" spans="1:15" x14ac:dyDescent="0.25">
      <c r="A1718" t="s">
        <v>2805</v>
      </c>
      <c r="B1718" t="s">
        <v>340</v>
      </c>
      <c r="C1718">
        <v>167007</v>
      </c>
      <c r="D1718">
        <v>167007</v>
      </c>
      <c r="H1718">
        <v>10</v>
      </c>
      <c r="I1718">
        <v>30</v>
      </c>
      <c r="J1718">
        <v>20</v>
      </c>
      <c r="K1718">
        <v>0</v>
      </c>
      <c r="L1718">
        <v>0</v>
      </c>
      <c r="M1718">
        <v>60</v>
      </c>
    </row>
    <row r="1719" spans="1:15" x14ac:dyDescent="0.25">
      <c r="A1719" t="s">
        <v>2806</v>
      </c>
      <c r="B1719" t="s">
        <v>2807</v>
      </c>
      <c r="C1719">
        <v>168422</v>
      </c>
      <c r="D1719">
        <v>168422</v>
      </c>
      <c r="E1719">
        <v>40</v>
      </c>
      <c r="F1719">
        <v>10</v>
      </c>
      <c r="G1719">
        <v>40</v>
      </c>
      <c r="O1719">
        <v>90</v>
      </c>
    </row>
    <row r="1720" spans="1:15" x14ac:dyDescent="0.25">
      <c r="A1720" t="s">
        <v>2808</v>
      </c>
      <c r="B1720" t="s">
        <v>486</v>
      </c>
      <c r="C1720">
        <v>167855</v>
      </c>
      <c r="D1720">
        <v>167855</v>
      </c>
      <c r="E1720">
        <v>40</v>
      </c>
      <c r="F1720">
        <v>0</v>
      </c>
      <c r="G1720">
        <v>20</v>
      </c>
      <c r="O1720">
        <v>60</v>
      </c>
    </row>
    <row r="1721" spans="1:15" x14ac:dyDescent="0.25">
      <c r="A1721" t="s">
        <v>2809</v>
      </c>
      <c r="B1721" t="s">
        <v>2810</v>
      </c>
      <c r="C1721">
        <v>160524</v>
      </c>
      <c r="D1721">
        <v>160524</v>
      </c>
      <c r="E1721">
        <v>30</v>
      </c>
      <c r="F1721">
        <v>20</v>
      </c>
      <c r="G1721">
        <v>40</v>
      </c>
      <c r="O1721">
        <v>90</v>
      </c>
    </row>
    <row r="1722" spans="1:15" x14ac:dyDescent="0.25">
      <c r="A1722" t="s">
        <v>2811</v>
      </c>
      <c r="B1722" t="s">
        <v>1592</v>
      </c>
      <c r="C1722">
        <v>166368</v>
      </c>
      <c r="D1722">
        <v>166368</v>
      </c>
      <c r="E1722">
        <v>30</v>
      </c>
      <c r="F1722">
        <v>30</v>
      </c>
      <c r="G1722">
        <v>40</v>
      </c>
      <c r="O1722">
        <v>100</v>
      </c>
    </row>
    <row r="1723" spans="1:15" x14ac:dyDescent="0.25">
      <c r="A1723" t="s">
        <v>2812</v>
      </c>
      <c r="B1723" t="s">
        <v>2813</v>
      </c>
      <c r="C1723">
        <v>168347</v>
      </c>
      <c r="D1723">
        <v>168347</v>
      </c>
      <c r="E1723">
        <v>20</v>
      </c>
      <c r="F1723">
        <v>10</v>
      </c>
      <c r="G1723">
        <v>10</v>
      </c>
      <c r="O1723">
        <v>40</v>
      </c>
    </row>
    <row r="1724" spans="1:15" x14ac:dyDescent="0.25">
      <c r="A1724" t="s">
        <v>2814</v>
      </c>
      <c r="B1724" t="s">
        <v>467</v>
      </c>
      <c r="C1724">
        <v>166009</v>
      </c>
      <c r="D1724">
        <v>166009</v>
      </c>
      <c r="H1724">
        <v>10</v>
      </c>
      <c r="I1724">
        <v>10</v>
      </c>
      <c r="J1724">
        <v>10</v>
      </c>
      <c r="K1724">
        <v>0</v>
      </c>
      <c r="L1724">
        <v>0</v>
      </c>
      <c r="M1724">
        <v>30</v>
      </c>
    </row>
    <row r="1725" spans="1:15" x14ac:dyDescent="0.25">
      <c r="A1725" t="s">
        <v>2815</v>
      </c>
      <c r="B1725" t="s">
        <v>596</v>
      </c>
      <c r="C1725">
        <v>165855</v>
      </c>
      <c r="D1725">
        <v>165855</v>
      </c>
      <c r="E1725">
        <v>50</v>
      </c>
      <c r="F1725">
        <v>40</v>
      </c>
      <c r="G1725">
        <v>60</v>
      </c>
      <c r="O1725">
        <v>150</v>
      </c>
    </row>
    <row r="1726" spans="1:15" x14ac:dyDescent="0.25">
      <c r="A1726" t="s">
        <v>2816</v>
      </c>
      <c r="B1726" t="s">
        <v>2197</v>
      </c>
      <c r="C1726">
        <v>166941</v>
      </c>
      <c r="D1726">
        <v>166941</v>
      </c>
      <c r="H1726">
        <v>20</v>
      </c>
      <c r="I1726">
        <v>50</v>
      </c>
      <c r="J1726">
        <v>20</v>
      </c>
      <c r="K1726">
        <v>10</v>
      </c>
      <c r="L1726">
        <v>10</v>
      </c>
      <c r="M1726">
        <v>110</v>
      </c>
    </row>
    <row r="1727" spans="1:15" x14ac:dyDescent="0.25">
      <c r="A1727" t="s">
        <v>2817</v>
      </c>
      <c r="B1727" t="s">
        <v>197</v>
      </c>
      <c r="C1727">
        <v>167771</v>
      </c>
      <c r="D1727">
        <v>167771</v>
      </c>
      <c r="E1727">
        <v>40</v>
      </c>
      <c r="F1727">
        <v>10</v>
      </c>
      <c r="G1727">
        <v>20</v>
      </c>
      <c r="O1727">
        <v>70</v>
      </c>
    </row>
    <row r="1728" spans="1:15" x14ac:dyDescent="0.25">
      <c r="A1728" t="s">
        <v>2818</v>
      </c>
      <c r="B1728" t="s">
        <v>2819</v>
      </c>
      <c r="C1728">
        <v>165568</v>
      </c>
      <c r="D1728">
        <v>165568</v>
      </c>
      <c r="H1728">
        <v>10</v>
      </c>
      <c r="I1728">
        <v>40</v>
      </c>
      <c r="J1728">
        <v>20</v>
      </c>
      <c r="K1728">
        <v>10</v>
      </c>
      <c r="L1728">
        <v>10</v>
      </c>
      <c r="M1728">
        <v>90</v>
      </c>
    </row>
    <row r="1729" spans="1:15" x14ac:dyDescent="0.25">
      <c r="A1729" t="s">
        <v>2820</v>
      </c>
      <c r="B1729" t="s">
        <v>870</v>
      </c>
      <c r="C1729">
        <v>165509</v>
      </c>
      <c r="D1729">
        <v>165509</v>
      </c>
      <c r="E1729">
        <v>40</v>
      </c>
      <c r="F1729">
        <v>20</v>
      </c>
      <c r="G1729">
        <v>20</v>
      </c>
      <c r="O1729">
        <v>80</v>
      </c>
    </row>
    <row r="1730" spans="1:15" x14ac:dyDescent="0.25">
      <c r="A1730" t="s">
        <v>2821</v>
      </c>
      <c r="B1730" t="s">
        <v>2822</v>
      </c>
      <c r="C1730">
        <v>167381</v>
      </c>
      <c r="D1730">
        <v>167381</v>
      </c>
      <c r="H1730">
        <v>20</v>
      </c>
      <c r="I1730">
        <v>0</v>
      </c>
      <c r="J1730">
        <v>10</v>
      </c>
      <c r="K1730">
        <v>0</v>
      </c>
      <c r="L1730">
        <v>0</v>
      </c>
      <c r="M1730">
        <v>30</v>
      </c>
    </row>
    <row r="1731" spans="1:15" x14ac:dyDescent="0.25">
      <c r="A1731" t="s">
        <v>2823</v>
      </c>
      <c r="B1731" t="s">
        <v>2824</v>
      </c>
      <c r="C1731">
        <v>168124</v>
      </c>
      <c r="D1731">
        <v>168124</v>
      </c>
      <c r="E1731">
        <v>10</v>
      </c>
      <c r="F1731">
        <v>40</v>
      </c>
      <c r="G1731">
        <v>30</v>
      </c>
      <c r="O1731">
        <v>80</v>
      </c>
    </row>
    <row r="1732" spans="1:15" x14ac:dyDescent="0.25">
      <c r="A1732" t="s">
        <v>2825</v>
      </c>
      <c r="B1732" t="s">
        <v>218</v>
      </c>
      <c r="C1732">
        <v>167443</v>
      </c>
      <c r="D1732">
        <v>167443</v>
      </c>
    </row>
    <row r="1733" spans="1:15" x14ac:dyDescent="0.25">
      <c r="A1733" t="s">
        <v>2826</v>
      </c>
      <c r="B1733" t="s">
        <v>2827</v>
      </c>
      <c r="C1733">
        <v>167341</v>
      </c>
      <c r="D1733">
        <v>167341</v>
      </c>
      <c r="E1733">
        <v>20</v>
      </c>
      <c r="F1733">
        <v>20</v>
      </c>
      <c r="G1733">
        <v>20</v>
      </c>
      <c r="O1733">
        <v>60</v>
      </c>
    </row>
    <row r="1734" spans="1:15" x14ac:dyDescent="0.25">
      <c r="A1734" t="s">
        <v>2828</v>
      </c>
      <c r="B1734" t="s">
        <v>1675</v>
      </c>
      <c r="C1734">
        <v>166026</v>
      </c>
      <c r="D1734">
        <v>166026</v>
      </c>
      <c r="H1734">
        <v>0</v>
      </c>
      <c r="I1734">
        <v>40</v>
      </c>
      <c r="J1734">
        <v>10</v>
      </c>
      <c r="K1734">
        <v>10</v>
      </c>
      <c r="L1734">
        <v>10</v>
      </c>
      <c r="M1734">
        <v>70</v>
      </c>
    </row>
    <row r="1735" spans="1:15" x14ac:dyDescent="0.25">
      <c r="A1735" t="s">
        <v>2829</v>
      </c>
      <c r="B1735" t="s">
        <v>2830</v>
      </c>
      <c r="C1735">
        <v>166094</v>
      </c>
      <c r="D1735">
        <v>166094</v>
      </c>
      <c r="E1735">
        <v>10</v>
      </c>
      <c r="F1735">
        <v>20</v>
      </c>
      <c r="G1735">
        <v>60</v>
      </c>
      <c r="O1735">
        <v>90</v>
      </c>
    </row>
    <row r="1736" spans="1:15" x14ac:dyDescent="0.25">
      <c r="A1736" t="s">
        <v>2831</v>
      </c>
      <c r="B1736" t="s">
        <v>2832</v>
      </c>
      <c r="C1736">
        <v>167800</v>
      </c>
      <c r="D1736">
        <v>167800</v>
      </c>
      <c r="H1736">
        <v>20</v>
      </c>
      <c r="I1736">
        <v>60</v>
      </c>
      <c r="J1736">
        <v>10</v>
      </c>
      <c r="K1736">
        <v>0</v>
      </c>
      <c r="L1736">
        <v>10</v>
      </c>
      <c r="M1736">
        <v>100</v>
      </c>
    </row>
    <row r="1737" spans="1:15" x14ac:dyDescent="0.25">
      <c r="A1737" t="s">
        <v>2833</v>
      </c>
      <c r="B1737" t="s">
        <v>2834</v>
      </c>
      <c r="C1737">
        <v>167054</v>
      </c>
      <c r="D1737">
        <v>167054</v>
      </c>
      <c r="H1737">
        <v>0</v>
      </c>
      <c r="I1737">
        <v>30</v>
      </c>
      <c r="J1737">
        <v>0</v>
      </c>
      <c r="K1737">
        <v>0</v>
      </c>
      <c r="L1737">
        <v>10</v>
      </c>
      <c r="M1737">
        <v>40</v>
      </c>
    </row>
    <row r="1738" spans="1:15" x14ac:dyDescent="0.25">
      <c r="A1738" t="s">
        <v>2835</v>
      </c>
      <c r="B1738" t="s">
        <v>2836</v>
      </c>
      <c r="C1738">
        <v>167611</v>
      </c>
      <c r="D1738">
        <v>167611</v>
      </c>
      <c r="H1738">
        <v>20</v>
      </c>
      <c r="I1738">
        <v>50</v>
      </c>
      <c r="J1738">
        <v>20</v>
      </c>
      <c r="K1738">
        <v>10</v>
      </c>
      <c r="L1738">
        <v>0</v>
      </c>
      <c r="M1738">
        <v>100</v>
      </c>
    </row>
    <row r="1739" spans="1:15" x14ac:dyDescent="0.25">
      <c r="A1739" t="s">
        <v>2837</v>
      </c>
      <c r="B1739" t="s">
        <v>176</v>
      </c>
      <c r="C1739">
        <v>166364</v>
      </c>
      <c r="D1739">
        <v>166364</v>
      </c>
      <c r="H1739">
        <v>10</v>
      </c>
      <c r="I1739">
        <v>30</v>
      </c>
      <c r="J1739">
        <v>20</v>
      </c>
      <c r="K1739">
        <v>0</v>
      </c>
      <c r="L1739">
        <v>0</v>
      </c>
      <c r="M1739">
        <v>60</v>
      </c>
    </row>
    <row r="1740" spans="1:15" x14ac:dyDescent="0.25">
      <c r="A1740" t="s">
        <v>2838</v>
      </c>
      <c r="B1740" t="s">
        <v>2839</v>
      </c>
      <c r="C1740">
        <v>165723</v>
      </c>
      <c r="D1740">
        <v>165723</v>
      </c>
      <c r="E1740">
        <v>40</v>
      </c>
      <c r="F1740">
        <v>20</v>
      </c>
      <c r="G1740">
        <v>30</v>
      </c>
      <c r="O1740">
        <v>90</v>
      </c>
    </row>
    <row r="1741" spans="1:15" x14ac:dyDescent="0.25">
      <c r="A1741" t="s">
        <v>2840</v>
      </c>
      <c r="B1741" t="s">
        <v>77</v>
      </c>
      <c r="C1741">
        <v>167091</v>
      </c>
      <c r="D1741">
        <v>167091</v>
      </c>
      <c r="E1741">
        <v>0</v>
      </c>
      <c r="F1741">
        <v>30</v>
      </c>
      <c r="G1741">
        <v>30</v>
      </c>
      <c r="O1741">
        <v>60</v>
      </c>
    </row>
    <row r="1742" spans="1:15" x14ac:dyDescent="0.25">
      <c r="A1742" t="s">
        <v>2841</v>
      </c>
      <c r="B1742" t="s">
        <v>2842</v>
      </c>
      <c r="C1742">
        <v>168448</v>
      </c>
      <c r="D1742">
        <v>168448</v>
      </c>
      <c r="H1742">
        <v>0</v>
      </c>
      <c r="I1742">
        <v>40</v>
      </c>
      <c r="J1742">
        <v>10</v>
      </c>
      <c r="K1742">
        <v>0</v>
      </c>
      <c r="L1742">
        <v>0</v>
      </c>
      <c r="M1742">
        <v>50</v>
      </c>
    </row>
    <row r="1743" spans="1:15" x14ac:dyDescent="0.25">
      <c r="A1743" t="s">
        <v>2843</v>
      </c>
      <c r="B1743" t="s">
        <v>2844</v>
      </c>
      <c r="C1743">
        <v>166427</v>
      </c>
      <c r="D1743">
        <v>166427</v>
      </c>
      <c r="E1743">
        <v>30</v>
      </c>
      <c r="F1743">
        <v>20</v>
      </c>
      <c r="G1743">
        <v>30</v>
      </c>
      <c r="O1743">
        <v>80</v>
      </c>
    </row>
    <row r="1744" spans="1:15" x14ac:dyDescent="0.25">
      <c r="A1744" t="s">
        <v>2845</v>
      </c>
      <c r="B1744" t="s">
        <v>2846</v>
      </c>
      <c r="C1744">
        <v>167761</v>
      </c>
      <c r="D1744">
        <v>167761</v>
      </c>
      <c r="H1744">
        <v>0</v>
      </c>
      <c r="I1744" t="s">
        <v>20</v>
      </c>
      <c r="J1744">
        <v>10</v>
      </c>
      <c r="M1744">
        <v>10</v>
      </c>
    </row>
    <row r="1745" spans="1:15" x14ac:dyDescent="0.25">
      <c r="A1745" t="s">
        <v>2847</v>
      </c>
      <c r="B1745" t="s">
        <v>2848</v>
      </c>
      <c r="C1745">
        <v>167590</v>
      </c>
      <c r="D1745">
        <v>167590</v>
      </c>
      <c r="H1745">
        <v>10</v>
      </c>
      <c r="I1745">
        <v>40</v>
      </c>
      <c r="J1745">
        <v>20</v>
      </c>
      <c r="K1745">
        <v>0</v>
      </c>
      <c r="L1745">
        <v>0</v>
      </c>
      <c r="M1745">
        <v>70</v>
      </c>
    </row>
    <row r="1746" spans="1:15" x14ac:dyDescent="0.25">
      <c r="A1746" t="s">
        <v>2849</v>
      </c>
      <c r="B1746" t="s">
        <v>166</v>
      </c>
      <c r="C1746">
        <v>168463</v>
      </c>
      <c r="D1746">
        <v>168463</v>
      </c>
      <c r="E1746">
        <v>50</v>
      </c>
      <c r="F1746">
        <v>30</v>
      </c>
      <c r="G1746">
        <v>20</v>
      </c>
      <c r="O1746">
        <v>100</v>
      </c>
    </row>
    <row r="1747" spans="1:15" x14ac:dyDescent="0.25">
      <c r="A1747" t="s">
        <v>2850</v>
      </c>
      <c r="B1747" t="s">
        <v>367</v>
      </c>
      <c r="C1747">
        <v>159942</v>
      </c>
      <c r="D1747">
        <v>159942</v>
      </c>
    </row>
    <row r="1748" spans="1:15" x14ac:dyDescent="0.25">
      <c r="A1748" t="s">
        <v>2851</v>
      </c>
      <c r="B1748" t="s">
        <v>340</v>
      </c>
      <c r="C1748">
        <v>168649</v>
      </c>
      <c r="D1748">
        <v>168649</v>
      </c>
      <c r="H1748">
        <v>10</v>
      </c>
      <c r="I1748">
        <v>40</v>
      </c>
      <c r="J1748">
        <v>10</v>
      </c>
      <c r="K1748">
        <v>0</v>
      </c>
      <c r="L1748">
        <v>10</v>
      </c>
      <c r="M1748">
        <v>70</v>
      </c>
    </row>
    <row r="1749" spans="1:15" x14ac:dyDescent="0.25">
      <c r="A1749" t="s">
        <v>2852</v>
      </c>
      <c r="B1749" t="s">
        <v>2853</v>
      </c>
      <c r="C1749">
        <v>168399</v>
      </c>
      <c r="D1749">
        <v>168399</v>
      </c>
      <c r="H1749">
        <v>0</v>
      </c>
      <c r="I1749">
        <v>10</v>
      </c>
      <c r="J1749">
        <v>10</v>
      </c>
      <c r="K1749">
        <v>0</v>
      </c>
      <c r="L1749">
        <v>0</v>
      </c>
      <c r="M1749">
        <v>20</v>
      </c>
    </row>
    <row r="1750" spans="1:15" x14ac:dyDescent="0.25">
      <c r="A1750" t="s">
        <v>2854</v>
      </c>
      <c r="B1750" t="s">
        <v>1541</v>
      </c>
      <c r="C1750">
        <v>163280</v>
      </c>
      <c r="D1750">
        <v>163280</v>
      </c>
      <c r="E1750">
        <v>30</v>
      </c>
      <c r="F1750">
        <v>40</v>
      </c>
      <c r="G1750">
        <v>20</v>
      </c>
      <c r="O1750">
        <v>90</v>
      </c>
    </row>
    <row r="1751" spans="1:15" x14ac:dyDescent="0.25">
      <c r="A1751" t="s">
        <v>2855</v>
      </c>
      <c r="B1751" t="s">
        <v>2856</v>
      </c>
      <c r="C1751">
        <v>168826</v>
      </c>
      <c r="D1751">
        <v>168826</v>
      </c>
      <c r="H1751">
        <v>0</v>
      </c>
      <c r="M1751">
        <v>0</v>
      </c>
    </row>
    <row r="1752" spans="1:15" x14ac:dyDescent="0.25">
      <c r="A1752" t="s">
        <v>2857</v>
      </c>
      <c r="B1752" t="s">
        <v>2844</v>
      </c>
      <c r="C1752">
        <v>168265</v>
      </c>
      <c r="D1752">
        <v>168265</v>
      </c>
      <c r="E1752">
        <v>40</v>
      </c>
      <c r="F1752">
        <v>20</v>
      </c>
      <c r="G1752">
        <v>40</v>
      </c>
      <c r="O1752">
        <v>100</v>
      </c>
    </row>
    <row r="1753" spans="1:15" x14ac:dyDescent="0.25">
      <c r="A1753" t="s">
        <v>2858</v>
      </c>
      <c r="B1753" t="s">
        <v>2859</v>
      </c>
      <c r="C1753">
        <v>166522</v>
      </c>
      <c r="D1753">
        <v>166522</v>
      </c>
      <c r="H1753">
        <v>10</v>
      </c>
      <c r="I1753">
        <v>30</v>
      </c>
      <c r="J1753">
        <v>10</v>
      </c>
      <c r="K1753">
        <v>10</v>
      </c>
      <c r="L1753">
        <v>10</v>
      </c>
      <c r="M1753">
        <v>70</v>
      </c>
      <c r="N1753" t="s">
        <v>20</v>
      </c>
    </row>
    <row r="1754" spans="1:15" x14ac:dyDescent="0.25">
      <c r="A1754" t="s">
        <v>2860</v>
      </c>
      <c r="B1754" t="s">
        <v>67</v>
      </c>
      <c r="C1754">
        <v>166815</v>
      </c>
      <c r="D1754">
        <v>166815</v>
      </c>
      <c r="E1754">
        <v>20</v>
      </c>
      <c r="F1754">
        <v>20</v>
      </c>
      <c r="G1754">
        <v>10</v>
      </c>
      <c r="O1754">
        <v>50</v>
      </c>
    </row>
    <row r="1755" spans="1:15" x14ac:dyDescent="0.25">
      <c r="A1755" t="s">
        <v>2861</v>
      </c>
      <c r="B1755" t="s">
        <v>1924</v>
      </c>
      <c r="C1755">
        <v>166327</v>
      </c>
      <c r="D1755">
        <v>166327</v>
      </c>
      <c r="E1755">
        <v>40</v>
      </c>
      <c r="F1755">
        <v>30</v>
      </c>
      <c r="G1755">
        <v>40</v>
      </c>
      <c r="O1755">
        <v>110</v>
      </c>
    </row>
    <row r="1756" spans="1:15" x14ac:dyDescent="0.25">
      <c r="A1756" t="s">
        <v>2862</v>
      </c>
      <c r="B1756" t="s">
        <v>2863</v>
      </c>
      <c r="C1756">
        <v>168343</v>
      </c>
      <c r="D1756">
        <v>168343</v>
      </c>
      <c r="E1756">
        <v>20</v>
      </c>
      <c r="F1756">
        <v>30</v>
      </c>
      <c r="G1756">
        <v>20</v>
      </c>
      <c r="O1756">
        <v>70</v>
      </c>
    </row>
    <row r="1757" spans="1:15" x14ac:dyDescent="0.25">
      <c r="A1757" t="s">
        <v>2864</v>
      </c>
      <c r="B1757" t="s">
        <v>286</v>
      </c>
      <c r="C1757">
        <v>166369</v>
      </c>
      <c r="D1757">
        <v>166369</v>
      </c>
      <c r="E1757">
        <v>30</v>
      </c>
      <c r="O1757">
        <v>30</v>
      </c>
    </row>
    <row r="1758" spans="1:15" x14ac:dyDescent="0.25">
      <c r="A1758" t="s">
        <v>2865</v>
      </c>
      <c r="B1758" t="s">
        <v>944</v>
      </c>
      <c r="C1758">
        <v>166890</v>
      </c>
      <c r="D1758">
        <v>166890</v>
      </c>
    </row>
    <row r="1759" spans="1:15" x14ac:dyDescent="0.25">
      <c r="A1759" t="s">
        <v>2866</v>
      </c>
      <c r="B1759" t="s">
        <v>1392</v>
      </c>
      <c r="C1759">
        <v>166830</v>
      </c>
      <c r="D1759">
        <v>166830</v>
      </c>
      <c r="E1759">
        <v>50</v>
      </c>
      <c r="F1759">
        <v>40</v>
      </c>
      <c r="G1759">
        <v>20</v>
      </c>
      <c r="O1759">
        <v>110</v>
      </c>
    </row>
    <row r="1760" spans="1:15" x14ac:dyDescent="0.25">
      <c r="A1760" t="s">
        <v>2867</v>
      </c>
      <c r="B1760" t="s">
        <v>958</v>
      </c>
      <c r="C1760">
        <v>168039</v>
      </c>
      <c r="D1760">
        <v>168039</v>
      </c>
      <c r="H1760">
        <v>20</v>
      </c>
      <c r="I1760">
        <v>40</v>
      </c>
      <c r="J1760">
        <v>20</v>
      </c>
      <c r="K1760">
        <v>10</v>
      </c>
      <c r="L1760">
        <v>10</v>
      </c>
      <c r="M1760">
        <v>100</v>
      </c>
    </row>
    <row r="1761" spans="1:15" x14ac:dyDescent="0.25">
      <c r="A1761" t="s">
        <v>2868</v>
      </c>
      <c r="B1761" t="s">
        <v>2869</v>
      </c>
      <c r="C1761">
        <v>168641</v>
      </c>
      <c r="D1761">
        <v>168641</v>
      </c>
      <c r="H1761">
        <v>20</v>
      </c>
      <c r="I1761">
        <v>30</v>
      </c>
      <c r="J1761">
        <v>20</v>
      </c>
      <c r="K1761">
        <v>10</v>
      </c>
      <c r="L1761">
        <v>10</v>
      </c>
      <c r="M1761">
        <v>90</v>
      </c>
    </row>
    <row r="1762" spans="1:15" x14ac:dyDescent="0.25">
      <c r="A1762" t="s">
        <v>2870</v>
      </c>
      <c r="B1762" t="s">
        <v>995</v>
      </c>
      <c r="C1762">
        <v>168277</v>
      </c>
      <c r="D1762">
        <v>168277</v>
      </c>
      <c r="E1762">
        <v>10</v>
      </c>
      <c r="F1762">
        <v>20</v>
      </c>
      <c r="G1762">
        <v>10</v>
      </c>
      <c r="O1762">
        <v>40</v>
      </c>
    </row>
    <row r="1763" spans="1:15" x14ac:dyDescent="0.25">
      <c r="A1763" t="s">
        <v>2871</v>
      </c>
      <c r="B1763" t="s">
        <v>2872</v>
      </c>
      <c r="C1763">
        <v>166511</v>
      </c>
      <c r="D1763">
        <v>166511</v>
      </c>
      <c r="E1763">
        <v>50</v>
      </c>
      <c r="F1763">
        <v>20</v>
      </c>
      <c r="G1763">
        <v>30</v>
      </c>
      <c r="O1763">
        <v>100</v>
      </c>
    </row>
    <row r="1764" spans="1:15" x14ac:dyDescent="0.25">
      <c r="A1764" t="s">
        <v>2873</v>
      </c>
      <c r="B1764" t="s">
        <v>2874</v>
      </c>
      <c r="C1764">
        <v>166761</v>
      </c>
      <c r="D1764">
        <v>166761</v>
      </c>
      <c r="H1764">
        <v>20</v>
      </c>
      <c r="I1764">
        <v>40</v>
      </c>
      <c r="J1764">
        <v>10</v>
      </c>
      <c r="K1764">
        <v>10</v>
      </c>
      <c r="L1764">
        <v>10</v>
      </c>
      <c r="M1764">
        <v>90</v>
      </c>
    </row>
    <row r="1765" spans="1:15" x14ac:dyDescent="0.25">
      <c r="A1765" t="s">
        <v>2875</v>
      </c>
      <c r="B1765" t="s">
        <v>209</v>
      </c>
      <c r="C1765">
        <v>168617</v>
      </c>
      <c r="D1765">
        <v>168617</v>
      </c>
      <c r="H1765">
        <v>10</v>
      </c>
      <c r="I1765">
        <v>50</v>
      </c>
      <c r="J1765">
        <v>10</v>
      </c>
      <c r="K1765">
        <v>10</v>
      </c>
      <c r="L1765">
        <v>10</v>
      </c>
      <c r="M1765">
        <v>90</v>
      </c>
    </row>
    <row r="1766" spans="1:15" x14ac:dyDescent="0.25">
      <c r="A1766" t="s">
        <v>2876</v>
      </c>
      <c r="B1766" t="s">
        <v>512</v>
      </c>
      <c r="C1766">
        <v>166755</v>
      </c>
      <c r="D1766">
        <v>166755</v>
      </c>
      <c r="H1766">
        <v>20</v>
      </c>
      <c r="I1766">
        <v>50</v>
      </c>
      <c r="J1766">
        <v>0</v>
      </c>
      <c r="K1766">
        <v>10</v>
      </c>
      <c r="L1766">
        <v>0</v>
      </c>
      <c r="M1766">
        <v>80</v>
      </c>
    </row>
    <row r="1767" spans="1:15" x14ac:dyDescent="0.25">
      <c r="A1767" t="s">
        <v>2877</v>
      </c>
      <c r="B1767" t="s">
        <v>824</v>
      </c>
      <c r="C1767">
        <v>163632</v>
      </c>
      <c r="D1767">
        <v>163632</v>
      </c>
    </row>
    <row r="1768" spans="1:15" x14ac:dyDescent="0.25">
      <c r="A1768" t="s">
        <v>2878</v>
      </c>
      <c r="B1768" t="s">
        <v>2879</v>
      </c>
      <c r="C1768">
        <v>162226</v>
      </c>
      <c r="D1768">
        <v>162226</v>
      </c>
    </row>
    <row r="1769" spans="1:15" x14ac:dyDescent="0.25">
      <c r="A1769" t="s">
        <v>2880</v>
      </c>
      <c r="B1769" t="s">
        <v>2881</v>
      </c>
      <c r="C1769">
        <v>167061</v>
      </c>
      <c r="D1769">
        <v>167061</v>
      </c>
      <c r="H1769">
        <v>0</v>
      </c>
      <c r="I1769">
        <v>20</v>
      </c>
      <c r="J1769">
        <v>10</v>
      </c>
      <c r="K1769">
        <v>10</v>
      </c>
      <c r="L1769">
        <v>0</v>
      </c>
      <c r="M1769">
        <v>40</v>
      </c>
    </row>
    <row r="1770" spans="1:15" x14ac:dyDescent="0.25">
      <c r="A1770" t="s">
        <v>2882</v>
      </c>
      <c r="B1770" t="s">
        <v>2883</v>
      </c>
      <c r="C1770">
        <v>166386</v>
      </c>
      <c r="D1770">
        <v>166386</v>
      </c>
    </row>
    <row r="1771" spans="1:15" x14ac:dyDescent="0.25">
      <c r="A1771" t="s">
        <v>2884</v>
      </c>
      <c r="B1771" t="s">
        <v>2885</v>
      </c>
      <c r="C1771">
        <v>166967</v>
      </c>
      <c r="D1771">
        <v>166967</v>
      </c>
      <c r="E1771">
        <v>30</v>
      </c>
      <c r="F1771">
        <v>20</v>
      </c>
      <c r="G1771">
        <v>50</v>
      </c>
      <c r="O1771">
        <v>100</v>
      </c>
    </row>
    <row r="1772" spans="1:15" x14ac:dyDescent="0.25">
      <c r="A1772" t="s">
        <v>2886</v>
      </c>
      <c r="B1772" t="s">
        <v>340</v>
      </c>
      <c r="C1772">
        <v>167295</v>
      </c>
      <c r="D1772">
        <v>167295</v>
      </c>
      <c r="E1772">
        <v>10</v>
      </c>
      <c r="F1772">
        <v>30</v>
      </c>
      <c r="G1772">
        <v>10</v>
      </c>
      <c r="O1772">
        <v>50</v>
      </c>
    </row>
    <row r="1773" spans="1:15" x14ac:dyDescent="0.25">
      <c r="A1773" t="s">
        <v>2887</v>
      </c>
      <c r="B1773" t="s">
        <v>2888</v>
      </c>
      <c r="C1773">
        <v>165704</v>
      </c>
      <c r="D1773">
        <v>165704</v>
      </c>
      <c r="E1773">
        <v>10</v>
      </c>
      <c r="F1773">
        <v>30</v>
      </c>
      <c r="G1773">
        <v>40</v>
      </c>
      <c r="O1773">
        <v>80</v>
      </c>
    </row>
    <row r="1774" spans="1:15" x14ac:dyDescent="0.25">
      <c r="A1774" t="s">
        <v>2889</v>
      </c>
      <c r="B1774" t="s">
        <v>93</v>
      </c>
      <c r="C1774">
        <v>167658</v>
      </c>
      <c r="D1774">
        <v>167658</v>
      </c>
      <c r="H1774">
        <v>0</v>
      </c>
      <c r="I1774">
        <v>60</v>
      </c>
      <c r="J1774">
        <v>10</v>
      </c>
      <c r="K1774">
        <v>0</v>
      </c>
      <c r="L1774">
        <v>0</v>
      </c>
      <c r="M1774">
        <v>70</v>
      </c>
    </row>
    <row r="1775" spans="1:15" x14ac:dyDescent="0.25">
      <c r="A1775" t="s">
        <v>2890</v>
      </c>
      <c r="B1775" t="s">
        <v>2844</v>
      </c>
      <c r="C1775">
        <v>168419</v>
      </c>
      <c r="D1775">
        <v>168419</v>
      </c>
      <c r="H1775">
        <v>10</v>
      </c>
      <c r="I1775">
        <v>30</v>
      </c>
      <c r="J1775">
        <v>10</v>
      </c>
      <c r="K1775">
        <v>10</v>
      </c>
      <c r="L1775">
        <v>10</v>
      </c>
      <c r="M1775">
        <v>70</v>
      </c>
    </row>
    <row r="1776" spans="1:15" x14ac:dyDescent="0.25">
      <c r="A1776" t="s">
        <v>2891</v>
      </c>
      <c r="B1776" t="s">
        <v>2892</v>
      </c>
      <c r="C1776">
        <v>166426</v>
      </c>
      <c r="D1776">
        <v>166426</v>
      </c>
      <c r="E1776">
        <v>20</v>
      </c>
      <c r="F1776">
        <v>20</v>
      </c>
      <c r="G1776">
        <v>50</v>
      </c>
      <c r="O1776">
        <v>90</v>
      </c>
    </row>
    <row r="1777" spans="1:18" x14ac:dyDescent="0.25">
      <c r="A1777" t="s">
        <v>2893</v>
      </c>
      <c r="B1777" t="s">
        <v>2894</v>
      </c>
      <c r="C1777">
        <v>167461</v>
      </c>
      <c r="D1777">
        <v>167461</v>
      </c>
      <c r="H1777">
        <v>0</v>
      </c>
      <c r="I1777">
        <v>30</v>
      </c>
      <c r="J1777">
        <v>10</v>
      </c>
      <c r="K1777">
        <v>10</v>
      </c>
      <c r="L1777">
        <v>0</v>
      </c>
      <c r="M1777">
        <v>50</v>
      </c>
    </row>
    <row r="1778" spans="1:18" x14ac:dyDescent="0.25">
      <c r="A1778" t="s">
        <v>2895</v>
      </c>
      <c r="B1778" t="s">
        <v>2896</v>
      </c>
      <c r="C1778">
        <v>166812</v>
      </c>
      <c r="D1778">
        <v>166812</v>
      </c>
      <c r="E1778">
        <v>40</v>
      </c>
      <c r="F1778">
        <v>30</v>
      </c>
      <c r="G1778">
        <v>40</v>
      </c>
      <c r="O1778">
        <v>110</v>
      </c>
    </row>
    <row r="1779" spans="1:18" x14ac:dyDescent="0.25">
      <c r="A1779" t="s">
        <v>2897</v>
      </c>
      <c r="B1779" t="s">
        <v>2898</v>
      </c>
      <c r="C1779">
        <v>167257</v>
      </c>
      <c r="D1779">
        <v>167257</v>
      </c>
      <c r="H1779">
        <v>0</v>
      </c>
      <c r="I1779">
        <v>40</v>
      </c>
      <c r="J1779">
        <v>10</v>
      </c>
      <c r="K1779">
        <v>10</v>
      </c>
      <c r="L1779">
        <v>10</v>
      </c>
      <c r="M1779">
        <v>70</v>
      </c>
    </row>
    <row r="1780" spans="1:18" x14ac:dyDescent="0.25">
      <c r="A1780" t="s">
        <v>2899</v>
      </c>
      <c r="B1780" t="s">
        <v>2900</v>
      </c>
      <c r="C1780">
        <v>167122</v>
      </c>
      <c r="D1780">
        <v>167122</v>
      </c>
      <c r="E1780">
        <v>20</v>
      </c>
      <c r="F1780">
        <v>10</v>
      </c>
      <c r="G1780">
        <v>50</v>
      </c>
      <c r="O1780">
        <v>80</v>
      </c>
    </row>
    <row r="1781" spans="1:18" x14ac:dyDescent="0.25">
      <c r="A1781" t="s">
        <v>2901</v>
      </c>
      <c r="B1781" t="s">
        <v>286</v>
      </c>
      <c r="C1781">
        <v>168020</v>
      </c>
      <c r="D1781">
        <v>168020</v>
      </c>
      <c r="H1781">
        <v>10</v>
      </c>
      <c r="I1781">
        <v>50</v>
      </c>
      <c r="J1781">
        <v>20</v>
      </c>
      <c r="K1781">
        <v>10</v>
      </c>
      <c r="L1781">
        <v>0</v>
      </c>
      <c r="M1781">
        <v>90</v>
      </c>
    </row>
    <row r="1782" spans="1:18" x14ac:dyDescent="0.25">
      <c r="A1782" t="s">
        <v>2902</v>
      </c>
      <c r="B1782" t="s">
        <v>67</v>
      </c>
      <c r="C1782">
        <v>165856</v>
      </c>
      <c r="D1782">
        <v>165856</v>
      </c>
      <c r="H1782">
        <v>0</v>
      </c>
      <c r="I1782">
        <v>20</v>
      </c>
      <c r="J1782">
        <v>0</v>
      </c>
      <c r="K1782">
        <v>0</v>
      </c>
      <c r="L1782">
        <v>10</v>
      </c>
      <c r="M1782">
        <v>30</v>
      </c>
      <c r="R1782" t="s">
        <v>20</v>
      </c>
    </row>
    <row r="1783" spans="1:18" x14ac:dyDescent="0.25">
      <c r="A1783" t="s">
        <v>2903</v>
      </c>
      <c r="B1783" t="s">
        <v>725</v>
      </c>
      <c r="C1783">
        <v>163401</v>
      </c>
      <c r="D1783">
        <v>163401</v>
      </c>
      <c r="E1783">
        <v>10</v>
      </c>
      <c r="F1783">
        <v>30</v>
      </c>
      <c r="G1783">
        <v>40</v>
      </c>
      <c r="O1783">
        <v>80</v>
      </c>
    </row>
    <row r="1784" spans="1:18" x14ac:dyDescent="0.25">
      <c r="A1784" t="s">
        <v>2904</v>
      </c>
      <c r="B1784" t="s">
        <v>418</v>
      </c>
      <c r="C1784">
        <v>168006</v>
      </c>
      <c r="D1784">
        <v>168006</v>
      </c>
    </row>
    <row r="1785" spans="1:18" x14ac:dyDescent="0.25">
      <c r="A1785" t="s">
        <v>2905</v>
      </c>
      <c r="B1785" t="s">
        <v>2906</v>
      </c>
      <c r="C1785">
        <v>168351</v>
      </c>
      <c r="D1785">
        <v>168351</v>
      </c>
      <c r="H1785">
        <v>10</v>
      </c>
      <c r="I1785">
        <v>40</v>
      </c>
      <c r="J1785">
        <v>20</v>
      </c>
      <c r="K1785">
        <v>10</v>
      </c>
      <c r="L1785">
        <v>10</v>
      </c>
      <c r="M1785">
        <v>90</v>
      </c>
    </row>
    <row r="1786" spans="1:18" x14ac:dyDescent="0.25">
      <c r="A1786" t="s">
        <v>2907</v>
      </c>
      <c r="B1786" t="s">
        <v>43</v>
      </c>
      <c r="C1786">
        <v>166036</v>
      </c>
      <c r="D1786">
        <v>166036</v>
      </c>
      <c r="E1786">
        <v>10</v>
      </c>
      <c r="F1786">
        <v>30</v>
      </c>
      <c r="G1786">
        <v>30</v>
      </c>
      <c r="O1786">
        <v>70</v>
      </c>
    </row>
    <row r="1787" spans="1:18" x14ac:dyDescent="0.25">
      <c r="A1787" t="s">
        <v>2908</v>
      </c>
      <c r="B1787" t="s">
        <v>2336</v>
      </c>
      <c r="C1787">
        <v>168224</v>
      </c>
      <c r="D1787">
        <v>168224</v>
      </c>
      <c r="E1787">
        <v>30</v>
      </c>
      <c r="F1787">
        <v>10</v>
      </c>
      <c r="G1787">
        <v>20</v>
      </c>
      <c r="O1787">
        <v>60</v>
      </c>
    </row>
    <row r="1788" spans="1:18" x14ac:dyDescent="0.25">
      <c r="A1788" t="s">
        <v>2909</v>
      </c>
      <c r="B1788" t="s">
        <v>393</v>
      </c>
      <c r="C1788">
        <v>168787</v>
      </c>
      <c r="D1788">
        <v>168787</v>
      </c>
      <c r="H1788">
        <v>0</v>
      </c>
      <c r="I1788">
        <v>10</v>
      </c>
      <c r="J1788">
        <v>10</v>
      </c>
      <c r="K1788">
        <v>10</v>
      </c>
      <c r="L1788">
        <v>0</v>
      </c>
      <c r="M1788">
        <v>30</v>
      </c>
    </row>
    <row r="1789" spans="1:18" x14ac:dyDescent="0.25">
      <c r="A1789" t="s">
        <v>2910</v>
      </c>
      <c r="B1789" t="s">
        <v>195</v>
      </c>
      <c r="C1789">
        <v>166018</v>
      </c>
      <c r="D1789">
        <v>166018</v>
      </c>
      <c r="E1789">
        <v>10</v>
      </c>
      <c r="F1789">
        <v>10</v>
      </c>
      <c r="G1789">
        <v>30</v>
      </c>
      <c r="O1789">
        <v>50</v>
      </c>
    </row>
    <row r="1790" spans="1:18" x14ac:dyDescent="0.25">
      <c r="A1790" t="s">
        <v>2911</v>
      </c>
      <c r="B1790" t="s">
        <v>67</v>
      </c>
      <c r="C1790">
        <v>167777</v>
      </c>
      <c r="D1790">
        <v>167777</v>
      </c>
      <c r="H1790">
        <v>10</v>
      </c>
      <c r="I1790">
        <v>10</v>
      </c>
      <c r="J1790">
        <v>10</v>
      </c>
      <c r="K1790">
        <v>10</v>
      </c>
      <c r="L1790">
        <v>10</v>
      </c>
      <c r="M1790">
        <v>50</v>
      </c>
    </row>
    <row r="1791" spans="1:18" x14ac:dyDescent="0.25">
      <c r="A1791" t="s">
        <v>2912</v>
      </c>
      <c r="B1791" t="s">
        <v>2913</v>
      </c>
      <c r="C1791">
        <v>167214</v>
      </c>
      <c r="D1791">
        <v>167214</v>
      </c>
      <c r="H1791">
        <v>10</v>
      </c>
      <c r="I1791">
        <v>20</v>
      </c>
      <c r="J1791">
        <v>0</v>
      </c>
      <c r="K1791">
        <v>0</v>
      </c>
      <c r="L1791">
        <v>10</v>
      </c>
      <c r="M1791">
        <v>40</v>
      </c>
    </row>
    <row r="1792" spans="1:18" x14ac:dyDescent="0.25">
      <c r="A1792" t="s">
        <v>2914</v>
      </c>
      <c r="B1792" t="s">
        <v>344</v>
      </c>
      <c r="C1792">
        <v>167760</v>
      </c>
      <c r="D1792">
        <v>167760</v>
      </c>
      <c r="H1792">
        <v>10</v>
      </c>
      <c r="I1792">
        <v>40</v>
      </c>
      <c r="J1792">
        <v>10</v>
      </c>
      <c r="K1792">
        <v>10</v>
      </c>
      <c r="L1792">
        <v>10</v>
      </c>
      <c r="M1792">
        <v>80</v>
      </c>
    </row>
    <row r="1793" spans="1:15" x14ac:dyDescent="0.25">
      <c r="A1793" t="s">
        <v>2915</v>
      </c>
      <c r="B1793" t="s">
        <v>2916</v>
      </c>
      <c r="C1793">
        <v>167384</v>
      </c>
      <c r="D1793">
        <v>167384</v>
      </c>
      <c r="H1793">
        <v>0</v>
      </c>
      <c r="I1793">
        <v>30</v>
      </c>
      <c r="J1793">
        <v>10</v>
      </c>
      <c r="K1793">
        <v>10</v>
      </c>
      <c r="L1793">
        <v>0</v>
      </c>
      <c r="M1793">
        <v>50</v>
      </c>
    </row>
    <row r="1794" spans="1:15" x14ac:dyDescent="0.25">
      <c r="A1794" t="s">
        <v>2917</v>
      </c>
      <c r="B1794" t="s">
        <v>49</v>
      </c>
      <c r="C1794">
        <v>153683</v>
      </c>
      <c r="D1794">
        <v>153683</v>
      </c>
      <c r="H1794">
        <v>20</v>
      </c>
      <c r="I1794">
        <v>40</v>
      </c>
      <c r="J1794">
        <v>20</v>
      </c>
      <c r="K1794">
        <v>0</v>
      </c>
      <c r="L1794">
        <v>10</v>
      </c>
      <c r="M1794">
        <v>90</v>
      </c>
    </row>
    <row r="1795" spans="1:15" x14ac:dyDescent="0.25">
      <c r="A1795" t="s">
        <v>2918</v>
      </c>
      <c r="B1795" t="s">
        <v>2919</v>
      </c>
      <c r="C1795">
        <v>167055</v>
      </c>
      <c r="D1795">
        <v>167055</v>
      </c>
      <c r="E1795">
        <v>10</v>
      </c>
      <c r="F1795">
        <v>30</v>
      </c>
      <c r="G1795">
        <v>40</v>
      </c>
      <c r="O1795">
        <v>80</v>
      </c>
    </row>
    <row r="1796" spans="1:15" x14ac:dyDescent="0.25">
      <c r="A1796" t="s">
        <v>2920</v>
      </c>
      <c r="B1796" t="s">
        <v>2095</v>
      </c>
      <c r="C1796">
        <v>166218</v>
      </c>
      <c r="D1796">
        <v>166218</v>
      </c>
    </row>
    <row r="1797" spans="1:15" x14ac:dyDescent="0.25">
      <c r="A1797" t="s">
        <v>2921</v>
      </c>
      <c r="B1797" t="s">
        <v>2922</v>
      </c>
      <c r="C1797">
        <v>164518</v>
      </c>
      <c r="D1797">
        <v>164518</v>
      </c>
    </row>
    <row r="1798" spans="1:15" x14ac:dyDescent="0.25">
      <c r="A1798" t="s">
        <v>2923</v>
      </c>
      <c r="B1798" t="s">
        <v>2791</v>
      </c>
      <c r="C1798">
        <v>168595</v>
      </c>
      <c r="D1798">
        <v>168595</v>
      </c>
      <c r="E1798">
        <v>40</v>
      </c>
      <c r="F1798">
        <v>20</v>
      </c>
      <c r="G1798">
        <v>50</v>
      </c>
      <c r="O1798">
        <v>110</v>
      </c>
    </row>
    <row r="1799" spans="1:15" x14ac:dyDescent="0.25">
      <c r="A1799" t="s">
        <v>2924</v>
      </c>
      <c r="B1799" t="s">
        <v>2925</v>
      </c>
      <c r="C1799">
        <v>162156</v>
      </c>
      <c r="D1799">
        <v>162156</v>
      </c>
    </row>
    <row r="1800" spans="1:15" x14ac:dyDescent="0.25">
      <c r="A1800" t="s">
        <v>2926</v>
      </c>
      <c r="B1800" t="s">
        <v>2927</v>
      </c>
      <c r="C1800">
        <v>163423</v>
      </c>
      <c r="D1800">
        <v>163423</v>
      </c>
      <c r="E1800">
        <v>20</v>
      </c>
      <c r="F1800">
        <v>10</v>
      </c>
      <c r="G1800">
        <v>40</v>
      </c>
      <c r="O1800">
        <v>70</v>
      </c>
    </row>
    <row r="1801" spans="1:15" x14ac:dyDescent="0.25">
      <c r="A1801" t="s">
        <v>2928</v>
      </c>
      <c r="B1801" t="s">
        <v>340</v>
      </c>
      <c r="C1801">
        <v>165258</v>
      </c>
      <c r="D1801">
        <v>165258</v>
      </c>
    </row>
    <row r="1802" spans="1:15" x14ac:dyDescent="0.25">
      <c r="A1802" t="s">
        <v>2929</v>
      </c>
      <c r="B1802" t="s">
        <v>2930</v>
      </c>
      <c r="C1802">
        <v>166765</v>
      </c>
      <c r="D1802">
        <v>166765</v>
      </c>
      <c r="E1802">
        <v>40</v>
      </c>
      <c r="F1802">
        <v>10</v>
      </c>
      <c r="G1802">
        <v>40</v>
      </c>
      <c r="O1802">
        <v>90</v>
      </c>
    </row>
    <row r="1803" spans="1:15" x14ac:dyDescent="0.25">
      <c r="A1803" t="s">
        <v>2931</v>
      </c>
      <c r="B1803" t="s">
        <v>1695</v>
      </c>
      <c r="C1803">
        <v>168172</v>
      </c>
      <c r="D1803">
        <v>168172</v>
      </c>
      <c r="H1803">
        <v>20</v>
      </c>
      <c r="I1803">
        <v>60</v>
      </c>
      <c r="J1803">
        <v>10</v>
      </c>
      <c r="K1803">
        <v>10</v>
      </c>
      <c r="L1803">
        <v>10</v>
      </c>
      <c r="M1803">
        <v>110</v>
      </c>
    </row>
    <row r="1804" spans="1:15" x14ac:dyDescent="0.25">
      <c r="A1804" t="s">
        <v>2932</v>
      </c>
      <c r="B1804" t="s">
        <v>2933</v>
      </c>
      <c r="C1804">
        <v>168825</v>
      </c>
      <c r="D1804">
        <v>168825</v>
      </c>
      <c r="E1804">
        <v>30</v>
      </c>
      <c r="F1804">
        <v>0</v>
      </c>
      <c r="G1804">
        <v>20</v>
      </c>
      <c r="O1804">
        <v>50</v>
      </c>
    </row>
    <row r="1805" spans="1:15" x14ac:dyDescent="0.25">
      <c r="A1805" t="s">
        <v>2934</v>
      </c>
      <c r="B1805" t="s">
        <v>808</v>
      </c>
      <c r="C1805">
        <v>168848</v>
      </c>
      <c r="D1805">
        <v>168848</v>
      </c>
    </row>
    <row r="1806" spans="1:15" x14ac:dyDescent="0.25">
      <c r="A1806" t="s">
        <v>2935</v>
      </c>
      <c r="B1806" t="s">
        <v>2936</v>
      </c>
      <c r="C1806">
        <v>165491</v>
      </c>
      <c r="D1806">
        <v>165491</v>
      </c>
      <c r="E1806">
        <v>0</v>
      </c>
      <c r="F1806">
        <v>30</v>
      </c>
      <c r="G1806">
        <v>30</v>
      </c>
      <c r="O1806">
        <v>60</v>
      </c>
    </row>
    <row r="1807" spans="1:15" x14ac:dyDescent="0.25">
      <c r="A1807" t="s">
        <v>2937</v>
      </c>
      <c r="B1807" t="s">
        <v>218</v>
      </c>
      <c r="C1807">
        <v>166171</v>
      </c>
      <c r="D1807">
        <v>166171</v>
      </c>
      <c r="H1807">
        <v>10</v>
      </c>
      <c r="I1807">
        <v>50</v>
      </c>
      <c r="J1807">
        <v>20</v>
      </c>
      <c r="K1807">
        <v>10</v>
      </c>
      <c r="L1807">
        <v>10</v>
      </c>
      <c r="M1807">
        <v>100</v>
      </c>
    </row>
    <row r="1808" spans="1:15" x14ac:dyDescent="0.25">
      <c r="A1808" t="s">
        <v>2938</v>
      </c>
      <c r="B1808" t="s">
        <v>2939</v>
      </c>
      <c r="C1808">
        <v>166418</v>
      </c>
      <c r="D1808">
        <v>166418</v>
      </c>
      <c r="H1808">
        <v>0</v>
      </c>
      <c r="I1808">
        <v>30</v>
      </c>
      <c r="J1808">
        <v>0</v>
      </c>
      <c r="K1808">
        <v>0</v>
      </c>
      <c r="L1808">
        <v>0</v>
      </c>
      <c r="M1808">
        <v>30</v>
      </c>
    </row>
    <row r="1809" spans="1:15" x14ac:dyDescent="0.25">
      <c r="A1809" t="s">
        <v>2940</v>
      </c>
      <c r="B1809" t="s">
        <v>87</v>
      </c>
      <c r="C1809">
        <v>168293</v>
      </c>
      <c r="D1809">
        <v>168293</v>
      </c>
      <c r="H1809">
        <v>0</v>
      </c>
      <c r="I1809">
        <v>20</v>
      </c>
      <c r="J1809">
        <v>0</v>
      </c>
      <c r="K1809">
        <v>10</v>
      </c>
      <c r="L1809">
        <v>10</v>
      </c>
      <c r="M1809">
        <v>40</v>
      </c>
    </row>
    <row r="1810" spans="1:15" x14ac:dyDescent="0.25">
      <c r="A1810" t="s">
        <v>2941</v>
      </c>
      <c r="B1810" t="s">
        <v>2942</v>
      </c>
      <c r="C1810">
        <v>166861</v>
      </c>
      <c r="D1810">
        <v>166861</v>
      </c>
    </row>
    <row r="1811" spans="1:15" x14ac:dyDescent="0.25">
      <c r="A1811" t="s">
        <v>2943</v>
      </c>
      <c r="B1811" t="s">
        <v>674</v>
      </c>
      <c r="C1811">
        <v>167707</v>
      </c>
      <c r="D1811">
        <v>167707</v>
      </c>
    </row>
    <row r="1812" spans="1:15" x14ac:dyDescent="0.25">
      <c r="A1812" t="s">
        <v>2944</v>
      </c>
      <c r="B1812" t="s">
        <v>209</v>
      </c>
      <c r="C1812">
        <v>167568</v>
      </c>
      <c r="D1812">
        <v>167568</v>
      </c>
      <c r="E1812">
        <v>0</v>
      </c>
      <c r="F1812">
        <v>10</v>
      </c>
      <c r="G1812">
        <v>50</v>
      </c>
      <c r="O1812">
        <v>60</v>
      </c>
    </row>
    <row r="1813" spans="1:15" x14ac:dyDescent="0.25">
      <c r="A1813" t="s">
        <v>2945</v>
      </c>
      <c r="B1813" t="s">
        <v>266</v>
      </c>
      <c r="C1813">
        <v>165804</v>
      </c>
      <c r="D1813">
        <v>165804</v>
      </c>
      <c r="H1813">
        <v>20</v>
      </c>
      <c r="I1813">
        <v>50</v>
      </c>
      <c r="J1813">
        <v>10</v>
      </c>
      <c r="K1813">
        <v>10</v>
      </c>
      <c r="L1813">
        <v>10</v>
      </c>
      <c r="M1813">
        <v>100</v>
      </c>
    </row>
    <row r="1814" spans="1:15" x14ac:dyDescent="0.25">
      <c r="A1814" t="s">
        <v>2946</v>
      </c>
      <c r="B1814" t="s">
        <v>2947</v>
      </c>
      <c r="C1814">
        <v>166963</v>
      </c>
      <c r="D1814">
        <v>166963</v>
      </c>
      <c r="H1814">
        <v>20</v>
      </c>
      <c r="I1814">
        <v>40</v>
      </c>
      <c r="J1814">
        <v>10</v>
      </c>
      <c r="K1814">
        <v>10</v>
      </c>
      <c r="L1814">
        <v>10</v>
      </c>
      <c r="M1814">
        <v>90</v>
      </c>
    </row>
    <row r="1815" spans="1:15" x14ac:dyDescent="0.25">
      <c r="A1815" t="s">
        <v>2948</v>
      </c>
      <c r="B1815" t="s">
        <v>418</v>
      </c>
      <c r="C1815">
        <v>164413</v>
      </c>
      <c r="D1815">
        <v>164413</v>
      </c>
      <c r="E1815">
        <v>30</v>
      </c>
      <c r="F1815">
        <v>10</v>
      </c>
      <c r="G1815">
        <v>50</v>
      </c>
      <c r="O1815">
        <v>90</v>
      </c>
    </row>
    <row r="1816" spans="1:15" x14ac:dyDescent="0.25">
      <c r="A1816" t="s">
        <v>2949</v>
      </c>
      <c r="B1816" t="s">
        <v>2950</v>
      </c>
      <c r="C1816">
        <v>165922</v>
      </c>
      <c r="D1816">
        <v>165922</v>
      </c>
      <c r="H1816">
        <v>20</v>
      </c>
      <c r="I1816">
        <v>20</v>
      </c>
      <c r="J1816">
        <v>20</v>
      </c>
      <c r="K1816">
        <v>10</v>
      </c>
      <c r="L1816">
        <v>10</v>
      </c>
      <c r="M1816">
        <v>80</v>
      </c>
    </row>
    <row r="1817" spans="1:15" x14ac:dyDescent="0.25">
      <c r="A1817" t="s">
        <v>2951</v>
      </c>
      <c r="B1817" t="s">
        <v>2952</v>
      </c>
      <c r="C1817">
        <v>165935</v>
      </c>
      <c r="D1817">
        <v>165935</v>
      </c>
      <c r="H1817">
        <v>20</v>
      </c>
      <c r="I1817">
        <v>40</v>
      </c>
      <c r="J1817">
        <v>10</v>
      </c>
      <c r="K1817">
        <v>10</v>
      </c>
      <c r="L1817">
        <v>10</v>
      </c>
      <c r="M1817">
        <v>90</v>
      </c>
    </row>
    <row r="1818" spans="1:15" x14ac:dyDescent="0.25">
      <c r="A1818" t="s">
        <v>2953</v>
      </c>
      <c r="B1818" t="s">
        <v>489</v>
      </c>
      <c r="C1818">
        <v>166592</v>
      </c>
      <c r="D1818">
        <v>166592</v>
      </c>
      <c r="E1818">
        <v>20</v>
      </c>
      <c r="F1818">
        <v>30</v>
      </c>
      <c r="G1818">
        <v>30</v>
      </c>
      <c r="O1818">
        <v>80</v>
      </c>
    </row>
    <row r="1819" spans="1:15" x14ac:dyDescent="0.25">
      <c r="A1819" t="s">
        <v>2954</v>
      </c>
      <c r="B1819" t="s">
        <v>2955</v>
      </c>
      <c r="C1819">
        <v>168445</v>
      </c>
      <c r="D1819">
        <v>168445</v>
      </c>
    </row>
    <row r="1820" spans="1:15" x14ac:dyDescent="0.25">
      <c r="A1820" t="s">
        <v>2956</v>
      </c>
      <c r="B1820" t="s">
        <v>904</v>
      </c>
      <c r="C1820">
        <v>168295</v>
      </c>
      <c r="D1820">
        <v>168295</v>
      </c>
      <c r="E1820">
        <v>40</v>
      </c>
      <c r="F1820">
        <v>30</v>
      </c>
      <c r="O1820">
        <v>70</v>
      </c>
    </row>
    <row r="1821" spans="1:15" x14ac:dyDescent="0.25">
      <c r="A1821" t="s">
        <v>2957</v>
      </c>
      <c r="B1821" t="s">
        <v>2958</v>
      </c>
      <c r="C1821">
        <v>166738</v>
      </c>
      <c r="D1821">
        <v>166738</v>
      </c>
      <c r="E1821">
        <v>40</v>
      </c>
      <c r="F1821">
        <v>30</v>
      </c>
      <c r="G1821">
        <v>30</v>
      </c>
      <c r="O1821">
        <v>100</v>
      </c>
    </row>
    <row r="1822" spans="1:15" x14ac:dyDescent="0.25">
      <c r="A1822" t="s">
        <v>2959</v>
      </c>
      <c r="B1822" t="s">
        <v>130</v>
      </c>
      <c r="C1822">
        <v>168380</v>
      </c>
      <c r="D1822">
        <v>168380</v>
      </c>
    </row>
    <row r="1823" spans="1:15" x14ac:dyDescent="0.25">
      <c r="A1823" t="s">
        <v>2960</v>
      </c>
      <c r="B1823" t="s">
        <v>2961</v>
      </c>
      <c r="C1823">
        <v>165277</v>
      </c>
      <c r="D1823">
        <v>165277</v>
      </c>
    </row>
    <row r="1824" spans="1:15" x14ac:dyDescent="0.25">
      <c r="A1824" t="s">
        <v>2962</v>
      </c>
      <c r="B1824" t="s">
        <v>2963</v>
      </c>
      <c r="C1824">
        <v>168769</v>
      </c>
      <c r="D1824">
        <v>168769</v>
      </c>
      <c r="E1824">
        <v>20</v>
      </c>
      <c r="F1824">
        <v>20</v>
      </c>
      <c r="G1824">
        <v>30</v>
      </c>
      <c r="O1824">
        <v>70</v>
      </c>
    </row>
    <row r="1825" spans="1:15" x14ac:dyDescent="0.25">
      <c r="A1825" t="s">
        <v>2964</v>
      </c>
      <c r="B1825" t="s">
        <v>2965</v>
      </c>
      <c r="C1825">
        <v>164624</v>
      </c>
      <c r="D1825">
        <v>164624</v>
      </c>
    </row>
    <row r="1826" spans="1:15" x14ac:dyDescent="0.25">
      <c r="A1826" t="s">
        <v>2966</v>
      </c>
      <c r="B1826" t="s">
        <v>1319</v>
      </c>
      <c r="C1826">
        <v>168210</v>
      </c>
      <c r="D1826">
        <v>168210</v>
      </c>
      <c r="E1826">
        <v>30</v>
      </c>
      <c r="F1826">
        <v>20</v>
      </c>
      <c r="G1826">
        <v>50</v>
      </c>
      <c r="O1826">
        <v>100</v>
      </c>
    </row>
    <row r="1827" spans="1:15" x14ac:dyDescent="0.25">
      <c r="A1827" t="s">
        <v>2967</v>
      </c>
      <c r="B1827" t="s">
        <v>2968</v>
      </c>
      <c r="C1827">
        <v>165352</v>
      </c>
      <c r="D1827">
        <v>165352</v>
      </c>
      <c r="E1827">
        <v>30</v>
      </c>
      <c r="F1827">
        <v>10</v>
      </c>
      <c r="G1827">
        <v>60</v>
      </c>
      <c r="O1827">
        <v>100</v>
      </c>
    </row>
    <row r="1828" spans="1:15" x14ac:dyDescent="0.25">
      <c r="A1828" t="s">
        <v>2969</v>
      </c>
      <c r="B1828" t="s">
        <v>2970</v>
      </c>
      <c r="C1828">
        <v>163332</v>
      </c>
      <c r="D1828">
        <v>163332</v>
      </c>
      <c r="E1828">
        <v>10</v>
      </c>
      <c r="F1828">
        <v>30</v>
      </c>
      <c r="G1828">
        <v>10</v>
      </c>
      <c r="O1828">
        <v>50</v>
      </c>
    </row>
    <row r="1829" spans="1:15" x14ac:dyDescent="0.25">
      <c r="A1829" t="s">
        <v>2971</v>
      </c>
      <c r="B1829" t="s">
        <v>512</v>
      </c>
      <c r="C1829">
        <v>166097</v>
      </c>
      <c r="D1829">
        <v>166097</v>
      </c>
      <c r="H1829">
        <v>20</v>
      </c>
      <c r="I1829">
        <v>50</v>
      </c>
      <c r="J1829">
        <v>10</v>
      </c>
      <c r="K1829">
        <v>10</v>
      </c>
      <c r="L1829">
        <v>10</v>
      </c>
      <c r="M1829">
        <v>100</v>
      </c>
    </row>
    <row r="1830" spans="1:15" x14ac:dyDescent="0.25">
      <c r="A1830" t="s">
        <v>2972</v>
      </c>
      <c r="B1830" t="s">
        <v>2973</v>
      </c>
      <c r="C1830">
        <v>168089</v>
      </c>
      <c r="D1830">
        <v>168089</v>
      </c>
      <c r="E1830">
        <v>30</v>
      </c>
      <c r="F1830">
        <v>40</v>
      </c>
      <c r="G1830">
        <v>40</v>
      </c>
      <c r="O1830">
        <v>110</v>
      </c>
    </row>
    <row r="1831" spans="1:15" x14ac:dyDescent="0.25">
      <c r="A1831" t="s">
        <v>2974</v>
      </c>
      <c r="B1831" t="s">
        <v>121</v>
      </c>
      <c r="C1831">
        <v>166014</v>
      </c>
      <c r="D1831">
        <v>166014</v>
      </c>
    </row>
    <row r="1832" spans="1:15" x14ac:dyDescent="0.25">
      <c r="A1832" t="s">
        <v>2975</v>
      </c>
      <c r="B1832" t="s">
        <v>2976</v>
      </c>
      <c r="C1832">
        <v>168656</v>
      </c>
      <c r="D1832">
        <v>168656</v>
      </c>
      <c r="E1832">
        <v>50</v>
      </c>
      <c r="F1832">
        <v>30</v>
      </c>
      <c r="G1832">
        <v>30</v>
      </c>
      <c r="O1832">
        <v>110</v>
      </c>
    </row>
    <row r="1833" spans="1:15" x14ac:dyDescent="0.25">
      <c r="A1833" t="s">
        <v>2977</v>
      </c>
      <c r="B1833" t="s">
        <v>1033</v>
      </c>
      <c r="C1833">
        <v>166133</v>
      </c>
      <c r="D1833">
        <v>166133</v>
      </c>
      <c r="E1833">
        <v>10</v>
      </c>
      <c r="F1833">
        <v>20</v>
      </c>
      <c r="G1833">
        <v>30</v>
      </c>
      <c r="O1833">
        <v>60</v>
      </c>
    </row>
    <row r="1834" spans="1:15" x14ac:dyDescent="0.25">
      <c r="A1834" t="s">
        <v>2978</v>
      </c>
      <c r="B1834" t="s">
        <v>67</v>
      </c>
      <c r="C1834">
        <v>166524</v>
      </c>
      <c r="D1834">
        <v>166524</v>
      </c>
      <c r="H1834">
        <v>20</v>
      </c>
      <c r="I1834">
        <v>50</v>
      </c>
      <c r="J1834">
        <v>20</v>
      </c>
      <c r="K1834">
        <v>10</v>
      </c>
      <c r="L1834">
        <v>0</v>
      </c>
      <c r="M1834">
        <v>100</v>
      </c>
    </row>
    <row r="1835" spans="1:15" x14ac:dyDescent="0.25">
      <c r="A1835" t="s">
        <v>2979</v>
      </c>
      <c r="B1835" t="s">
        <v>2980</v>
      </c>
      <c r="C1835">
        <v>166005</v>
      </c>
      <c r="D1835">
        <v>166005</v>
      </c>
      <c r="E1835">
        <v>40</v>
      </c>
      <c r="F1835">
        <v>20</v>
      </c>
      <c r="G1835">
        <v>40</v>
      </c>
      <c r="O1835">
        <v>100</v>
      </c>
    </row>
    <row r="1836" spans="1:15" x14ac:dyDescent="0.25">
      <c r="A1836" t="s">
        <v>2981</v>
      </c>
      <c r="B1836" t="s">
        <v>2982</v>
      </c>
      <c r="C1836">
        <v>167782</v>
      </c>
      <c r="D1836">
        <v>167782</v>
      </c>
    </row>
    <row r="1837" spans="1:15" x14ac:dyDescent="0.25">
      <c r="A1837" t="s">
        <v>2983</v>
      </c>
      <c r="B1837" t="s">
        <v>636</v>
      </c>
      <c r="C1837">
        <v>160490</v>
      </c>
      <c r="D1837">
        <v>160490</v>
      </c>
    </row>
    <row r="1838" spans="1:15" x14ac:dyDescent="0.25">
      <c r="A1838" t="s">
        <v>2984</v>
      </c>
      <c r="B1838" t="s">
        <v>1240</v>
      </c>
      <c r="C1838">
        <v>166323</v>
      </c>
      <c r="D1838">
        <v>166323</v>
      </c>
      <c r="H1838">
        <v>10</v>
      </c>
      <c r="I1838">
        <v>30</v>
      </c>
      <c r="J1838">
        <v>20</v>
      </c>
      <c r="M1838">
        <v>60</v>
      </c>
    </row>
    <row r="1839" spans="1:15" x14ac:dyDescent="0.25">
      <c r="A1839" t="s">
        <v>2985</v>
      </c>
      <c r="B1839" t="s">
        <v>2986</v>
      </c>
      <c r="C1839">
        <v>166107</v>
      </c>
      <c r="D1839">
        <v>166107</v>
      </c>
      <c r="E1839">
        <v>20</v>
      </c>
      <c r="F1839">
        <v>40</v>
      </c>
      <c r="G1839">
        <v>40</v>
      </c>
      <c r="O1839">
        <v>100</v>
      </c>
    </row>
    <row r="1840" spans="1:15" x14ac:dyDescent="0.25">
      <c r="A1840" t="s">
        <v>2987</v>
      </c>
      <c r="B1840" t="s">
        <v>1829</v>
      </c>
      <c r="C1840">
        <v>165047</v>
      </c>
      <c r="D1840">
        <v>165047</v>
      </c>
      <c r="H1840">
        <v>10</v>
      </c>
      <c r="I1840">
        <v>30</v>
      </c>
      <c r="J1840">
        <v>20</v>
      </c>
      <c r="K1840">
        <v>10</v>
      </c>
      <c r="L1840">
        <v>10</v>
      </c>
      <c r="M1840">
        <v>80</v>
      </c>
    </row>
    <row r="1841" spans="1:15" x14ac:dyDescent="0.25">
      <c r="A1841" t="s">
        <v>2988</v>
      </c>
      <c r="B1841" t="s">
        <v>121</v>
      </c>
      <c r="C1841">
        <v>167048</v>
      </c>
      <c r="D1841">
        <v>167048</v>
      </c>
      <c r="H1841">
        <v>0</v>
      </c>
      <c r="I1841">
        <v>40</v>
      </c>
      <c r="J1841">
        <v>20</v>
      </c>
      <c r="K1841">
        <v>10</v>
      </c>
      <c r="L1841">
        <v>10</v>
      </c>
      <c r="M1841">
        <v>80</v>
      </c>
    </row>
    <row r="1842" spans="1:15" x14ac:dyDescent="0.25">
      <c r="A1842" t="s">
        <v>2989</v>
      </c>
      <c r="B1842" t="s">
        <v>689</v>
      </c>
      <c r="C1842">
        <v>165303</v>
      </c>
      <c r="D1842">
        <v>165303</v>
      </c>
      <c r="H1842">
        <v>10</v>
      </c>
      <c r="I1842">
        <v>50</v>
      </c>
      <c r="J1842">
        <v>10</v>
      </c>
      <c r="K1842">
        <v>10</v>
      </c>
      <c r="L1842">
        <v>0</v>
      </c>
      <c r="M1842">
        <v>80</v>
      </c>
    </row>
    <row r="1843" spans="1:15" x14ac:dyDescent="0.25">
      <c r="A1843" t="s">
        <v>2990</v>
      </c>
      <c r="B1843" t="s">
        <v>2991</v>
      </c>
      <c r="C1843">
        <v>165438</v>
      </c>
      <c r="D1843">
        <v>165438</v>
      </c>
      <c r="H1843">
        <v>10</v>
      </c>
      <c r="I1843">
        <v>0</v>
      </c>
      <c r="J1843">
        <v>10</v>
      </c>
      <c r="K1843">
        <v>0</v>
      </c>
      <c r="L1843">
        <v>0</v>
      </c>
      <c r="M1843">
        <v>20</v>
      </c>
    </row>
    <row r="1844" spans="1:15" x14ac:dyDescent="0.25">
      <c r="A1844" t="s">
        <v>2992</v>
      </c>
      <c r="B1844" t="s">
        <v>166</v>
      </c>
      <c r="C1844">
        <v>165275</v>
      </c>
      <c r="D1844">
        <v>165275</v>
      </c>
      <c r="E1844">
        <v>10</v>
      </c>
      <c r="F1844">
        <v>40</v>
      </c>
      <c r="G1844">
        <v>50</v>
      </c>
      <c r="O1844">
        <v>100</v>
      </c>
    </row>
    <row r="1845" spans="1:15" x14ac:dyDescent="0.25">
      <c r="A1845" t="s">
        <v>2993</v>
      </c>
      <c r="B1845" t="s">
        <v>2994</v>
      </c>
      <c r="C1845">
        <v>168586</v>
      </c>
      <c r="D1845">
        <v>168586</v>
      </c>
      <c r="E1845">
        <v>20</v>
      </c>
      <c r="F1845">
        <v>30</v>
      </c>
      <c r="G1845">
        <v>30</v>
      </c>
      <c r="O1845">
        <v>80</v>
      </c>
    </row>
    <row r="1846" spans="1:15" x14ac:dyDescent="0.25">
      <c r="A1846" t="s">
        <v>2995</v>
      </c>
      <c r="B1846" t="s">
        <v>2996</v>
      </c>
      <c r="C1846">
        <v>164607</v>
      </c>
      <c r="D1846">
        <v>164607</v>
      </c>
    </row>
    <row r="1847" spans="1:15" x14ac:dyDescent="0.25">
      <c r="A1847" t="s">
        <v>2997</v>
      </c>
      <c r="B1847" t="s">
        <v>1822</v>
      </c>
      <c r="C1847">
        <v>167219</v>
      </c>
      <c r="D1847">
        <v>167219</v>
      </c>
    </row>
    <row r="1848" spans="1:15" x14ac:dyDescent="0.25">
      <c r="A1848" t="s">
        <v>2998</v>
      </c>
      <c r="B1848" t="s">
        <v>2999</v>
      </c>
      <c r="C1848">
        <v>167308</v>
      </c>
      <c r="D1848">
        <v>167308</v>
      </c>
      <c r="H1848">
        <v>20</v>
      </c>
      <c r="I1848">
        <v>20</v>
      </c>
      <c r="J1848">
        <v>10</v>
      </c>
      <c r="K1848">
        <v>0</v>
      </c>
      <c r="L1848">
        <v>0</v>
      </c>
      <c r="M1848">
        <v>50</v>
      </c>
    </row>
    <row r="1849" spans="1:15" x14ac:dyDescent="0.25">
      <c r="A1849" t="s">
        <v>3000</v>
      </c>
      <c r="B1849" t="s">
        <v>79</v>
      </c>
      <c r="C1849">
        <v>165599</v>
      </c>
      <c r="D1849">
        <v>165599</v>
      </c>
      <c r="H1849">
        <v>10</v>
      </c>
      <c r="I1849">
        <v>20</v>
      </c>
      <c r="J1849">
        <v>10</v>
      </c>
      <c r="K1849">
        <v>10</v>
      </c>
      <c r="L1849">
        <v>0</v>
      </c>
      <c r="M1849">
        <v>50</v>
      </c>
    </row>
    <row r="1850" spans="1:15" x14ac:dyDescent="0.25">
      <c r="A1850" t="s">
        <v>3001</v>
      </c>
      <c r="B1850" t="s">
        <v>3002</v>
      </c>
      <c r="C1850">
        <v>167083</v>
      </c>
      <c r="D1850">
        <v>167083</v>
      </c>
      <c r="H1850">
        <v>20</v>
      </c>
      <c r="I1850">
        <v>20</v>
      </c>
      <c r="J1850">
        <v>20</v>
      </c>
      <c r="K1850">
        <v>10</v>
      </c>
      <c r="L1850">
        <v>10</v>
      </c>
      <c r="M1850">
        <v>80</v>
      </c>
    </row>
    <row r="1851" spans="1:15" x14ac:dyDescent="0.25">
      <c r="A1851" t="s">
        <v>3003</v>
      </c>
      <c r="B1851" t="s">
        <v>1308</v>
      </c>
      <c r="C1851">
        <v>163593</v>
      </c>
      <c r="D1851">
        <v>163593</v>
      </c>
      <c r="E1851">
        <v>30</v>
      </c>
      <c r="F1851">
        <v>0</v>
      </c>
      <c r="G1851">
        <v>50</v>
      </c>
      <c r="O1851">
        <v>80</v>
      </c>
    </row>
    <row r="1852" spans="1:15" x14ac:dyDescent="0.25">
      <c r="A1852" t="s">
        <v>3004</v>
      </c>
      <c r="B1852" t="s">
        <v>3005</v>
      </c>
      <c r="C1852">
        <v>166177</v>
      </c>
      <c r="D1852">
        <v>166177</v>
      </c>
      <c r="E1852">
        <v>0</v>
      </c>
      <c r="F1852">
        <v>10</v>
      </c>
      <c r="G1852">
        <v>0</v>
      </c>
      <c r="O1852">
        <v>10</v>
      </c>
    </row>
    <row r="1853" spans="1:15" x14ac:dyDescent="0.25">
      <c r="A1853" t="s">
        <v>3006</v>
      </c>
      <c r="B1853" t="s">
        <v>3007</v>
      </c>
      <c r="C1853">
        <v>164990</v>
      </c>
      <c r="D1853">
        <v>164990</v>
      </c>
      <c r="E1853">
        <v>50</v>
      </c>
      <c r="F1853">
        <v>40</v>
      </c>
      <c r="G1853">
        <v>50</v>
      </c>
      <c r="O1853">
        <v>140</v>
      </c>
    </row>
    <row r="1854" spans="1:15" x14ac:dyDescent="0.25">
      <c r="A1854" t="s">
        <v>3008</v>
      </c>
      <c r="B1854" t="s">
        <v>3009</v>
      </c>
      <c r="C1854">
        <v>167879</v>
      </c>
      <c r="D1854">
        <v>167879</v>
      </c>
    </row>
    <row r="1855" spans="1:15" x14ac:dyDescent="0.25">
      <c r="A1855" t="s">
        <v>3010</v>
      </c>
      <c r="B1855" t="s">
        <v>3011</v>
      </c>
      <c r="C1855">
        <v>168092</v>
      </c>
      <c r="D1855">
        <v>168092</v>
      </c>
      <c r="E1855">
        <v>20</v>
      </c>
      <c r="F1855">
        <v>30</v>
      </c>
      <c r="G1855">
        <v>30</v>
      </c>
      <c r="O1855">
        <v>80</v>
      </c>
    </row>
    <row r="1856" spans="1:15" x14ac:dyDescent="0.25">
      <c r="A1856" t="s">
        <v>3012</v>
      </c>
      <c r="B1856" t="s">
        <v>340</v>
      </c>
      <c r="C1856">
        <v>166557</v>
      </c>
      <c r="D1856">
        <v>166557</v>
      </c>
      <c r="E1856">
        <v>20</v>
      </c>
      <c r="F1856">
        <v>10</v>
      </c>
      <c r="G1856">
        <v>40</v>
      </c>
      <c r="O1856">
        <v>70</v>
      </c>
    </row>
    <row r="1857" spans="1:15" x14ac:dyDescent="0.25">
      <c r="A1857" t="s">
        <v>3013</v>
      </c>
      <c r="B1857" t="s">
        <v>3014</v>
      </c>
      <c r="C1857">
        <v>164839</v>
      </c>
      <c r="D1857">
        <v>164839</v>
      </c>
      <c r="E1857">
        <v>20</v>
      </c>
      <c r="F1857">
        <v>30</v>
      </c>
      <c r="G1857">
        <v>30</v>
      </c>
      <c r="O1857">
        <v>80</v>
      </c>
    </row>
    <row r="1858" spans="1:15" x14ac:dyDescent="0.25">
      <c r="A1858" t="s">
        <v>3015</v>
      </c>
      <c r="B1858" t="s">
        <v>2046</v>
      </c>
      <c r="C1858">
        <v>167746</v>
      </c>
      <c r="D1858">
        <v>167746</v>
      </c>
      <c r="E1858">
        <v>0</v>
      </c>
      <c r="F1858">
        <v>10</v>
      </c>
      <c r="G1858">
        <v>20</v>
      </c>
      <c r="O1858">
        <v>30</v>
      </c>
    </row>
    <row r="1859" spans="1:15" x14ac:dyDescent="0.25">
      <c r="A1859" t="s">
        <v>3016</v>
      </c>
      <c r="B1859" t="s">
        <v>3017</v>
      </c>
      <c r="C1859">
        <v>168145</v>
      </c>
      <c r="D1859">
        <v>168145</v>
      </c>
      <c r="H1859">
        <v>0</v>
      </c>
      <c r="I1859">
        <v>30</v>
      </c>
      <c r="J1859">
        <v>10</v>
      </c>
      <c r="K1859">
        <v>0</v>
      </c>
      <c r="L1859">
        <v>0</v>
      </c>
      <c r="M1859">
        <v>40</v>
      </c>
    </row>
    <row r="1860" spans="1:15" x14ac:dyDescent="0.25">
      <c r="A1860" t="s">
        <v>3018</v>
      </c>
      <c r="B1860" t="s">
        <v>3019</v>
      </c>
      <c r="C1860">
        <v>168606</v>
      </c>
      <c r="D1860">
        <v>168606</v>
      </c>
    </row>
    <row r="1861" spans="1:15" x14ac:dyDescent="0.25">
      <c r="A1861" t="s">
        <v>3020</v>
      </c>
      <c r="B1861" t="s">
        <v>122</v>
      </c>
      <c r="C1861">
        <v>166367</v>
      </c>
      <c r="D1861">
        <v>166367</v>
      </c>
      <c r="H1861">
        <v>10</v>
      </c>
      <c r="I1861">
        <v>30</v>
      </c>
      <c r="J1861">
        <v>10</v>
      </c>
      <c r="K1861">
        <v>10</v>
      </c>
      <c r="L1861">
        <v>0</v>
      </c>
      <c r="M1861">
        <v>60</v>
      </c>
    </row>
    <row r="1862" spans="1:15" x14ac:dyDescent="0.25">
      <c r="A1862" t="s">
        <v>3021</v>
      </c>
      <c r="B1862" t="s">
        <v>3022</v>
      </c>
      <c r="C1862">
        <v>164379</v>
      </c>
      <c r="D1862">
        <v>164379</v>
      </c>
      <c r="E1862">
        <v>30</v>
      </c>
      <c r="F1862">
        <v>0</v>
      </c>
      <c r="G1862">
        <v>30</v>
      </c>
      <c r="O1862">
        <v>60</v>
      </c>
    </row>
    <row r="1863" spans="1:15" x14ac:dyDescent="0.25">
      <c r="A1863" t="s">
        <v>3023</v>
      </c>
      <c r="B1863" t="s">
        <v>3024</v>
      </c>
      <c r="C1863">
        <v>165055</v>
      </c>
      <c r="D1863">
        <v>165055</v>
      </c>
    </row>
    <row r="1864" spans="1:15" x14ac:dyDescent="0.25">
      <c r="A1864" t="s">
        <v>3025</v>
      </c>
      <c r="B1864" t="s">
        <v>3026</v>
      </c>
      <c r="C1864">
        <v>168583</v>
      </c>
      <c r="D1864">
        <v>168583</v>
      </c>
      <c r="H1864">
        <v>10</v>
      </c>
      <c r="I1864">
        <v>30</v>
      </c>
      <c r="J1864">
        <v>10</v>
      </c>
      <c r="K1864">
        <v>10</v>
      </c>
      <c r="L1864">
        <v>10</v>
      </c>
      <c r="M1864">
        <v>70</v>
      </c>
    </row>
    <row r="1865" spans="1:15" x14ac:dyDescent="0.25">
      <c r="A1865" t="s">
        <v>3027</v>
      </c>
      <c r="B1865" t="s">
        <v>3028</v>
      </c>
      <c r="C1865">
        <v>166748</v>
      </c>
      <c r="D1865">
        <v>166748</v>
      </c>
      <c r="E1865">
        <v>50</v>
      </c>
      <c r="F1865">
        <v>40</v>
      </c>
      <c r="G1865">
        <v>40</v>
      </c>
      <c r="O1865">
        <v>130</v>
      </c>
    </row>
    <row r="1866" spans="1:15" x14ac:dyDescent="0.25">
      <c r="A1866" t="s">
        <v>3029</v>
      </c>
      <c r="B1866" t="s">
        <v>830</v>
      </c>
      <c r="C1866">
        <v>166583</v>
      </c>
      <c r="D1866">
        <v>166583</v>
      </c>
      <c r="E1866">
        <v>40</v>
      </c>
      <c r="F1866">
        <v>40</v>
      </c>
      <c r="G1866">
        <v>30</v>
      </c>
      <c r="O1866">
        <v>110</v>
      </c>
    </row>
    <row r="1867" spans="1:15" x14ac:dyDescent="0.25">
      <c r="A1867" t="s">
        <v>3030</v>
      </c>
      <c r="B1867" t="s">
        <v>791</v>
      </c>
      <c r="C1867">
        <v>168784</v>
      </c>
      <c r="D1867">
        <v>168784</v>
      </c>
    </row>
    <row r="1868" spans="1:15" x14ac:dyDescent="0.25">
      <c r="A1868" t="s">
        <v>3031</v>
      </c>
      <c r="B1868" t="s">
        <v>3032</v>
      </c>
      <c r="C1868">
        <v>161904</v>
      </c>
      <c r="D1868">
        <v>161904</v>
      </c>
      <c r="E1868">
        <v>10</v>
      </c>
      <c r="O1868">
        <v>10</v>
      </c>
    </row>
    <row r="1869" spans="1:15" x14ac:dyDescent="0.25">
      <c r="A1869" t="s">
        <v>3033</v>
      </c>
      <c r="B1869" t="s">
        <v>3034</v>
      </c>
      <c r="C1869">
        <v>167022</v>
      </c>
      <c r="D1869">
        <v>167022</v>
      </c>
      <c r="E1869">
        <v>20</v>
      </c>
      <c r="F1869">
        <v>0</v>
      </c>
      <c r="G1869">
        <v>40</v>
      </c>
      <c r="O1869">
        <v>60</v>
      </c>
    </row>
    <row r="1870" spans="1:15" x14ac:dyDescent="0.25">
      <c r="A1870" t="s">
        <v>3033</v>
      </c>
      <c r="B1870" t="s">
        <v>197</v>
      </c>
      <c r="C1870">
        <v>168454</v>
      </c>
      <c r="D1870">
        <v>168454</v>
      </c>
      <c r="H1870">
        <v>10</v>
      </c>
      <c r="I1870">
        <v>40</v>
      </c>
      <c r="J1870">
        <v>10</v>
      </c>
      <c r="K1870">
        <v>0</v>
      </c>
      <c r="L1870">
        <v>10</v>
      </c>
      <c r="M1870">
        <v>70</v>
      </c>
    </row>
    <row r="1871" spans="1:15" x14ac:dyDescent="0.25">
      <c r="A1871" t="s">
        <v>3035</v>
      </c>
      <c r="B1871" t="s">
        <v>209</v>
      </c>
      <c r="C1871">
        <v>166042</v>
      </c>
      <c r="D1871">
        <v>166042</v>
      </c>
      <c r="H1871">
        <v>10</v>
      </c>
      <c r="I1871">
        <v>30</v>
      </c>
      <c r="J1871">
        <v>20</v>
      </c>
      <c r="K1871">
        <v>10</v>
      </c>
      <c r="L1871">
        <v>0</v>
      </c>
      <c r="M1871">
        <v>70</v>
      </c>
    </row>
    <row r="1872" spans="1:15" x14ac:dyDescent="0.25">
      <c r="A1872" t="s">
        <v>3036</v>
      </c>
      <c r="B1872" t="s">
        <v>3037</v>
      </c>
      <c r="C1872">
        <v>165526</v>
      </c>
      <c r="D1872">
        <v>165526</v>
      </c>
      <c r="H1872">
        <v>10</v>
      </c>
      <c r="I1872">
        <v>30</v>
      </c>
      <c r="J1872">
        <v>10</v>
      </c>
      <c r="K1872">
        <v>10</v>
      </c>
      <c r="L1872">
        <v>10</v>
      </c>
      <c r="M1872">
        <v>70</v>
      </c>
    </row>
    <row r="1873" spans="1:15" x14ac:dyDescent="0.25">
      <c r="A1873" t="s">
        <v>3038</v>
      </c>
      <c r="B1873" t="s">
        <v>3039</v>
      </c>
      <c r="C1873">
        <v>168187</v>
      </c>
      <c r="D1873">
        <v>168187</v>
      </c>
      <c r="E1873">
        <v>40</v>
      </c>
      <c r="F1873">
        <v>40</v>
      </c>
      <c r="G1873">
        <v>30</v>
      </c>
      <c r="O1873">
        <v>110</v>
      </c>
    </row>
    <row r="1874" spans="1:15" x14ac:dyDescent="0.25">
      <c r="A1874" t="s">
        <v>3040</v>
      </c>
      <c r="B1874" t="s">
        <v>1631</v>
      </c>
      <c r="C1874">
        <v>167650</v>
      </c>
      <c r="D1874">
        <v>167650</v>
      </c>
      <c r="H1874">
        <v>0</v>
      </c>
      <c r="I1874">
        <v>0</v>
      </c>
      <c r="J1874">
        <v>0</v>
      </c>
      <c r="K1874">
        <v>0</v>
      </c>
      <c r="L1874">
        <v>10</v>
      </c>
      <c r="M1874">
        <v>10</v>
      </c>
    </row>
    <row r="1875" spans="1:15" x14ac:dyDescent="0.25">
      <c r="A1875" t="s">
        <v>3041</v>
      </c>
      <c r="B1875" t="s">
        <v>2869</v>
      </c>
      <c r="C1875">
        <v>167759</v>
      </c>
      <c r="D1875">
        <v>167759</v>
      </c>
      <c r="H1875">
        <v>0</v>
      </c>
      <c r="I1875" t="s">
        <v>20</v>
      </c>
      <c r="J1875">
        <v>10</v>
      </c>
      <c r="M1875">
        <v>10</v>
      </c>
    </row>
    <row r="1876" spans="1:15" x14ac:dyDescent="0.25">
      <c r="A1876" t="s">
        <v>3042</v>
      </c>
      <c r="B1876" t="s">
        <v>340</v>
      </c>
      <c r="C1876">
        <v>167299</v>
      </c>
      <c r="D1876">
        <v>167299</v>
      </c>
      <c r="H1876">
        <v>10</v>
      </c>
      <c r="I1876">
        <v>30</v>
      </c>
      <c r="J1876">
        <v>10</v>
      </c>
      <c r="K1876">
        <v>10</v>
      </c>
      <c r="L1876">
        <v>0</v>
      </c>
      <c r="M1876">
        <v>60</v>
      </c>
    </row>
    <row r="1877" spans="1:15" x14ac:dyDescent="0.25">
      <c r="A1877" t="s">
        <v>3043</v>
      </c>
      <c r="B1877" t="s">
        <v>197</v>
      </c>
      <c r="C1877">
        <v>166901</v>
      </c>
      <c r="D1877">
        <v>166901</v>
      </c>
      <c r="E1877">
        <v>0</v>
      </c>
      <c r="F1877">
        <v>40</v>
      </c>
      <c r="O1877">
        <v>40</v>
      </c>
    </row>
    <row r="1878" spans="1:15" x14ac:dyDescent="0.25">
      <c r="A1878" t="s">
        <v>3044</v>
      </c>
      <c r="B1878" t="s">
        <v>1497</v>
      </c>
      <c r="C1878">
        <v>168525</v>
      </c>
      <c r="D1878">
        <v>168525</v>
      </c>
    </row>
    <row r="1879" spans="1:15" x14ac:dyDescent="0.25">
      <c r="A1879" t="s">
        <v>3045</v>
      </c>
      <c r="B1879" t="s">
        <v>3046</v>
      </c>
      <c r="C1879">
        <v>168675</v>
      </c>
      <c r="D1879">
        <v>168675</v>
      </c>
    </row>
    <row r="1880" spans="1:15" x14ac:dyDescent="0.25">
      <c r="A1880" t="s">
        <v>3047</v>
      </c>
      <c r="B1880" t="s">
        <v>3048</v>
      </c>
      <c r="C1880">
        <v>165851</v>
      </c>
      <c r="D1880">
        <v>165851</v>
      </c>
      <c r="H1880">
        <v>10</v>
      </c>
      <c r="I1880">
        <v>30</v>
      </c>
      <c r="J1880">
        <v>10</v>
      </c>
      <c r="K1880">
        <v>10</v>
      </c>
      <c r="L1880">
        <v>0</v>
      </c>
      <c r="M1880">
        <v>60</v>
      </c>
    </row>
    <row r="1881" spans="1:15" x14ac:dyDescent="0.25">
      <c r="A1881" t="s">
        <v>3049</v>
      </c>
      <c r="B1881" t="s">
        <v>87</v>
      </c>
      <c r="C1881">
        <v>166809</v>
      </c>
      <c r="D1881">
        <v>166809</v>
      </c>
      <c r="H1881">
        <v>0</v>
      </c>
      <c r="I1881">
        <v>50</v>
      </c>
      <c r="J1881">
        <v>20</v>
      </c>
      <c r="K1881">
        <v>10</v>
      </c>
      <c r="L1881">
        <v>0</v>
      </c>
      <c r="M1881">
        <v>80</v>
      </c>
    </row>
    <row r="1882" spans="1:15" x14ac:dyDescent="0.25">
      <c r="A1882" t="s">
        <v>3050</v>
      </c>
      <c r="B1882" t="s">
        <v>344</v>
      </c>
      <c r="C1882">
        <v>168456</v>
      </c>
      <c r="D1882">
        <v>168456</v>
      </c>
      <c r="E1882">
        <v>40</v>
      </c>
      <c r="F1882">
        <v>20</v>
      </c>
      <c r="G1882">
        <v>50</v>
      </c>
      <c r="O1882">
        <v>110</v>
      </c>
    </row>
    <row r="1883" spans="1:15" x14ac:dyDescent="0.25">
      <c r="A1883" t="s">
        <v>3051</v>
      </c>
      <c r="B1883" t="s">
        <v>3052</v>
      </c>
      <c r="C1883">
        <v>167393</v>
      </c>
      <c r="D1883">
        <v>167393</v>
      </c>
      <c r="E1883">
        <v>50</v>
      </c>
      <c r="F1883">
        <v>10</v>
      </c>
      <c r="G1883">
        <v>30</v>
      </c>
      <c r="O1883">
        <v>90</v>
      </c>
    </row>
    <row r="1884" spans="1:15" x14ac:dyDescent="0.25">
      <c r="A1884" t="s">
        <v>3053</v>
      </c>
      <c r="B1884" t="s">
        <v>166</v>
      </c>
      <c r="C1884">
        <v>168671</v>
      </c>
      <c r="D1884">
        <v>168671</v>
      </c>
      <c r="E1884">
        <v>0</v>
      </c>
      <c r="F1884">
        <v>10</v>
      </c>
      <c r="G1884">
        <v>50</v>
      </c>
      <c r="O1884">
        <v>60</v>
      </c>
    </row>
    <row r="1885" spans="1:15" x14ac:dyDescent="0.25">
      <c r="A1885" t="s">
        <v>3054</v>
      </c>
      <c r="B1885" t="s">
        <v>3055</v>
      </c>
      <c r="C1885">
        <v>168371</v>
      </c>
      <c r="D1885">
        <v>168371</v>
      </c>
      <c r="E1885">
        <v>40</v>
      </c>
      <c r="F1885">
        <v>40</v>
      </c>
      <c r="G1885">
        <v>40</v>
      </c>
      <c r="O1885">
        <v>120</v>
      </c>
    </row>
    <row r="1886" spans="1:15" x14ac:dyDescent="0.25">
      <c r="A1886" t="s">
        <v>3056</v>
      </c>
      <c r="B1886" t="s">
        <v>1513</v>
      </c>
      <c r="C1886">
        <v>165885</v>
      </c>
      <c r="D1886">
        <v>165885</v>
      </c>
      <c r="E1886">
        <v>30</v>
      </c>
      <c r="F1886">
        <v>20</v>
      </c>
      <c r="G1886">
        <v>10</v>
      </c>
      <c r="O1886">
        <v>60</v>
      </c>
    </row>
    <row r="1887" spans="1:15" x14ac:dyDescent="0.25">
      <c r="A1887" t="s">
        <v>3057</v>
      </c>
      <c r="B1887" t="s">
        <v>53</v>
      </c>
      <c r="C1887">
        <v>167385</v>
      </c>
      <c r="D1887">
        <v>167385</v>
      </c>
      <c r="E1887">
        <v>20</v>
      </c>
      <c r="F1887">
        <v>0</v>
      </c>
      <c r="G1887">
        <v>30</v>
      </c>
      <c r="O1887">
        <v>50</v>
      </c>
    </row>
    <row r="1888" spans="1:15" x14ac:dyDescent="0.25">
      <c r="A1888" t="s">
        <v>3058</v>
      </c>
      <c r="B1888" t="s">
        <v>67</v>
      </c>
      <c r="C1888">
        <v>166401</v>
      </c>
      <c r="D1888">
        <v>166401</v>
      </c>
      <c r="H1888">
        <v>20</v>
      </c>
      <c r="I1888">
        <v>30</v>
      </c>
      <c r="J1888">
        <v>10</v>
      </c>
      <c r="K1888">
        <v>10</v>
      </c>
      <c r="L1888">
        <v>0</v>
      </c>
      <c r="M1888">
        <v>70</v>
      </c>
    </row>
    <row r="1889" spans="1:15" x14ac:dyDescent="0.25">
      <c r="A1889" t="s">
        <v>3059</v>
      </c>
      <c r="B1889" t="s">
        <v>3060</v>
      </c>
      <c r="C1889">
        <v>166839</v>
      </c>
      <c r="D1889">
        <v>166839</v>
      </c>
      <c r="E1889">
        <v>40</v>
      </c>
      <c r="F1889">
        <v>40</v>
      </c>
      <c r="G1889">
        <v>40</v>
      </c>
      <c r="O1889">
        <v>120</v>
      </c>
    </row>
    <row r="1890" spans="1:15" x14ac:dyDescent="0.25">
      <c r="A1890" t="s">
        <v>3061</v>
      </c>
      <c r="B1890" t="s">
        <v>677</v>
      </c>
      <c r="C1890">
        <v>168516</v>
      </c>
      <c r="D1890">
        <v>168516</v>
      </c>
      <c r="H1890">
        <v>0</v>
      </c>
      <c r="I1890">
        <v>50</v>
      </c>
      <c r="J1890">
        <v>20</v>
      </c>
      <c r="K1890">
        <v>10</v>
      </c>
      <c r="L1890">
        <v>0</v>
      </c>
      <c r="M1890">
        <v>80</v>
      </c>
    </row>
    <row r="1891" spans="1:15" x14ac:dyDescent="0.25">
      <c r="A1891" t="s">
        <v>3062</v>
      </c>
      <c r="B1891" t="s">
        <v>3063</v>
      </c>
      <c r="C1891">
        <v>166240</v>
      </c>
      <c r="D1891">
        <v>166240</v>
      </c>
      <c r="E1891">
        <v>10</v>
      </c>
      <c r="F1891">
        <v>0</v>
      </c>
      <c r="G1891">
        <v>30</v>
      </c>
      <c r="O1891">
        <v>40</v>
      </c>
    </row>
    <row r="1892" spans="1:15" x14ac:dyDescent="0.25">
      <c r="A1892" t="s">
        <v>3064</v>
      </c>
      <c r="B1892" t="s">
        <v>577</v>
      </c>
      <c r="C1892">
        <v>162742</v>
      </c>
      <c r="D1892">
        <v>162742</v>
      </c>
      <c r="E1892">
        <v>0</v>
      </c>
      <c r="F1892">
        <v>30</v>
      </c>
      <c r="G1892">
        <v>50</v>
      </c>
      <c r="O1892">
        <v>80</v>
      </c>
    </row>
    <row r="1893" spans="1:15" x14ac:dyDescent="0.25">
      <c r="A1893" t="s">
        <v>3065</v>
      </c>
      <c r="B1893" t="s">
        <v>3066</v>
      </c>
      <c r="C1893">
        <v>167348</v>
      </c>
      <c r="D1893">
        <v>167348</v>
      </c>
      <c r="H1893">
        <v>20</v>
      </c>
      <c r="I1893">
        <v>20</v>
      </c>
      <c r="J1893">
        <v>20</v>
      </c>
      <c r="K1893">
        <v>10</v>
      </c>
      <c r="L1893">
        <v>0</v>
      </c>
      <c r="M1893">
        <v>70</v>
      </c>
    </row>
    <row r="1894" spans="1:15" x14ac:dyDescent="0.25">
      <c r="A1894" t="s">
        <v>3067</v>
      </c>
      <c r="B1894" t="s">
        <v>1829</v>
      </c>
      <c r="C1894">
        <v>163028</v>
      </c>
      <c r="D1894">
        <v>163028</v>
      </c>
      <c r="H1894">
        <v>10</v>
      </c>
      <c r="I1894">
        <v>50</v>
      </c>
      <c r="J1894">
        <v>20</v>
      </c>
      <c r="K1894">
        <v>10</v>
      </c>
      <c r="L1894">
        <v>0</v>
      </c>
      <c r="M1894">
        <v>90</v>
      </c>
    </row>
    <row r="1895" spans="1:15" x14ac:dyDescent="0.25">
      <c r="A1895" t="s">
        <v>3068</v>
      </c>
      <c r="B1895" t="s">
        <v>3069</v>
      </c>
      <c r="C1895">
        <v>166325</v>
      </c>
      <c r="D1895">
        <v>166325</v>
      </c>
      <c r="E1895">
        <v>10</v>
      </c>
      <c r="F1895">
        <v>0</v>
      </c>
      <c r="G1895">
        <v>40</v>
      </c>
      <c r="O1895">
        <v>50</v>
      </c>
    </row>
    <row r="1896" spans="1:15" x14ac:dyDescent="0.25">
      <c r="A1896" t="s">
        <v>3070</v>
      </c>
      <c r="B1896" t="s">
        <v>83</v>
      </c>
      <c r="C1896">
        <v>165596</v>
      </c>
      <c r="D1896">
        <v>165596</v>
      </c>
      <c r="H1896">
        <v>10</v>
      </c>
      <c r="I1896">
        <v>10</v>
      </c>
      <c r="J1896">
        <v>10</v>
      </c>
      <c r="K1896">
        <v>10</v>
      </c>
      <c r="L1896">
        <v>0</v>
      </c>
      <c r="M1896">
        <v>40</v>
      </c>
    </row>
    <row r="1897" spans="1:15" x14ac:dyDescent="0.25">
      <c r="A1897" t="s">
        <v>3071</v>
      </c>
      <c r="B1897" t="s">
        <v>596</v>
      </c>
      <c r="C1897">
        <v>168475</v>
      </c>
      <c r="D1897">
        <v>168475</v>
      </c>
      <c r="E1897">
        <v>20</v>
      </c>
      <c r="F1897">
        <v>30</v>
      </c>
      <c r="G1897">
        <v>20</v>
      </c>
      <c r="O1897">
        <v>70</v>
      </c>
    </row>
    <row r="1898" spans="1:15" x14ac:dyDescent="0.25">
      <c r="A1898" t="s">
        <v>3072</v>
      </c>
      <c r="B1898" t="s">
        <v>3073</v>
      </c>
      <c r="C1898">
        <v>167203</v>
      </c>
      <c r="D1898">
        <v>167203</v>
      </c>
    </row>
    <row r="1899" spans="1:15" x14ac:dyDescent="0.25">
      <c r="A1899" t="s">
        <v>3074</v>
      </c>
      <c r="B1899" t="s">
        <v>761</v>
      </c>
      <c r="C1899">
        <v>165992</v>
      </c>
      <c r="D1899">
        <v>165992</v>
      </c>
      <c r="H1899">
        <v>20</v>
      </c>
      <c r="I1899">
        <v>40</v>
      </c>
      <c r="J1899">
        <v>20</v>
      </c>
      <c r="K1899">
        <v>10</v>
      </c>
      <c r="L1899">
        <v>0</v>
      </c>
      <c r="M1899">
        <v>90</v>
      </c>
    </row>
    <row r="1900" spans="1:15" x14ac:dyDescent="0.25">
      <c r="A1900" t="s">
        <v>3075</v>
      </c>
      <c r="B1900" t="s">
        <v>1501</v>
      </c>
      <c r="C1900">
        <v>167585</v>
      </c>
      <c r="D1900">
        <v>167585</v>
      </c>
      <c r="H1900">
        <v>20</v>
      </c>
      <c r="I1900">
        <v>50</v>
      </c>
      <c r="J1900">
        <v>10</v>
      </c>
      <c r="K1900">
        <v>10</v>
      </c>
      <c r="L1900">
        <v>10</v>
      </c>
      <c r="M1900">
        <v>100</v>
      </c>
    </row>
    <row r="1901" spans="1:15" x14ac:dyDescent="0.25">
      <c r="A1901" t="s">
        <v>3076</v>
      </c>
      <c r="B1901" t="s">
        <v>3077</v>
      </c>
      <c r="C1901">
        <v>166918</v>
      </c>
      <c r="D1901">
        <v>166918</v>
      </c>
      <c r="H1901">
        <v>0</v>
      </c>
      <c r="I1901">
        <v>10</v>
      </c>
      <c r="J1901">
        <v>10</v>
      </c>
      <c r="K1901">
        <v>0</v>
      </c>
      <c r="L1901">
        <v>0</v>
      </c>
      <c r="M1901">
        <v>20</v>
      </c>
    </row>
    <row r="1902" spans="1:15" x14ac:dyDescent="0.25">
      <c r="A1902" t="s">
        <v>3078</v>
      </c>
      <c r="B1902" t="s">
        <v>3079</v>
      </c>
      <c r="C1902">
        <v>168388</v>
      </c>
      <c r="D1902">
        <v>168388</v>
      </c>
      <c r="E1902">
        <v>30</v>
      </c>
      <c r="F1902">
        <v>20</v>
      </c>
      <c r="G1902">
        <v>20</v>
      </c>
      <c r="O1902">
        <v>70</v>
      </c>
    </row>
    <row r="1903" spans="1:15" x14ac:dyDescent="0.25">
      <c r="A1903" t="s">
        <v>3080</v>
      </c>
      <c r="B1903" t="s">
        <v>1631</v>
      </c>
      <c r="C1903">
        <v>166374</v>
      </c>
      <c r="D1903">
        <v>166374</v>
      </c>
      <c r="E1903">
        <v>30</v>
      </c>
      <c r="F1903">
        <v>20</v>
      </c>
      <c r="G1903">
        <v>40</v>
      </c>
      <c r="O1903">
        <v>90</v>
      </c>
    </row>
    <row r="1904" spans="1:15" x14ac:dyDescent="0.25">
      <c r="A1904" t="s">
        <v>3081</v>
      </c>
      <c r="B1904" t="s">
        <v>3082</v>
      </c>
      <c r="C1904">
        <v>161660</v>
      </c>
      <c r="D1904">
        <v>161660</v>
      </c>
    </row>
    <row r="1905" spans="1:15" x14ac:dyDescent="0.25">
      <c r="A1905" t="s">
        <v>3083</v>
      </c>
      <c r="B1905" t="s">
        <v>3084</v>
      </c>
      <c r="C1905">
        <v>167112</v>
      </c>
      <c r="D1905">
        <v>167112</v>
      </c>
      <c r="H1905">
        <v>10</v>
      </c>
      <c r="I1905">
        <v>30</v>
      </c>
      <c r="J1905">
        <v>10</v>
      </c>
      <c r="K1905">
        <v>10</v>
      </c>
      <c r="L1905">
        <v>10</v>
      </c>
      <c r="M1905">
        <v>70</v>
      </c>
    </row>
    <row r="1906" spans="1:15" x14ac:dyDescent="0.25">
      <c r="A1906" t="s">
        <v>3085</v>
      </c>
      <c r="B1906" t="s">
        <v>3086</v>
      </c>
      <c r="C1906">
        <v>163821</v>
      </c>
      <c r="D1906">
        <v>163821</v>
      </c>
      <c r="E1906">
        <v>50</v>
      </c>
      <c r="F1906">
        <v>30</v>
      </c>
      <c r="G1906">
        <v>30</v>
      </c>
      <c r="O1906">
        <v>110</v>
      </c>
    </row>
    <row r="1907" spans="1:15" x14ac:dyDescent="0.25">
      <c r="A1907" t="s">
        <v>3087</v>
      </c>
      <c r="B1907" t="s">
        <v>982</v>
      </c>
      <c r="C1907">
        <v>165248</v>
      </c>
      <c r="D1907">
        <v>165248</v>
      </c>
      <c r="E1907">
        <v>10</v>
      </c>
      <c r="F1907">
        <v>30</v>
      </c>
      <c r="G1907">
        <v>30</v>
      </c>
      <c r="O1907">
        <v>70</v>
      </c>
    </row>
    <row r="1908" spans="1:15" x14ac:dyDescent="0.25">
      <c r="A1908" t="s">
        <v>3088</v>
      </c>
      <c r="B1908" t="s">
        <v>176</v>
      </c>
      <c r="C1908">
        <v>168754</v>
      </c>
      <c r="D1908">
        <v>168754</v>
      </c>
      <c r="H1908">
        <v>10</v>
      </c>
      <c r="I1908">
        <v>30</v>
      </c>
      <c r="J1908">
        <v>10</v>
      </c>
      <c r="K1908">
        <v>10</v>
      </c>
      <c r="L1908">
        <v>0</v>
      </c>
      <c r="M1908">
        <v>60</v>
      </c>
    </row>
    <row r="1909" spans="1:15" x14ac:dyDescent="0.25">
      <c r="A1909" t="s">
        <v>3089</v>
      </c>
      <c r="B1909" t="s">
        <v>367</v>
      </c>
      <c r="C1909">
        <v>167728</v>
      </c>
      <c r="D1909">
        <v>167728</v>
      </c>
      <c r="H1909">
        <v>0</v>
      </c>
      <c r="M1909">
        <v>0</v>
      </c>
    </row>
    <row r="1910" spans="1:15" x14ac:dyDescent="0.25">
      <c r="A1910" t="s">
        <v>3090</v>
      </c>
      <c r="B1910" t="s">
        <v>3091</v>
      </c>
      <c r="C1910">
        <v>168909</v>
      </c>
      <c r="D1910">
        <v>168909</v>
      </c>
    </row>
    <row r="1911" spans="1:15" x14ac:dyDescent="0.25">
      <c r="A1911" t="s">
        <v>3092</v>
      </c>
      <c r="B1911" t="s">
        <v>3093</v>
      </c>
      <c r="C1911">
        <v>167756</v>
      </c>
      <c r="D1911">
        <v>167756</v>
      </c>
      <c r="E1911">
        <v>20</v>
      </c>
      <c r="F1911">
        <v>20</v>
      </c>
      <c r="G1911">
        <v>10</v>
      </c>
      <c r="O1911">
        <v>50</v>
      </c>
    </row>
    <row r="1912" spans="1:15" x14ac:dyDescent="0.25">
      <c r="A1912" t="s">
        <v>3094</v>
      </c>
      <c r="B1912" t="s">
        <v>725</v>
      </c>
      <c r="C1912">
        <v>164673</v>
      </c>
      <c r="D1912">
        <v>164673</v>
      </c>
      <c r="E1912">
        <v>10</v>
      </c>
      <c r="F1912">
        <v>10</v>
      </c>
      <c r="G1912">
        <v>20</v>
      </c>
      <c r="O1912">
        <v>40</v>
      </c>
    </row>
    <row r="1913" spans="1:15" x14ac:dyDescent="0.25">
      <c r="A1913" t="s">
        <v>3095</v>
      </c>
      <c r="B1913" t="s">
        <v>1272</v>
      </c>
      <c r="C1913">
        <v>168554</v>
      </c>
      <c r="D1913">
        <v>168554</v>
      </c>
      <c r="E1913">
        <v>0</v>
      </c>
      <c r="F1913">
        <v>20</v>
      </c>
      <c r="G1913">
        <v>0</v>
      </c>
      <c r="O1913">
        <v>20</v>
      </c>
    </row>
    <row r="1914" spans="1:15" x14ac:dyDescent="0.25">
      <c r="A1914" t="s">
        <v>3096</v>
      </c>
      <c r="B1914" t="s">
        <v>1308</v>
      </c>
      <c r="C1914">
        <v>168701</v>
      </c>
      <c r="D1914">
        <v>168701</v>
      </c>
      <c r="H1914">
        <v>0</v>
      </c>
      <c r="I1914">
        <v>40</v>
      </c>
      <c r="J1914">
        <v>10</v>
      </c>
      <c r="K1914">
        <v>10</v>
      </c>
      <c r="L1914">
        <v>10</v>
      </c>
      <c r="M1914">
        <v>70</v>
      </c>
    </row>
    <row r="1915" spans="1:15" x14ac:dyDescent="0.25">
      <c r="A1915" t="s">
        <v>3097</v>
      </c>
      <c r="B1915" t="s">
        <v>529</v>
      </c>
      <c r="C1915">
        <v>168341</v>
      </c>
      <c r="D1915">
        <v>168341</v>
      </c>
      <c r="H1915">
        <v>10</v>
      </c>
      <c r="I1915">
        <v>30</v>
      </c>
      <c r="J1915">
        <v>20</v>
      </c>
      <c r="K1915">
        <v>10</v>
      </c>
      <c r="L1915">
        <v>0</v>
      </c>
      <c r="M1915">
        <v>70</v>
      </c>
    </row>
    <row r="1916" spans="1:15" x14ac:dyDescent="0.25">
      <c r="A1916" t="s">
        <v>3098</v>
      </c>
      <c r="B1916" t="s">
        <v>3099</v>
      </c>
      <c r="C1916">
        <v>165486</v>
      </c>
      <c r="D1916">
        <v>165486</v>
      </c>
      <c r="H1916">
        <v>0</v>
      </c>
      <c r="I1916">
        <v>40</v>
      </c>
      <c r="J1916">
        <v>10</v>
      </c>
      <c r="K1916">
        <v>10</v>
      </c>
      <c r="L1916">
        <v>0</v>
      </c>
      <c r="M1916">
        <v>60</v>
      </c>
    </row>
    <row r="1917" spans="1:15" x14ac:dyDescent="0.25">
      <c r="A1917" t="s">
        <v>3100</v>
      </c>
      <c r="B1917" t="s">
        <v>53</v>
      </c>
      <c r="C1917">
        <v>166190</v>
      </c>
      <c r="D1917">
        <v>166190</v>
      </c>
      <c r="E1917">
        <v>50</v>
      </c>
      <c r="F1917">
        <v>0</v>
      </c>
      <c r="G1917">
        <v>30</v>
      </c>
      <c r="O1917">
        <v>80</v>
      </c>
    </row>
    <row r="1918" spans="1:15" x14ac:dyDescent="0.25">
      <c r="A1918" t="s">
        <v>3101</v>
      </c>
      <c r="B1918" t="s">
        <v>3102</v>
      </c>
      <c r="C1918">
        <v>168626</v>
      </c>
      <c r="D1918">
        <v>168626</v>
      </c>
      <c r="H1918">
        <v>0</v>
      </c>
      <c r="I1918">
        <v>20</v>
      </c>
      <c r="J1918">
        <v>20</v>
      </c>
      <c r="K1918">
        <v>0</v>
      </c>
      <c r="L1918">
        <v>0</v>
      </c>
      <c r="M1918">
        <v>40</v>
      </c>
    </row>
    <row r="1919" spans="1:15" x14ac:dyDescent="0.25">
      <c r="A1919" t="s">
        <v>3103</v>
      </c>
      <c r="B1919" t="s">
        <v>3104</v>
      </c>
      <c r="C1919">
        <v>165115</v>
      </c>
      <c r="D1919">
        <v>165115</v>
      </c>
      <c r="H1919">
        <v>20</v>
      </c>
      <c r="I1919">
        <v>40</v>
      </c>
      <c r="J1919">
        <v>20</v>
      </c>
      <c r="K1919">
        <v>10</v>
      </c>
      <c r="L1919">
        <v>0</v>
      </c>
      <c r="M1919">
        <v>90</v>
      </c>
    </row>
    <row r="1920" spans="1:15" x14ac:dyDescent="0.25">
      <c r="A1920" t="s">
        <v>3105</v>
      </c>
      <c r="B1920" t="s">
        <v>3106</v>
      </c>
      <c r="C1920">
        <v>168603</v>
      </c>
      <c r="D1920">
        <v>168603</v>
      </c>
      <c r="E1920">
        <v>50</v>
      </c>
      <c r="F1920">
        <v>30</v>
      </c>
      <c r="G1920">
        <v>20</v>
      </c>
      <c r="O1920">
        <v>100</v>
      </c>
    </row>
    <row r="1921" spans="1:18" x14ac:dyDescent="0.25">
      <c r="A1921" t="s">
        <v>3107</v>
      </c>
      <c r="B1921" t="s">
        <v>944</v>
      </c>
      <c r="C1921">
        <v>168491</v>
      </c>
      <c r="D1921">
        <v>168491</v>
      </c>
    </row>
    <row r="1922" spans="1:18" x14ac:dyDescent="0.25">
      <c r="A1922" t="s">
        <v>3108</v>
      </c>
      <c r="B1922" t="s">
        <v>3109</v>
      </c>
      <c r="C1922">
        <v>167704</v>
      </c>
      <c r="D1922">
        <v>167704</v>
      </c>
      <c r="E1922">
        <v>10</v>
      </c>
      <c r="F1922">
        <v>20</v>
      </c>
      <c r="G1922">
        <v>60</v>
      </c>
      <c r="O1922">
        <v>90</v>
      </c>
      <c r="R1922" t="s">
        <v>20</v>
      </c>
    </row>
    <row r="1923" spans="1:18" x14ac:dyDescent="0.25">
      <c r="A1923" t="s">
        <v>3108</v>
      </c>
      <c r="B1923" t="s">
        <v>3110</v>
      </c>
      <c r="C1923">
        <v>167703</v>
      </c>
      <c r="D1923">
        <v>167703</v>
      </c>
      <c r="H1923">
        <v>0</v>
      </c>
      <c r="I1923">
        <v>20</v>
      </c>
      <c r="J1923">
        <v>10</v>
      </c>
      <c r="K1923">
        <v>0</v>
      </c>
      <c r="L1923">
        <v>0</v>
      </c>
      <c r="M1923">
        <v>30</v>
      </c>
    </row>
    <row r="1924" spans="1:18" x14ac:dyDescent="0.25">
      <c r="A1924" t="s">
        <v>3111</v>
      </c>
      <c r="B1924" t="s">
        <v>3112</v>
      </c>
      <c r="C1924">
        <v>166866</v>
      </c>
      <c r="D1924">
        <v>166866</v>
      </c>
      <c r="E1924">
        <v>50</v>
      </c>
      <c r="F1924">
        <v>40</v>
      </c>
      <c r="G1924">
        <v>20</v>
      </c>
      <c r="O1924">
        <v>110</v>
      </c>
    </row>
    <row r="1925" spans="1:18" x14ac:dyDescent="0.25">
      <c r="A1925" t="s">
        <v>3113</v>
      </c>
      <c r="B1925" t="s">
        <v>3114</v>
      </c>
      <c r="C1925">
        <v>167455</v>
      </c>
      <c r="D1925">
        <v>167455</v>
      </c>
      <c r="H1925">
        <v>20</v>
      </c>
      <c r="I1925">
        <v>10</v>
      </c>
      <c r="J1925">
        <v>20</v>
      </c>
      <c r="K1925">
        <v>0</v>
      </c>
      <c r="L1925">
        <v>10</v>
      </c>
      <c r="M1925">
        <v>60</v>
      </c>
    </row>
    <row r="1926" spans="1:18" x14ac:dyDescent="0.25">
      <c r="A1926" t="s">
        <v>3115</v>
      </c>
      <c r="B1926" t="s">
        <v>228</v>
      </c>
      <c r="C1926">
        <v>167653</v>
      </c>
      <c r="D1926">
        <v>167653</v>
      </c>
    </row>
    <row r="1927" spans="1:18" x14ac:dyDescent="0.25">
      <c r="A1927" t="s">
        <v>3116</v>
      </c>
      <c r="B1927" t="s">
        <v>1743</v>
      </c>
      <c r="C1927">
        <v>166862</v>
      </c>
      <c r="D1927">
        <v>166862</v>
      </c>
      <c r="H1927">
        <v>0</v>
      </c>
      <c r="I1927">
        <v>50</v>
      </c>
      <c r="J1927">
        <v>0</v>
      </c>
      <c r="K1927">
        <v>0</v>
      </c>
      <c r="L1927">
        <v>0</v>
      </c>
      <c r="M1927">
        <v>50</v>
      </c>
    </row>
    <row r="1928" spans="1:18" x14ac:dyDescent="0.25">
      <c r="A1928" t="s">
        <v>3117</v>
      </c>
      <c r="B1928" t="s">
        <v>59</v>
      </c>
      <c r="C1928">
        <v>167659</v>
      </c>
      <c r="D1928">
        <v>167659</v>
      </c>
    </row>
    <row r="1929" spans="1:18" x14ac:dyDescent="0.25">
      <c r="A1929" t="s">
        <v>3118</v>
      </c>
      <c r="B1929" t="s">
        <v>2597</v>
      </c>
      <c r="C1929">
        <v>165641</v>
      </c>
      <c r="D1929">
        <v>165641</v>
      </c>
      <c r="E1929">
        <v>40</v>
      </c>
      <c r="F1929">
        <v>20</v>
      </c>
      <c r="G1929">
        <v>50</v>
      </c>
      <c r="O1929">
        <v>110</v>
      </c>
    </row>
    <row r="1930" spans="1:18" x14ac:dyDescent="0.25">
      <c r="A1930" t="s">
        <v>3119</v>
      </c>
      <c r="B1930" t="s">
        <v>126</v>
      </c>
      <c r="C1930">
        <v>168197</v>
      </c>
      <c r="D1930">
        <v>168197</v>
      </c>
      <c r="H1930">
        <v>20</v>
      </c>
      <c r="I1930">
        <v>40</v>
      </c>
      <c r="J1930">
        <v>20</v>
      </c>
      <c r="K1930">
        <v>0</v>
      </c>
      <c r="L1930">
        <v>10</v>
      </c>
      <c r="M1930">
        <v>90</v>
      </c>
    </row>
    <row r="1931" spans="1:18" x14ac:dyDescent="0.25">
      <c r="A1931" t="s">
        <v>3120</v>
      </c>
      <c r="B1931" t="s">
        <v>3121</v>
      </c>
      <c r="C1931">
        <v>167390</v>
      </c>
      <c r="D1931">
        <v>167390</v>
      </c>
      <c r="E1931">
        <v>0</v>
      </c>
      <c r="F1931">
        <v>20</v>
      </c>
      <c r="G1931">
        <v>10</v>
      </c>
      <c r="O1931">
        <v>30</v>
      </c>
    </row>
    <row r="1932" spans="1:18" x14ac:dyDescent="0.25">
      <c r="A1932" t="s">
        <v>3122</v>
      </c>
      <c r="B1932" t="s">
        <v>982</v>
      </c>
      <c r="C1932">
        <v>164440</v>
      </c>
      <c r="D1932">
        <v>164440</v>
      </c>
      <c r="E1932">
        <v>20</v>
      </c>
      <c r="F1932">
        <v>0</v>
      </c>
      <c r="G1932">
        <v>10</v>
      </c>
      <c r="O1932">
        <v>30</v>
      </c>
    </row>
    <row r="1933" spans="1:18" x14ac:dyDescent="0.25">
      <c r="A1933" t="s">
        <v>3123</v>
      </c>
      <c r="B1933" t="s">
        <v>242</v>
      </c>
      <c r="C1933">
        <v>166912</v>
      </c>
      <c r="D1933">
        <v>166912</v>
      </c>
      <c r="H1933">
        <v>20</v>
      </c>
      <c r="I1933">
        <v>60</v>
      </c>
      <c r="J1933">
        <v>20</v>
      </c>
      <c r="K1933">
        <v>10</v>
      </c>
      <c r="L1933">
        <v>0</v>
      </c>
      <c r="M1933">
        <v>110</v>
      </c>
    </row>
    <row r="1934" spans="1:18" x14ac:dyDescent="0.25">
      <c r="A1934" t="s">
        <v>3124</v>
      </c>
      <c r="B1934" t="s">
        <v>512</v>
      </c>
      <c r="C1934">
        <v>166238</v>
      </c>
      <c r="D1934">
        <v>166238</v>
      </c>
      <c r="E1934">
        <v>30</v>
      </c>
      <c r="F1934">
        <v>20</v>
      </c>
      <c r="G1934">
        <v>50</v>
      </c>
      <c r="O1934">
        <v>100</v>
      </c>
    </row>
    <row r="1935" spans="1:18" x14ac:dyDescent="0.25">
      <c r="A1935" t="s">
        <v>3125</v>
      </c>
      <c r="B1935" t="s">
        <v>3126</v>
      </c>
      <c r="C1935">
        <v>166996</v>
      </c>
      <c r="D1935">
        <v>166996</v>
      </c>
      <c r="E1935">
        <v>10</v>
      </c>
      <c r="F1935">
        <v>30</v>
      </c>
      <c r="G1935">
        <v>30</v>
      </c>
      <c r="O1935">
        <v>70</v>
      </c>
      <c r="R1935" t="s">
        <v>20</v>
      </c>
    </row>
    <row r="1936" spans="1:18" x14ac:dyDescent="0.25">
      <c r="A1936" t="s">
        <v>3127</v>
      </c>
      <c r="B1936" t="s">
        <v>3128</v>
      </c>
      <c r="C1936">
        <v>168600</v>
      </c>
      <c r="D1936">
        <v>168600</v>
      </c>
      <c r="E1936">
        <v>20</v>
      </c>
      <c r="F1936">
        <v>20</v>
      </c>
      <c r="G1936">
        <v>0</v>
      </c>
      <c r="O1936">
        <v>40</v>
      </c>
    </row>
    <row r="1937" spans="1:15" x14ac:dyDescent="0.25">
      <c r="A1937" t="s">
        <v>3129</v>
      </c>
      <c r="B1937" t="s">
        <v>99</v>
      </c>
      <c r="C1937">
        <v>167700</v>
      </c>
      <c r="D1937">
        <v>167700</v>
      </c>
      <c r="H1937">
        <v>20</v>
      </c>
      <c r="I1937">
        <v>50</v>
      </c>
      <c r="J1937">
        <v>10</v>
      </c>
      <c r="K1937">
        <v>10</v>
      </c>
      <c r="L1937">
        <v>10</v>
      </c>
      <c r="M1937">
        <v>100</v>
      </c>
    </row>
    <row r="1938" spans="1:15" x14ac:dyDescent="0.25">
      <c r="A1938" t="s">
        <v>3130</v>
      </c>
      <c r="B1938" t="s">
        <v>3131</v>
      </c>
      <c r="C1938">
        <v>168602</v>
      </c>
      <c r="D1938">
        <v>168602</v>
      </c>
      <c r="E1938">
        <v>30</v>
      </c>
      <c r="F1938">
        <v>20</v>
      </c>
      <c r="G1938">
        <v>40</v>
      </c>
      <c r="O1938">
        <v>90</v>
      </c>
    </row>
    <row r="1939" spans="1:15" x14ac:dyDescent="0.25">
      <c r="A1939" t="s">
        <v>3132</v>
      </c>
      <c r="B1939" t="s">
        <v>3133</v>
      </c>
      <c r="C1939">
        <v>168030</v>
      </c>
      <c r="D1939">
        <v>168030</v>
      </c>
      <c r="H1939">
        <v>20</v>
      </c>
      <c r="I1939">
        <v>10</v>
      </c>
      <c r="J1939">
        <v>10</v>
      </c>
      <c r="K1939">
        <v>0</v>
      </c>
      <c r="L1939">
        <v>0</v>
      </c>
      <c r="M1939">
        <v>40</v>
      </c>
    </row>
    <row r="1940" spans="1:15" x14ac:dyDescent="0.25">
      <c r="A1940" t="s">
        <v>3134</v>
      </c>
      <c r="B1940" t="s">
        <v>944</v>
      </c>
      <c r="C1940">
        <v>167490</v>
      </c>
      <c r="D1940">
        <v>167490</v>
      </c>
      <c r="H1940">
        <v>0</v>
      </c>
      <c r="I1940">
        <v>30</v>
      </c>
      <c r="J1940">
        <v>20</v>
      </c>
      <c r="K1940">
        <v>10</v>
      </c>
      <c r="L1940">
        <v>10</v>
      </c>
      <c r="M1940">
        <v>70</v>
      </c>
    </row>
    <row r="1941" spans="1:15" x14ac:dyDescent="0.25">
      <c r="A1941" t="s">
        <v>3135</v>
      </c>
      <c r="B1941" t="s">
        <v>1219</v>
      </c>
      <c r="C1941">
        <v>168674</v>
      </c>
      <c r="D1941">
        <v>168674</v>
      </c>
      <c r="H1941">
        <v>0</v>
      </c>
      <c r="I1941">
        <v>30</v>
      </c>
      <c r="J1941">
        <v>10</v>
      </c>
      <c r="K1941">
        <v>10</v>
      </c>
      <c r="L1941">
        <v>0</v>
      </c>
      <c r="M1941">
        <v>50</v>
      </c>
    </row>
    <row r="1942" spans="1:15" x14ac:dyDescent="0.25">
      <c r="A1942" t="s">
        <v>3136</v>
      </c>
      <c r="B1942" t="s">
        <v>1832</v>
      </c>
      <c r="C1942">
        <v>166184</v>
      </c>
      <c r="D1942">
        <v>166184</v>
      </c>
      <c r="E1942">
        <v>10</v>
      </c>
      <c r="F1942">
        <v>20</v>
      </c>
      <c r="G1942">
        <v>10</v>
      </c>
      <c r="O1942">
        <v>40</v>
      </c>
    </row>
    <row r="1943" spans="1:15" x14ac:dyDescent="0.25">
      <c r="A1943" t="s">
        <v>3137</v>
      </c>
      <c r="B1943" t="s">
        <v>3138</v>
      </c>
      <c r="C1943">
        <v>167788</v>
      </c>
      <c r="D1943">
        <v>167788</v>
      </c>
      <c r="H1943">
        <v>10</v>
      </c>
      <c r="I1943">
        <v>50</v>
      </c>
      <c r="J1943">
        <v>10</v>
      </c>
      <c r="K1943">
        <v>10</v>
      </c>
      <c r="L1943">
        <v>0</v>
      </c>
      <c r="M1943">
        <v>80</v>
      </c>
    </row>
    <row r="1944" spans="1:15" x14ac:dyDescent="0.25">
      <c r="A1944" t="s">
        <v>3139</v>
      </c>
      <c r="B1944" t="s">
        <v>2768</v>
      </c>
      <c r="C1944">
        <v>167874</v>
      </c>
      <c r="D1944">
        <v>167874</v>
      </c>
      <c r="E1944">
        <v>20</v>
      </c>
      <c r="F1944">
        <v>30</v>
      </c>
      <c r="G1944">
        <v>50</v>
      </c>
      <c r="O1944">
        <v>100</v>
      </c>
    </row>
    <row r="1945" spans="1:15" x14ac:dyDescent="0.25">
      <c r="A1945" t="s">
        <v>3140</v>
      </c>
      <c r="B1945" t="s">
        <v>3141</v>
      </c>
      <c r="C1945">
        <v>167323</v>
      </c>
      <c r="D1945">
        <v>167323</v>
      </c>
      <c r="H1945">
        <v>10</v>
      </c>
      <c r="I1945">
        <v>30</v>
      </c>
      <c r="J1945">
        <v>10</v>
      </c>
      <c r="K1945">
        <v>0</v>
      </c>
      <c r="L1945">
        <v>0</v>
      </c>
      <c r="M1945">
        <v>50</v>
      </c>
    </row>
    <row r="1946" spans="1:15" x14ac:dyDescent="0.25">
      <c r="A1946" t="s">
        <v>3142</v>
      </c>
      <c r="B1946" t="s">
        <v>3143</v>
      </c>
      <c r="C1946">
        <v>168824</v>
      </c>
      <c r="D1946">
        <v>168824</v>
      </c>
    </row>
    <row r="1947" spans="1:15" x14ac:dyDescent="0.25">
      <c r="A1947" t="s">
        <v>3144</v>
      </c>
      <c r="B1947" t="s">
        <v>674</v>
      </c>
      <c r="C1947">
        <v>166472</v>
      </c>
      <c r="D1947">
        <v>166472</v>
      </c>
      <c r="E1947">
        <v>20</v>
      </c>
      <c r="F1947">
        <v>20</v>
      </c>
      <c r="G1947">
        <v>50</v>
      </c>
      <c r="O1947">
        <v>90</v>
      </c>
    </row>
    <row r="1948" spans="1:15" x14ac:dyDescent="0.25">
      <c r="A1948" t="s">
        <v>3145</v>
      </c>
      <c r="B1948" t="s">
        <v>340</v>
      </c>
      <c r="C1948">
        <v>166842</v>
      </c>
      <c r="D1948">
        <v>166842</v>
      </c>
      <c r="H1948">
        <v>10</v>
      </c>
      <c r="I1948">
        <v>0</v>
      </c>
      <c r="J1948">
        <v>10</v>
      </c>
      <c r="K1948">
        <v>10</v>
      </c>
      <c r="L1948">
        <v>0</v>
      </c>
      <c r="M1948">
        <v>30</v>
      </c>
    </row>
    <row r="1949" spans="1:15" x14ac:dyDescent="0.25">
      <c r="A1949" t="s">
        <v>3146</v>
      </c>
      <c r="B1949" t="s">
        <v>3147</v>
      </c>
      <c r="C1949">
        <v>168663</v>
      </c>
      <c r="D1949">
        <v>168663</v>
      </c>
      <c r="H1949">
        <v>20</v>
      </c>
      <c r="I1949">
        <v>60</v>
      </c>
      <c r="J1949">
        <v>20</v>
      </c>
      <c r="K1949">
        <v>10</v>
      </c>
      <c r="L1949">
        <v>10</v>
      </c>
      <c r="M1949">
        <v>120</v>
      </c>
    </row>
    <row r="1950" spans="1:15" x14ac:dyDescent="0.25">
      <c r="A1950" t="s">
        <v>3148</v>
      </c>
      <c r="B1950" t="s">
        <v>2830</v>
      </c>
      <c r="C1950">
        <v>165313</v>
      </c>
      <c r="D1950">
        <v>165313</v>
      </c>
      <c r="E1950">
        <v>0</v>
      </c>
      <c r="F1950">
        <v>10</v>
      </c>
      <c r="G1950">
        <v>30</v>
      </c>
      <c r="O1950">
        <v>40</v>
      </c>
    </row>
    <row r="1951" spans="1:15" x14ac:dyDescent="0.25">
      <c r="A1951" t="s">
        <v>3149</v>
      </c>
      <c r="B1951" t="s">
        <v>1272</v>
      </c>
      <c r="C1951">
        <v>161249</v>
      </c>
      <c r="D1951">
        <v>161249</v>
      </c>
      <c r="H1951">
        <v>0</v>
      </c>
      <c r="I1951">
        <v>20</v>
      </c>
      <c r="J1951">
        <v>0</v>
      </c>
      <c r="K1951">
        <v>0</v>
      </c>
      <c r="L1951">
        <v>0</v>
      </c>
      <c r="M1951">
        <v>20</v>
      </c>
    </row>
    <row r="1952" spans="1:15" x14ac:dyDescent="0.25">
      <c r="A1952" t="s">
        <v>3150</v>
      </c>
      <c r="B1952" t="s">
        <v>3151</v>
      </c>
      <c r="C1952">
        <v>167857</v>
      </c>
      <c r="D1952">
        <v>167857</v>
      </c>
      <c r="H1952">
        <v>10</v>
      </c>
      <c r="I1952">
        <v>60</v>
      </c>
      <c r="J1952">
        <v>20</v>
      </c>
      <c r="K1952">
        <v>10</v>
      </c>
      <c r="L1952">
        <v>10</v>
      </c>
      <c r="M1952">
        <v>110</v>
      </c>
    </row>
    <row r="1953" spans="1:18" x14ac:dyDescent="0.25">
      <c r="A1953" t="s">
        <v>3152</v>
      </c>
      <c r="B1953" t="s">
        <v>228</v>
      </c>
      <c r="C1953">
        <v>166365</v>
      </c>
      <c r="D1953">
        <v>166365</v>
      </c>
      <c r="H1953">
        <v>10</v>
      </c>
      <c r="I1953">
        <v>20</v>
      </c>
      <c r="J1953">
        <v>10</v>
      </c>
      <c r="K1953">
        <v>0</v>
      </c>
      <c r="L1953">
        <v>10</v>
      </c>
      <c r="M1953">
        <v>50</v>
      </c>
    </row>
    <row r="1954" spans="1:18" x14ac:dyDescent="0.25">
      <c r="A1954" t="s">
        <v>3153</v>
      </c>
      <c r="B1954" t="s">
        <v>697</v>
      </c>
      <c r="C1954">
        <v>167014</v>
      </c>
      <c r="D1954">
        <v>167014</v>
      </c>
      <c r="H1954">
        <v>10</v>
      </c>
      <c r="I1954">
        <v>40</v>
      </c>
      <c r="J1954">
        <v>10</v>
      </c>
      <c r="K1954">
        <v>10</v>
      </c>
      <c r="L1954">
        <v>10</v>
      </c>
      <c r="M1954">
        <v>80</v>
      </c>
      <c r="R1954">
        <v>0</v>
      </c>
    </row>
    <row r="1955" spans="1:18" x14ac:dyDescent="0.25">
      <c r="A1955" t="s">
        <v>3154</v>
      </c>
      <c r="B1955" t="s">
        <v>3155</v>
      </c>
      <c r="C1955">
        <v>166322</v>
      </c>
      <c r="D1955">
        <v>166322</v>
      </c>
      <c r="E1955">
        <v>40</v>
      </c>
      <c r="F1955">
        <v>10</v>
      </c>
      <c r="G1955">
        <v>40</v>
      </c>
      <c r="O1955">
        <v>90</v>
      </c>
    </row>
    <row r="1956" spans="1:18" x14ac:dyDescent="0.25">
      <c r="A1956" t="s">
        <v>3156</v>
      </c>
      <c r="B1956" t="s">
        <v>3157</v>
      </c>
      <c r="C1956">
        <v>166849</v>
      </c>
      <c r="D1956">
        <v>166849</v>
      </c>
      <c r="E1956">
        <v>30</v>
      </c>
      <c r="F1956">
        <v>30</v>
      </c>
      <c r="G1956" t="s">
        <v>20</v>
      </c>
      <c r="O1956">
        <v>60</v>
      </c>
    </row>
    <row r="1957" spans="1:18" x14ac:dyDescent="0.25">
      <c r="A1957" t="s">
        <v>3158</v>
      </c>
      <c r="B1957" t="s">
        <v>3159</v>
      </c>
      <c r="C1957">
        <v>166047</v>
      </c>
      <c r="D1957">
        <v>166047</v>
      </c>
      <c r="E1957">
        <v>10</v>
      </c>
      <c r="F1957">
        <v>20</v>
      </c>
      <c r="O1957">
        <v>30</v>
      </c>
    </row>
    <row r="1958" spans="1:18" x14ac:dyDescent="0.25">
      <c r="A1958" t="s">
        <v>3160</v>
      </c>
      <c r="B1958" t="s">
        <v>418</v>
      </c>
      <c r="C1958">
        <v>162804</v>
      </c>
      <c r="D1958">
        <v>162804</v>
      </c>
      <c r="E1958">
        <v>50</v>
      </c>
      <c r="F1958">
        <v>40</v>
      </c>
      <c r="G1958">
        <v>50</v>
      </c>
      <c r="O1958">
        <v>140</v>
      </c>
    </row>
    <row r="1959" spans="1:18" x14ac:dyDescent="0.25">
      <c r="A1959" t="s">
        <v>3161</v>
      </c>
      <c r="B1959" t="s">
        <v>3162</v>
      </c>
      <c r="C1959">
        <v>167693</v>
      </c>
      <c r="D1959">
        <v>167693</v>
      </c>
      <c r="E1959">
        <v>30</v>
      </c>
      <c r="O1959">
        <v>30</v>
      </c>
    </row>
    <row r="1960" spans="1:18" x14ac:dyDescent="0.25">
      <c r="A1960" t="s">
        <v>3163</v>
      </c>
      <c r="B1960" t="s">
        <v>1553</v>
      </c>
      <c r="C1960">
        <v>167861</v>
      </c>
      <c r="D1960">
        <v>167861</v>
      </c>
      <c r="H1960">
        <v>10</v>
      </c>
      <c r="I1960">
        <v>30</v>
      </c>
      <c r="J1960">
        <v>20</v>
      </c>
      <c r="K1960">
        <v>10</v>
      </c>
      <c r="L1960">
        <v>10</v>
      </c>
      <c r="M1960">
        <v>80</v>
      </c>
    </row>
    <row r="1961" spans="1:18" x14ac:dyDescent="0.25">
      <c r="A1961" t="s">
        <v>3164</v>
      </c>
      <c r="B1961" t="s">
        <v>3165</v>
      </c>
      <c r="C1961">
        <v>167350</v>
      </c>
      <c r="D1961">
        <v>167350</v>
      </c>
      <c r="E1961">
        <v>0</v>
      </c>
      <c r="F1961">
        <v>0</v>
      </c>
      <c r="G1961">
        <v>0</v>
      </c>
      <c r="O1961">
        <v>0</v>
      </c>
    </row>
    <row r="1962" spans="1:18" x14ac:dyDescent="0.25">
      <c r="A1962" t="s">
        <v>3166</v>
      </c>
      <c r="B1962" t="s">
        <v>126</v>
      </c>
      <c r="C1962">
        <v>168180</v>
      </c>
      <c r="D1962">
        <v>168180</v>
      </c>
      <c r="E1962">
        <v>30</v>
      </c>
      <c r="F1962">
        <v>30</v>
      </c>
      <c r="G1962">
        <v>20</v>
      </c>
      <c r="O1962">
        <v>80</v>
      </c>
    </row>
    <row r="1963" spans="1:18" x14ac:dyDescent="0.25">
      <c r="A1963" t="s">
        <v>3167</v>
      </c>
      <c r="B1963" t="s">
        <v>338</v>
      </c>
      <c r="C1963">
        <v>168678</v>
      </c>
      <c r="D1963">
        <v>168678</v>
      </c>
      <c r="E1963">
        <v>20</v>
      </c>
      <c r="F1963">
        <v>30</v>
      </c>
      <c r="G1963">
        <v>10</v>
      </c>
      <c r="O1963">
        <v>60</v>
      </c>
    </row>
    <row r="1964" spans="1:18" x14ac:dyDescent="0.25">
      <c r="A1964" t="s">
        <v>3168</v>
      </c>
      <c r="B1964" t="s">
        <v>3169</v>
      </c>
      <c r="C1964">
        <v>167259</v>
      </c>
      <c r="D1964">
        <v>167259</v>
      </c>
      <c r="E1964">
        <v>20</v>
      </c>
      <c r="F1964">
        <v>10</v>
      </c>
      <c r="G1964">
        <v>50</v>
      </c>
      <c r="O1964">
        <v>80</v>
      </c>
    </row>
    <row r="1965" spans="1:18" x14ac:dyDescent="0.25">
      <c r="A1965" t="s">
        <v>3170</v>
      </c>
      <c r="B1965" t="s">
        <v>674</v>
      </c>
      <c r="C1965">
        <v>164204</v>
      </c>
      <c r="D1965">
        <v>164204</v>
      </c>
    </row>
    <row r="1966" spans="1:18" x14ac:dyDescent="0.25">
      <c r="A1966" t="s">
        <v>3171</v>
      </c>
      <c r="B1966" t="s">
        <v>3172</v>
      </c>
      <c r="C1966">
        <v>168245</v>
      </c>
      <c r="D1966">
        <v>168245</v>
      </c>
      <c r="E1966">
        <v>20</v>
      </c>
      <c r="F1966">
        <v>10</v>
      </c>
      <c r="G1966">
        <v>30</v>
      </c>
      <c r="O1966">
        <v>60</v>
      </c>
    </row>
    <row r="1967" spans="1:18" x14ac:dyDescent="0.25">
      <c r="A1967" t="s">
        <v>3173</v>
      </c>
      <c r="B1967" t="s">
        <v>1592</v>
      </c>
      <c r="C1967">
        <v>168592</v>
      </c>
      <c r="D1967">
        <v>168592</v>
      </c>
      <c r="H1967">
        <v>20</v>
      </c>
      <c r="I1967">
        <v>50</v>
      </c>
      <c r="J1967">
        <v>10</v>
      </c>
      <c r="K1967">
        <v>10</v>
      </c>
      <c r="L1967">
        <v>10</v>
      </c>
      <c r="M1967">
        <v>100</v>
      </c>
    </row>
    <row r="1968" spans="1:18" x14ac:dyDescent="0.25">
      <c r="A1968" t="s">
        <v>3174</v>
      </c>
      <c r="B1968" t="s">
        <v>1860</v>
      </c>
      <c r="C1968">
        <v>155309</v>
      </c>
      <c r="D1968">
        <v>155309</v>
      </c>
      <c r="N1968" t="s">
        <v>549</v>
      </c>
    </row>
    <row r="1969" spans="1:18" x14ac:dyDescent="0.25">
      <c r="A1969" t="s">
        <v>3175</v>
      </c>
      <c r="B1969" t="s">
        <v>3176</v>
      </c>
      <c r="C1969">
        <v>167276</v>
      </c>
      <c r="D1969">
        <v>167276</v>
      </c>
      <c r="H1969">
        <v>10</v>
      </c>
      <c r="I1969">
        <v>30</v>
      </c>
      <c r="J1969">
        <v>20</v>
      </c>
      <c r="K1969">
        <v>10</v>
      </c>
      <c r="L1969">
        <v>0</v>
      </c>
      <c r="M1969">
        <v>70</v>
      </c>
      <c r="N1969" t="s">
        <v>20</v>
      </c>
    </row>
    <row r="1970" spans="1:18" x14ac:dyDescent="0.25">
      <c r="A1970" t="s">
        <v>3177</v>
      </c>
      <c r="B1970" t="s">
        <v>3178</v>
      </c>
      <c r="C1970">
        <v>166376</v>
      </c>
      <c r="D1970">
        <v>166376</v>
      </c>
      <c r="E1970">
        <v>20</v>
      </c>
      <c r="F1970">
        <v>20</v>
      </c>
      <c r="G1970">
        <v>20</v>
      </c>
      <c r="O1970">
        <v>60</v>
      </c>
    </row>
    <row r="1971" spans="1:18" x14ac:dyDescent="0.25">
      <c r="A1971" t="s">
        <v>3179</v>
      </c>
      <c r="B1971" t="s">
        <v>121</v>
      </c>
      <c r="C1971">
        <v>168540</v>
      </c>
      <c r="D1971">
        <v>168540</v>
      </c>
      <c r="H1971">
        <v>0</v>
      </c>
      <c r="I1971">
        <v>20</v>
      </c>
      <c r="J1971">
        <v>10</v>
      </c>
      <c r="K1971">
        <v>10</v>
      </c>
      <c r="L1971">
        <v>0</v>
      </c>
      <c r="M1971">
        <v>40</v>
      </c>
    </row>
    <row r="1972" spans="1:18" x14ac:dyDescent="0.25">
      <c r="A1972" t="s">
        <v>3180</v>
      </c>
      <c r="B1972" t="s">
        <v>168</v>
      </c>
      <c r="C1972">
        <v>164586</v>
      </c>
      <c r="D1972">
        <v>164586</v>
      </c>
      <c r="R1972" t="s">
        <v>20</v>
      </c>
    </row>
    <row r="1973" spans="1:18" x14ac:dyDescent="0.25">
      <c r="A1973" t="s">
        <v>3181</v>
      </c>
      <c r="B1973" t="s">
        <v>1308</v>
      </c>
      <c r="C1973">
        <v>167456</v>
      </c>
      <c r="D1973">
        <v>167456</v>
      </c>
      <c r="E1973">
        <v>20</v>
      </c>
      <c r="F1973">
        <v>20</v>
      </c>
      <c r="G1973">
        <v>30</v>
      </c>
      <c r="O1973">
        <v>70</v>
      </c>
    </row>
    <row r="1974" spans="1:18" x14ac:dyDescent="0.25">
      <c r="A1974" t="s">
        <v>3182</v>
      </c>
      <c r="B1974" t="s">
        <v>3183</v>
      </c>
      <c r="C1974">
        <v>166248</v>
      </c>
      <c r="D1974">
        <v>166248</v>
      </c>
      <c r="E1974">
        <v>50</v>
      </c>
      <c r="F1974">
        <v>40</v>
      </c>
      <c r="G1974">
        <v>20</v>
      </c>
      <c r="O1974">
        <v>110</v>
      </c>
    </row>
    <row r="1975" spans="1:18" x14ac:dyDescent="0.25">
      <c r="A1975" t="s">
        <v>3184</v>
      </c>
      <c r="B1975" t="s">
        <v>211</v>
      </c>
      <c r="C1975">
        <v>168116</v>
      </c>
      <c r="D1975">
        <v>168116</v>
      </c>
      <c r="E1975">
        <v>30</v>
      </c>
      <c r="F1975">
        <v>10</v>
      </c>
      <c r="G1975">
        <v>30</v>
      </c>
      <c r="O1975">
        <v>70</v>
      </c>
    </row>
    <row r="1976" spans="1:18" x14ac:dyDescent="0.25">
      <c r="A1976" t="s">
        <v>3185</v>
      </c>
      <c r="B1976" t="s">
        <v>2768</v>
      </c>
      <c r="C1976">
        <v>167042</v>
      </c>
      <c r="D1976">
        <v>167042</v>
      </c>
      <c r="H1976">
        <v>10</v>
      </c>
      <c r="I1976">
        <v>50</v>
      </c>
      <c r="J1976">
        <v>10</v>
      </c>
      <c r="K1976">
        <v>0</v>
      </c>
      <c r="L1976">
        <v>10</v>
      </c>
      <c r="M1976">
        <v>80</v>
      </c>
    </row>
    <row r="1977" spans="1:18" x14ac:dyDescent="0.25">
      <c r="A1977" t="s">
        <v>3186</v>
      </c>
      <c r="B1977" t="s">
        <v>3187</v>
      </c>
      <c r="C1977">
        <v>167629</v>
      </c>
      <c r="D1977">
        <v>167629</v>
      </c>
    </row>
    <row r="1978" spans="1:18" x14ac:dyDescent="0.25">
      <c r="A1978" t="s">
        <v>3188</v>
      </c>
      <c r="B1978" t="s">
        <v>3189</v>
      </c>
      <c r="C1978">
        <v>168828</v>
      </c>
      <c r="D1978">
        <v>168828</v>
      </c>
      <c r="H1978">
        <v>10</v>
      </c>
      <c r="I1978">
        <v>50</v>
      </c>
      <c r="J1978">
        <v>10</v>
      </c>
      <c r="K1978">
        <v>10</v>
      </c>
      <c r="L1978">
        <v>10</v>
      </c>
      <c r="M1978">
        <v>90</v>
      </c>
    </row>
    <row r="1979" spans="1:18" x14ac:dyDescent="0.25">
      <c r="A1979" t="s">
        <v>3190</v>
      </c>
      <c r="B1979" t="s">
        <v>3172</v>
      </c>
      <c r="C1979">
        <v>167752</v>
      </c>
      <c r="D1979">
        <v>167752</v>
      </c>
    </row>
    <row r="1980" spans="1:18" x14ac:dyDescent="0.25">
      <c r="A1980" t="s">
        <v>3191</v>
      </c>
      <c r="B1980" t="s">
        <v>3192</v>
      </c>
      <c r="C1980">
        <v>166055</v>
      </c>
      <c r="D1980">
        <v>166055</v>
      </c>
      <c r="H1980">
        <v>10</v>
      </c>
      <c r="I1980">
        <v>30</v>
      </c>
      <c r="J1980">
        <v>10</v>
      </c>
      <c r="K1980">
        <v>0</v>
      </c>
      <c r="L1980">
        <v>0</v>
      </c>
      <c r="M1980">
        <v>50</v>
      </c>
    </row>
    <row r="1981" spans="1:18" x14ac:dyDescent="0.25">
      <c r="A1981" t="s">
        <v>3193</v>
      </c>
      <c r="B1981" t="s">
        <v>3194</v>
      </c>
      <c r="C1981">
        <v>167147</v>
      </c>
      <c r="D1981">
        <v>167147</v>
      </c>
      <c r="R1981">
        <v>10</v>
      </c>
    </row>
    <row r="1982" spans="1:18" x14ac:dyDescent="0.25">
      <c r="A1982" t="s">
        <v>3195</v>
      </c>
      <c r="B1982" t="s">
        <v>1743</v>
      </c>
      <c r="C1982">
        <v>167320</v>
      </c>
      <c r="D1982">
        <v>167320</v>
      </c>
    </row>
    <row r="1983" spans="1:18" x14ac:dyDescent="0.25">
      <c r="A1983" t="s">
        <v>3196</v>
      </c>
      <c r="B1983" t="s">
        <v>1242</v>
      </c>
      <c r="C1983">
        <v>168013</v>
      </c>
      <c r="D1983">
        <v>168013</v>
      </c>
    </row>
    <row r="1984" spans="1:18" x14ac:dyDescent="0.25">
      <c r="A1984" t="s">
        <v>3197</v>
      </c>
      <c r="B1984" t="s">
        <v>3198</v>
      </c>
      <c r="C1984">
        <v>165842</v>
      </c>
      <c r="D1984">
        <v>165842</v>
      </c>
    </row>
    <row r="1985" spans="1:15" x14ac:dyDescent="0.25">
      <c r="A1985" t="s">
        <v>3199</v>
      </c>
      <c r="B1985" t="s">
        <v>3200</v>
      </c>
      <c r="C1985">
        <v>168889</v>
      </c>
      <c r="D1985">
        <v>168889</v>
      </c>
      <c r="E1985">
        <v>40</v>
      </c>
      <c r="F1985">
        <v>30</v>
      </c>
      <c r="G1985">
        <v>20</v>
      </c>
      <c r="O1985">
        <v>90</v>
      </c>
    </row>
    <row r="1986" spans="1:15" x14ac:dyDescent="0.25">
      <c r="A1986" t="s">
        <v>3201</v>
      </c>
      <c r="B1986" t="s">
        <v>228</v>
      </c>
      <c r="C1986">
        <v>164367</v>
      </c>
      <c r="D1986">
        <v>164367</v>
      </c>
    </row>
    <row r="1987" spans="1:15" x14ac:dyDescent="0.25">
      <c r="A1987" t="s">
        <v>3202</v>
      </c>
      <c r="B1987" t="s">
        <v>3203</v>
      </c>
      <c r="C1987">
        <v>166425</v>
      </c>
      <c r="D1987">
        <v>166425</v>
      </c>
      <c r="E1987">
        <v>0</v>
      </c>
      <c r="F1987">
        <v>20</v>
      </c>
      <c r="G1987">
        <v>20</v>
      </c>
      <c r="O1987">
        <v>40</v>
      </c>
    </row>
    <row r="1988" spans="1:15" x14ac:dyDescent="0.25">
      <c r="A1988" t="s">
        <v>3204</v>
      </c>
      <c r="B1988" t="s">
        <v>43</v>
      </c>
      <c r="C1988">
        <v>167073</v>
      </c>
      <c r="D1988">
        <v>167073</v>
      </c>
      <c r="H1988">
        <v>10</v>
      </c>
      <c r="I1988">
        <v>40</v>
      </c>
      <c r="J1988">
        <v>10</v>
      </c>
      <c r="K1988">
        <v>10</v>
      </c>
      <c r="L1988">
        <v>10</v>
      </c>
      <c r="M1988">
        <v>80</v>
      </c>
    </row>
    <row r="1989" spans="1:15" x14ac:dyDescent="0.25">
      <c r="A1989" t="s">
        <v>3205</v>
      </c>
      <c r="B1989" t="s">
        <v>636</v>
      </c>
      <c r="C1989">
        <v>168767</v>
      </c>
      <c r="D1989">
        <v>168767</v>
      </c>
    </row>
    <row r="1990" spans="1:15" x14ac:dyDescent="0.25">
      <c r="A1990" t="s">
        <v>3206</v>
      </c>
      <c r="B1990" t="s">
        <v>963</v>
      </c>
      <c r="C1990">
        <v>166121</v>
      </c>
      <c r="D1990">
        <v>166121</v>
      </c>
      <c r="E1990">
        <v>40</v>
      </c>
      <c r="F1990">
        <v>20</v>
      </c>
      <c r="G1990">
        <v>20</v>
      </c>
      <c r="O1990">
        <v>80</v>
      </c>
    </row>
    <row r="1991" spans="1:15" x14ac:dyDescent="0.25">
      <c r="A1991" t="s">
        <v>3207</v>
      </c>
      <c r="B1991" t="s">
        <v>3208</v>
      </c>
      <c r="C1991">
        <v>167501</v>
      </c>
      <c r="D1991">
        <v>167501</v>
      </c>
      <c r="H1991">
        <v>20</v>
      </c>
      <c r="I1991">
        <v>10</v>
      </c>
      <c r="J1991">
        <v>20</v>
      </c>
      <c r="K1991">
        <v>10</v>
      </c>
      <c r="L1991">
        <v>10</v>
      </c>
      <c r="M1991">
        <v>70</v>
      </c>
    </row>
    <row r="1992" spans="1:15" x14ac:dyDescent="0.25">
      <c r="A1992" t="s">
        <v>3209</v>
      </c>
      <c r="B1992" t="s">
        <v>3210</v>
      </c>
      <c r="C1992">
        <v>165631</v>
      </c>
      <c r="D1992">
        <v>165631</v>
      </c>
      <c r="H1992">
        <v>10</v>
      </c>
      <c r="I1992">
        <v>50</v>
      </c>
      <c r="J1992">
        <v>10</v>
      </c>
      <c r="K1992">
        <v>10</v>
      </c>
      <c r="L1992">
        <v>10</v>
      </c>
      <c r="M1992">
        <v>90</v>
      </c>
    </row>
    <row r="1993" spans="1:15" x14ac:dyDescent="0.25">
      <c r="A1993" t="s">
        <v>3211</v>
      </c>
      <c r="B1993" t="s">
        <v>3212</v>
      </c>
      <c r="C1993">
        <v>168788</v>
      </c>
      <c r="D1993">
        <v>168788</v>
      </c>
      <c r="H1993">
        <v>0</v>
      </c>
      <c r="I1993">
        <v>40</v>
      </c>
      <c r="J1993">
        <v>10</v>
      </c>
      <c r="K1993">
        <v>10</v>
      </c>
      <c r="L1993">
        <v>0</v>
      </c>
      <c r="M1993">
        <v>60</v>
      </c>
    </row>
    <row r="1994" spans="1:15" x14ac:dyDescent="0.25">
      <c r="A1994" t="s">
        <v>3213</v>
      </c>
      <c r="B1994" t="s">
        <v>1358</v>
      </c>
      <c r="C1994">
        <v>166848</v>
      </c>
      <c r="D1994">
        <v>166848</v>
      </c>
      <c r="H1994">
        <v>10</v>
      </c>
      <c r="I1994">
        <v>20</v>
      </c>
      <c r="J1994">
        <v>10</v>
      </c>
      <c r="K1994">
        <v>10</v>
      </c>
      <c r="L1994">
        <v>10</v>
      </c>
      <c r="M1994">
        <v>60</v>
      </c>
    </row>
    <row r="1995" spans="1:15" x14ac:dyDescent="0.25">
      <c r="A1995" t="s">
        <v>3214</v>
      </c>
      <c r="B1995" t="s">
        <v>870</v>
      </c>
      <c r="C1995">
        <v>167877</v>
      </c>
      <c r="D1995">
        <v>167877</v>
      </c>
      <c r="E1995">
        <v>30</v>
      </c>
      <c r="F1995">
        <v>10</v>
      </c>
      <c r="G1995">
        <v>10</v>
      </c>
      <c r="O1995">
        <v>50</v>
      </c>
    </row>
    <row r="1996" spans="1:15" x14ac:dyDescent="0.25">
      <c r="A1996" t="s">
        <v>3215</v>
      </c>
      <c r="B1996" t="s">
        <v>3216</v>
      </c>
      <c r="C1996">
        <v>164476</v>
      </c>
      <c r="D1996">
        <v>164476</v>
      </c>
    </row>
    <row r="1997" spans="1:15" x14ac:dyDescent="0.25">
      <c r="A1997" t="s">
        <v>3217</v>
      </c>
      <c r="B1997" t="s">
        <v>3218</v>
      </c>
      <c r="C1997">
        <v>168689</v>
      </c>
      <c r="D1997">
        <v>168689</v>
      </c>
      <c r="H1997">
        <v>20</v>
      </c>
      <c r="I1997">
        <v>30</v>
      </c>
      <c r="J1997">
        <v>20</v>
      </c>
      <c r="K1997">
        <v>10</v>
      </c>
      <c r="L1997">
        <v>0</v>
      </c>
      <c r="M1997">
        <v>80</v>
      </c>
    </row>
    <row r="1998" spans="1:15" x14ac:dyDescent="0.25">
      <c r="A1998" t="s">
        <v>3219</v>
      </c>
      <c r="B1998" t="s">
        <v>3220</v>
      </c>
      <c r="C1998">
        <v>167233</v>
      </c>
      <c r="D1998">
        <v>167233</v>
      </c>
    </row>
    <row r="1999" spans="1:15" x14ac:dyDescent="0.25">
      <c r="A1999" t="s">
        <v>3221</v>
      </c>
      <c r="B1999" t="s">
        <v>3222</v>
      </c>
      <c r="C1999">
        <v>168379</v>
      </c>
      <c r="D1999">
        <v>168379</v>
      </c>
      <c r="E1999">
        <v>10</v>
      </c>
      <c r="F1999">
        <v>0</v>
      </c>
      <c r="G1999">
        <v>40</v>
      </c>
      <c r="O1999">
        <v>50</v>
      </c>
    </row>
    <row r="2000" spans="1:15" x14ac:dyDescent="0.25">
      <c r="A2000" t="s">
        <v>3223</v>
      </c>
      <c r="B2000" t="s">
        <v>1219</v>
      </c>
      <c r="C2000">
        <v>166236</v>
      </c>
      <c r="D2000">
        <v>166236</v>
      </c>
      <c r="E2000">
        <v>10</v>
      </c>
      <c r="F2000">
        <v>30</v>
      </c>
      <c r="G2000">
        <v>10</v>
      </c>
      <c r="O2000">
        <v>50</v>
      </c>
    </row>
    <row r="2001" spans="1:18" x14ac:dyDescent="0.25">
      <c r="A2001" t="s">
        <v>3224</v>
      </c>
      <c r="B2001" t="s">
        <v>3225</v>
      </c>
      <c r="C2001">
        <v>165725</v>
      </c>
      <c r="D2001">
        <v>165725</v>
      </c>
    </row>
    <row r="2002" spans="1:18" x14ac:dyDescent="0.25">
      <c r="A2002" t="s">
        <v>3226</v>
      </c>
      <c r="B2002" t="s">
        <v>3227</v>
      </c>
      <c r="C2002">
        <v>143282</v>
      </c>
      <c r="D2002">
        <v>143282</v>
      </c>
    </row>
    <row r="2003" spans="1:18" x14ac:dyDescent="0.25">
      <c r="A2003" t="s">
        <v>3228</v>
      </c>
      <c r="B2003" t="s">
        <v>190</v>
      </c>
      <c r="C2003">
        <v>164886</v>
      </c>
      <c r="D2003">
        <v>164886</v>
      </c>
    </row>
    <row r="2004" spans="1:18" x14ac:dyDescent="0.25">
      <c r="A2004" t="s">
        <v>3229</v>
      </c>
      <c r="B2004" t="s">
        <v>3230</v>
      </c>
      <c r="C2004">
        <v>163539</v>
      </c>
      <c r="D2004">
        <v>163539</v>
      </c>
      <c r="H2004">
        <v>20</v>
      </c>
      <c r="I2004">
        <v>50</v>
      </c>
      <c r="J2004">
        <v>20</v>
      </c>
      <c r="K2004">
        <v>10</v>
      </c>
      <c r="L2004">
        <v>0</v>
      </c>
      <c r="M2004">
        <v>100</v>
      </c>
    </row>
    <row r="2005" spans="1:18" x14ac:dyDescent="0.25">
      <c r="A2005" t="s">
        <v>3231</v>
      </c>
      <c r="B2005" t="s">
        <v>211</v>
      </c>
      <c r="C2005">
        <v>168574</v>
      </c>
      <c r="D2005">
        <v>168574</v>
      </c>
      <c r="H2005">
        <v>20</v>
      </c>
      <c r="I2005">
        <v>40</v>
      </c>
      <c r="J2005">
        <v>20</v>
      </c>
      <c r="K2005">
        <v>10</v>
      </c>
      <c r="L2005">
        <v>10</v>
      </c>
      <c r="M2005">
        <v>100</v>
      </c>
    </row>
    <row r="2006" spans="1:18" x14ac:dyDescent="0.25">
      <c r="A2006" t="s">
        <v>3232</v>
      </c>
      <c r="B2006" t="s">
        <v>761</v>
      </c>
      <c r="C2006">
        <v>167869</v>
      </c>
      <c r="D2006">
        <v>167869</v>
      </c>
      <c r="H2006">
        <v>20</v>
      </c>
      <c r="I2006">
        <v>60</v>
      </c>
      <c r="J2006">
        <v>10</v>
      </c>
      <c r="K2006">
        <v>10</v>
      </c>
      <c r="L2006">
        <v>0</v>
      </c>
      <c r="M2006">
        <v>100</v>
      </c>
    </row>
    <row r="2007" spans="1:18" x14ac:dyDescent="0.25">
      <c r="A2007" t="s">
        <v>3233</v>
      </c>
      <c r="B2007" t="s">
        <v>1223</v>
      </c>
      <c r="C2007">
        <v>164848</v>
      </c>
      <c r="D2007">
        <v>164848</v>
      </c>
      <c r="E2007">
        <v>20</v>
      </c>
      <c r="F2007">
        <v>20</v>
      </c>
      <c r="G2007">
        <v>40</v>
      </c>
      <c r="O2007">
        <v>80</v>
      </c>
    </row>
    <row r="2008" spans="1:18" x14ac:dyDescent="0.25">
      <c r="A2008" t="s">
        <v>3234</v>
      </c>
      <c r="B2008" t="s">
        <v>3235</v>
      </c>
      <c r="C2008">
        <v>168120</v>
      </c>
      <c r="D2008">
        <v>168120</v>
      </c>
      <c r="H2008">
        <v>10</v>
      </c>
      <c r="I2008">
        <v>20</v>
      </c>
      <c r="J2008">
        <v>0</v>
      </c>
      <c r="K2008">
        <v>0</v>
      </c>
      <c r="L2008" t="s">
        <v>20</v>
      </c>
      <c r="M2008">
        <v>30</v>
      </c>
    </row>
    <row r="2009" spans="1:18" x14ac:dyDescent="0.25">
      <c r="A2009" t="s">
        <v>3234</v>
      </c>
      <c r="B2009" t="s">
        <v>3236</v>
      </c>
      <c r="C2009">
        <v>166300</v>
      </c>
      <c r="D2009">
        <v>166300</v>
      </c>
      <c r="H2009">
        <v>10</v>
      </c>
      <c r="I2009">
        <v>20</v>
      </c>
      <c r="J2009">
        <v>10</v>
      </c>
      <c r="K2009">
        <v>0</v>
      </c>
      <c r="L2009">
        <v>0</v>
      </c>
      <c r="M2009">
        <v>40</v>
      </c>
    </row>
    <row r="2010" spans="1:18" x14ac:dyDescent="0.25">
      <c r="A2010" t="s">
        <v>3237</v>
      </c>
      <c r="B2010" t="s">
        <v>725</v>
      </c>
      <c r="C2010">
        <v>165268</v>
      </c>
      <c r="D2010">
        <v>165268</v>
      </c>
      <c r="H2010">
        <v>0</v>
      </c>
      <c r="I2010">
        <v>30</v>
      </c>
      <c r="J2010">
        <v>20</v>
      </c>
      <c r="K2010">
        <v>10</v>
      </c>
      <c r="L2010">
        <v>0</v>
      </c>
      <c r="M2010">
        <v>60</v>
      </c>
    </row>
    <row r="2011" spans="1:18" x14ac:dyDescent="0.25">
      <c r="A2011" t="s">
        <v>3238</v>
      </c>
      <c r="B2011" t="s">
        <v>166</v>
      </c>
      <c r="C2011">
        <v>164513</v>
      </c>
      <c r="D2011">
        <v>164513</v>
      </c>
      <c r="N2011" t="s">
        <v>549</v>
      </c>
    </row>
    <row r="2012" spans="1:18" x14ac:dyDescent="0.25">
      <c r="A2012" t="s">
        <v>3239</v>
      </c>
      <c r="B2012" t="s">
        <v>1134</v>
      </c>
      <c r="C2012">
        <v>166543</v>
      </c>
      <c r="D2012">
        <v>166543</v>
      </c>
      <c r="H2012">
        <v>10</v>
      </c>
      <c r="I2012" t="s">
        <v>20</v>
      </c>
      <c r="J2012">
        <v>10</v>
      </c>
      <c r="M2012">
        <v>20</v>
      </c>
    </row>
    <row r="2013" spans="1:18" x14ac:dyDescent="0.25">
      <c r="A2013" t="s">
        <v>3240</v>
      </c>
      <c r="B2013" t="s">
        <v>3241</v>
      </c>
      <c r="C2013">
        <v>164805</v>
      </c>
      <c r="D2013">
        <v>164805</v>
      </c>
      <c r="N2013" t="s">
        <v>549</v>
      </c>
    </row>
    <row r="2014" spans="1:18" x14ac:dyDescent="0.25">
      <c r="A2014" t="s">
        <v>3242</v>
      </c>
      <c r="B2014" t="s">
        <v>130</v>
      </c>
      <c r="C2014">
        <v>167796</v>
      </c>
      <c r="D2014">
        <v>167796</v>
      </c>
      <c r="E2014">
        <v>20</v>
      </c>
      <c r="F2014">
        <v>40</v>
      </c>
      <c r="G2014">
        <v>30</v>
      </c>
      <c r="O2014">
        <v>90</v>
      </c>
    </row>
    <row r="2015" spans="1:18" x14ac:dyDescent="0.25">
      <c r="A2015" t="s">
        <v>3243</v>
      </c>
      <c r="B2015" t="s">
        <v>3244</v>
      </c>
      <c r="C2015">
        <v>166382</v>
      </c>
      <c r="D2015">
        <v>166382</v>
      </c>
      <c r="E2015">
        <v>20</v>
      </c>
      <c r="F2015">
        <v>10</v>
      </c>
      <c r="G2015">
        <v>30</v>
      </c>
      <c r="O2015">
        <v>60</v>
      </c>
    </row>
    <row r="2016" spans="1:18" x14ac:dyDescent="0.25">
      <c r="A2016" t="s">
        <v>3245</v>
      </c>
      <c r="B2016" t="s">
        <v>166</v>
      </c>
      <c r="C2016">
        <v>168780</v>
      </c>
      <c r="D2016">
        <v>168780</v>
      </c>
      <c r="H2016">
        <v>0</v>
      </c>
      <c r="I2016">
        <v>40</v>
      </c>
      <c r="J2016">
        <v>10</v>
      </c>
      <c r="M2016">
        <v>50</v>
      </c>
      <c r="R2016">
        <v>10</v>
      </c>
    </row>
    <row r="2017" spans="1:18" x14ac:dyDescent="0.25">
      <c r="A2017" t="s">
        <v>3246</v>
      </c>
      <c r="B2017" t="s">
        <v>3247</v>
      </c>
      <c r="C2017">
        <v>167640</v>
      </c>
      <c r="D2017">
        <v>167640</v>
      </c>
      <c r="H2017">
        <v>10</v>
      </c>
      <c r="I2017">
        <v>20</v>
      </c>
      <c r="J2017">
        <v>10</v>
      </c>
      <c r="K2017">
        <v>0</v>
      </c>
      <c r="L2017">
        <v>10</v>
      </c>
      <c r="M2017">
        <v>50</v>
      </c>
    </row>
    <row r="2018" spans="1:18" x14ac:dyDescent="0.25">
      <c r="A2018" t="s">
        <v>3248</v>
      </c>
      <c r="B2018" t="s">
        <v>3249</v>
      </c>
      <c r="C2018">
        <v>161934</v>
      </c>
      <c r="D2018">
        <v>161934</v>
      </c>
    </row>
    <row r="2019" spans="1:18" x14ac:dyDescent="0.25">
      <c r="A2019" t="s">
        <v>3250</v>
      </c>
      <c r="B2019" t="s">
        <v>3251</v>
      </c>
      <c r="C2019">
        <v>165108</v>
      </c>
      <c r="D2019">
        <v>165108</v>
      </c>
      <c r="E2019">
        <v>40</v>
      </c>
      <c r="F2019">
        <v>10</v>
      </c>
      <c r="G2019">
        <v>40</v>
      </c>
      <c r="O2019">
        <v>90</v>
      </c>
    </row>
    <row r="2020" spans="1:18" x14ac:dyDescent="0.25">
      <c r="A2020" t="s">
        <v>3252</v>
      </c>
      <c r="B2020" t="s">
        <v>808</v>
      </c>
      <c r="C2020">
        <v>168702</v>
      </c>
      <c r="D2020">
        <v>168702</v>
      </c>
      <c r="E2020">
        <v>50</v>
      </c>
      <c r="F2020">
        <v>30</v>
      </c>
      <c r="G2020">
        <v>50</v>
      </c>
      <c r="O2020">
        <v>130</v>
      </c>
    </row>
    <row r="2021" spans="1:18" x14ac:dyDescent="0.25">
      <c r="A2021" t="s">
        <v>3253</v>
      </c>
      <c r="B2021" t="s">
        <v>3254</v>
      </c>
      <c r="C2021">
        <v>167801</v>
      </c>
      <c r="D2021">
        <v>167801</v>
      </c>
      <c r="E2021">
        <v>40</v>
      </c>
      <c r="F2021">
        <v>30</v>
      </c>
      <c r="G2021">
        <v>40</v>
      </c>
      <c r="O2021">
        <v>110</v>
      </c>
    </row>
    <row r="2022" spans="1:18" x14ac:dyDescent="0.25">
      <c r="A2022" t="s">
        <v>3255</v>
      </c>
      <c r="B2022" t="s">
        <v>3256</v>
      </c>
      <c r="C2022">
        <v>165582</v>
      </c>
      <c r="D2022">
        <v>165582</v>
      </c>
      <c r="E2022">
        <v>10</v>
      </c>
      <c r="F2022">
        <v>30</v>
      </c>
      <c r="G2022">
        <v>10</v>
      </c>
      <c r="O2022">
        <v>50</v>
      </c>
    </row>
    <row r="2023" spans="1:18" x14ac:dyDescent="0.25">
      <c r="A2023" t="s">
        <v>3257</v>
      </c>
      <c r="B2023" t="s">
        <v>3258</v>
      </c>
      <c r="C2023">
        <v>166406</v>
      </c>
      <c r="D2023">
        <v>166406</v>
      </c>
      <c r="E2023">
        <v>10</v>
      </c>
      <c r="F2023">
        <v>40</v>
      </c>
      <c r="G2023">
        <v>50</v>
      </c>
      <c r="O2023">
        <v>100</v>
      </c>
    </row>
    <row r="2024" spans="1:18" x14ac:dyDescent="0.25">
      <c r="A2024" t="s">
        <v>3259</v>
      </c>
      <c r="B2024" t="s">
        <v>467</v>
      </c>
      <c r="C2024">
        <v>168582</v>
      </c>
      <c r="D2024">
        <v>168582</v>
      </c>
      <c r="H2024">
        <v>10</v>
      </c>
      <c r="I2024">
        <v>40</v>
      </c>
      <c r="J2024">
        <v>20</v>
      </c>
      <c r="K2024">
        <v>10</v>
      </c>
      <c r="L2024">
        <v>10</v>
      </c>
      <c r="M2024">
        <v>90</v>
      </c>
    </row>
    <row r="2025" spans="1:18" x14ac:dyDescent="0.25">
      <c r="A2025" t="s">
        <v>3260</v>
      </c>
      <c r="B2025" t="s">
        <v>43</v>
      </c>
      <c r="C2025">
        <v>166391</v>
      </c>
      <c r="D2025">
        <v>166391</v>
      </c>
      <c r="E2025">
        <v>50</v>
      </c>
      <c r="F2025">
        <v>20</v>
      </c>
      <c r="G2025">
        <v>30</v>
      </c>
      <c r="O2025">
        <v>100</v>
      </c>
    </row>
    <row r="2026" spans="1:18" x14ac:dyDescent="0.25">
      <c r="A2026" t="s">
        <v>3261</v>
      </c>
      <c r="B2026" t="s">
        <v>3262</v>
      </c>
      <c r="C2026">
        <v>166209</v>
      </c>
      <c r="D2026">
        <v>166209</v>
      </c>
      <c r="E2026">
        <v>30</v>
      </c>
      <c r="F2026">
        <v>20</v>
      </c>
      <c r="G2026">
        <v>30</v>
      </c>
      <c r="O2026">
        <v>80</v>
      </c>
      <c r="R2026" t="s">
        <v>20</v>
      </c>
    </row>
    <row r="2027" spans="1:18" x14ac:dyDescent="0.25">
      <c r="A2027" t="s">
        <v>3263</v>
      </c>
      <c r="B2027" t="s">
        <v>3264</v>
      </c>
      <c r="C2027">
        <v>168763</v>
      </c>
      <c r="D2027">
        <v>168763</v>
      </c>
    </row>
    <row r="2028" spans="1:18" x14ac:dyDescent="0.25">
      <c r="A2028" t="s">
        <v>3265</v>
      </c>
      <c r="B2028" t="s">
        <v>197</v>
      </c>
      <c r="C2028">
        <v>168237</v>
      </c>
      <c r="D2028">
        <v>168237</v>
      </c>
      <c r="H2028">
        <v>10</v>
      </c>
      <c r="I2028">
        <v>40</v>
      </c>
      <c r="J2028">
        <v>10</v>
      </c>
      <c r="K2028">
        <v>10</v>
      </c>
      <c r="L2028">
        <v>10</v>
      </c>
      <c r="M2028">
        <v>80</v>
      </c>
    </row>
    <row r="2029" spans="1:18" x14ac:dyDescent="0.25">
      <c r="A2029" t="s">
        <v>3266</v>
      </c>
      <c r="B2029" t="s">
        <v>346</v>
      </c>
      <c r="C2029" t="s">
        <v>3267</v>
      </c>
      <c r="D2029" t="s">
        <v>3268</v>
      </c>
      <c r="H2029">
        <v>10</v>
      </c>
      <c r="I2029">
        <v>10</v>
      </c>
      <c r="J2029">
        <v>20</v>
      </c>
      <c r="K2029">
        <v>0</v>
      </c>
      <c r="L2029">
        <v>10</v>
      </c>
      <c r="M2029">
        <v>50</v>
      </c>
    </row>
    <row r="2030" spans="1:18" x14ac:dyDescent="0.25">
      <c r="A2030" t="s">
        <v>3269</v>
      </c>
      <c r="B2030" t="s">
        <v>3270</v>
      </c>
      <c r="C2030">
        <v>165937</v>
      </c>
      <c r="D2030">
        <v>165937</v>
      </c>
      <c r="H2030">
        <v>20</v>
      </c>
      <c r="I2030">
        <v>50</v>
      </c>
      <c r="J2030">
        <v>10</v>
      </c>
      <c r="K2030">
        <v>10</v>
      </c>
      <c r="L2030">
        <v>10</v>
      </c>
      <c r="M2030">
        <v>100</v>
      </c>
    </row>
    <row r="2031" spans="1:18" x14ac:dyDescent="0.25">
      <c r="A2031" t="s">
        <v>3271</v>
      </c>
      <c r="B2031" t="s">
        <v>199</v>
      </c>
      <c r="C2031">
        <v>165272</v>
      </c>
      <c r="D2031">
        <v>165272</v>
      </c>
      <c r="E2031">
        <v>40</v>
      </c>
      <c r="F2031">
        <v>40</v>
      </c>
      <c r="G2031">
        <v>20</v>
      </c>
      <c r="O2031">
        <v>100</v>
      </c>
    </row>
    <row r="2032" spans="1:18" x14ac:dyDescent="0.25">
      <c r="A2032" t="s">
        <v>3272</v>
      </c>
      <c r="B2032" t="s">
        <v>759</v>
      </c>
      <c r="C2032">
        <v>167469</v>
      </c>
      <c r="D2032">
        <v>167469</v>
      </c>
      <c r="E2032">
        <v>30</v>
      </c>
      <c r="F2032">
        <v>20</v>
      </c>
      <c r="G2032">
        <v>10</v>
      </c>
      <c r="O2032">
        <v>60</v>
      </c>
    </row>
    <row r="2033" spans="1:15" x14ac:dyDescent="0.25">
      <c r="A2033" t="s">
        <v>3273</v>
      </c>
      <c r="B2033" t="s">
        <v>982</v>
      </c>
      <c r="C2033">
        <v>167529</v>
      </c>
      <c r="D2033">
        <v>167529</v>
      </c>
      <c r="E2033">
        <v>50</v>
      </c>
      <c r="F2033">
        <v>20</v>
      </c>
      <c r="G2033">
        <v>40</v>
      </c>
      <c r="O2033">
        <v>110</v>
      </c>
    </row>
    <row r="2034" spans="1:15" x14ac:dyDescent="0.25">
      <c r="A2034" t="s">
        <v>3274</v>
      </c>
      <c r="B2034" t="s">
        <v>1219</v>
      </c>
      <c r="C2034">
        <v>159219</v>
      </c>
      <c r="D2034">
        <v>159219</v>
      </c>
    </row>
    <row r="2035" spans="1:15" x14ac:dyDescent="0.25">
      <c r="A2035" t="s">
        <v>3275</v>
      </c>
      <c r="B2035" t="s">
        <v>93</v>
      </c>
      <c r="C2035">
        <v>166110</v>
      </c>
      <c r="D2035">
        <v>166110</v>
      </c>
      <c r="H2035">
        <v>10</v>
      </c>
      <c r="I2035">
        <v>30</v>
      </c>
      <c r="J2035">
        <v>10</v>
      </c>
      <c r="K2035">
        <v>10</v>
      </c>
      <c r="L2035">
        <v>10</v>
      </c>
      <c r="M2035">
        <v>70</v>
      </c>
    </row>
    <row r="2036" spans="1:15" x14ac:dyDescent="0.25">
      <c r="A2036" t="s">
        <v>3276</v>
      </c>
      <c r="B2036" t="s">
        <v>1902</v>
      </c>
      <c r="C2036">
        <v>165516</v>
      </c>
      <c r="D2036">
        <v>165516</v>
      </c>
      <c r="E2036">
        <v>10</v>
      </c>
      <c r="F2036">
        <v>40</v>
      </c>
      <c r="G2036">
        <v>30</v>
      </c>
      <c r="O2036">
        <v>80</v>
      </c>
    </row>
    <row r="2037" spans="1:15" x14ac:dyDescent="0.25">
      <c r="A2037" t="s">
        <v>3277</v>
      </c>
      <c r="B2037" t="s">
        <v>3278</v>
      </c>
      <c r="C2037">
        <v>166778</v>
      </c>
      <c r="D2037">
        <v>166778</v>
      </c>
      <c r="H2037">
        <v>10</v>
      </c>
      <c r="I2037">
        <v>10</v>
      </c>
      <c r="J2037">
        <v>10</v>
      </c>
      <c r="K2037">
        <v>10</v>
      </c>
      <c r="L2037">
        <v>0</v>
      </c>
      <c r="M2037">
        <v>40</v>
      </c>
    </row>
    <row r="2038" spans="1:15" x14ac:dyDescent="0.25">
      <c r="A2038" t="s">
        <v>3279</v>
      </c>
      <c r="B2038" t="s">
        <v>3280</v>
      </c>
      <c r="C2038">
        <v>168165</v>
      </c>
      <c r="D2038">
        <v>168165</v>
      </c>
      <c r="H2038">
        <v>0</v>
      </c>
      <c r="I2038">
        <v>40</v>
      </c>
      <c r="J2038">
        <v>20</v>
      </c>
      <c r="K2038">
        <v>0</v>
      </c>
      <c r="L2038">
        <v>10</v>
      </c>
      <c r="M2038">
        <v>70</v>
      </c>
    </row>
    <row r="2039" spans="1:15" x14ac:dyDescent="0.25">
      <c r="A2039" t="s">
        <v>3281</v>
      </c>
      <c r="B2039" t="s">
        <v>3282</v>
      </c>
      <c r="C2039">
        <v>167171</v>
      </c>
      <c r="D2039">
        <v>167171</v>
      </c>
      <c r="E2039">
        <v>10</v>
      </c>
      <c r="F2039">
        <v>0</v>
      </c>
      <c r="G2039">
        <v>20</v>
      </c>
      <c r="O2039">
        <v>30</v>
      </c>
    </row>
    <row r="2040" spans="1:15" x14ac:dyDescent="0.25">
      <c r="A2040" t="s">
        <v>3283</v>
      </c>
      <c r="B2040" t="s">
        <v>3284</v>
      </c>
      <c r="C2040">
        <v>168509</v>
      </c>
      <c r="D2040">
        <v>168509</v>
      </c>
      <c r="H2040">
        <v>20</v>
      </c>
      <c r="I2040">
        <v>40</v>
      </c>
      <c r="J2040">
        <v>10</v>
      </c>
      <c r="K2040">
        <v>10</v>
      </c>
      <c r="L2040">
        <v>10</v>
      </c>
      <c r="M2040">
        <v>90</v>
      </c>
    </row>
    <row r="2041" spans="1:15" x14ac:dyDescent="0.25">
      <c r="A2041" t="s">
        <v>3285</v>
      </c>
      <c r="B2041" t="s">
        <v>3286</v>
      </c>
      <c r="C2041">
        <v>165784</v>
      </c>
      <c r="D2041">
        <v>165784</v>
      </c>
      <c r="H2041">
        <v>10</v>
      </c>
      <c r="I2041">
        <v>50</v>
      </c>
      <c r="J2041">
        <v>20</v>
      </c>
      <c r="K2041">
        <v>10</v>
      </c>
      <c r="L2041">
        <v>10</v>
      </c>
      <c r="M2041">
        <v>100</v>
      </c>
    </row>
    <row r="2042" spans="1:15" x14ac:dyDescent="0.25">
      <c r="A2042" t="s">
        <v>3287</v>
      </c>
      <c r="B2042" t="s">
        <v>3288</v>
      </c>
      <c r="C2042">
        <v>166951</v>
      </c>
      <c r="D2042">
        <v>166951</v>
      </c>
      <c r="H2042">
        <v>10</v>
      </c>
      <c r="I2042">
        <v>40</v>
      </c>
      <c r="J2042">
        <v>10</v>
      </c>
      <c r="K2042">
        <v>10</v>
      </c>
      <c r="L2042">
        <v>0</v>
      </c>
      <c r="M2042">
        <v>70</v>
      </c>
    </row>
    <row r="2043" spans="1:15" x14ac:dyDescent="0.25">
      <c r="A2043" t="s">
        <v>3289</v>
      </c>
      <c r="B2043" t="s">
        <v>3290</v>
      </c>
      <c r="C2043">
        <v>168352</v>
      </c>
      <c r="D2043">
        <v>168352</v>
      </c>
      <c r="E2043">
        <v>20</v>
      </c>
      <c r="F2043">
        <v>30</v>
      </c>
      <c r="G2043">
        <v>0</v>
      </c>
      <c r="O2043">
        <v>50</v>
      </c>
    </row>
    <row r="2044" spans="1:15" x14ac:dyDescent="0.25">
      <c r="A2044" t="s">
        <v>3291</v>
      </c>
      <c r="B2044" t="s">
        <v>393</v>
      </c>
      <c r="C2044">
        <v>168359</v>
      </c>
      <c r="D2044">
        <v>168359</v>
      </c>
      <c r="H2044">
        <v>10</v>
      </c>
      <c r="I2044">
        <v>30</v>
      </c>
      <c r="J2044">
        <v>20</v>
      </c>
      <c r="K2044">
        <v>0</v>
      </c>
      <c r="L2044">
        <v>0</v>
      </c>
      <c r="M2044">
        <v>60</v>
      </c>
    </row>
    <row r="2045" spans="1:15" x14ac:dyDescent="0.25">
      <c r="A2045" t="s">
        <v>3292</v>
      </c>
      <c r="B2045" t="s">
        <v>3293</v>
      </c>
      <c r="C2045">
        <v>163896</v>
      </c>
      <c r="D2045">
        <v>163896</v>
      </c>
      <c r="E2045">
        <v>20</v>
      </c>
      <c r="F2045">
        <v>10</v>
      </c>
      <c r="G2045">
        <v>10</v>
      </c>
      <c r="O2045">
        <v>40</v>
      </c>
    </row>
    <row r="2046" spans="1:15" x14ac:dyDescent="0.25">
      <c r="A2046" t="s">
        <v>3294</v>
      </c>
      <c r="B2046" t="s">
        <v>3295</v>
      </c>
      <c r="C2046">
        <v>166870</v>
      </c>
      <c r="D2046">
        <v>166870</v>
      </c>
      <c r="H2046">
        <v>10</v>
      </c>
      <c r="I2046">
        <v>20</v>
      </c>
      <c r="J2046">
        <v>10</v>
      </c>
      <c r="K2046">
        <v>10</v>
      </c>
      <c r="L2046">
        <v>10</v>
      </c>
      <c r="M2046">
        <v>60</v>
      </c>
    </row>
    <row r="2047" spans="1:15" x14ac:dyDescent="0.25">
      <c r="A2047" t="s">
        <v>3294</v>
      </c>
      <c r="B2047" t="s">
        <v>3296</v>
      </c>
      <c r="C2047">
        <v>166978</v>
      </c>
      <c r="D2047">
        <v>166978</v>
      </c>
    </row>
    <row r="2048" spans="1:15" x14ac:dyDescent="0.25">
      <c r="A2048" t="s">
        <v>3297</v>
      </c>
      <c r="B2048" t="s">
        <v>3298</v>
      </c>
      <c r="C2048">
        <v>168021</v>
      </c>
      <c r="D2048">
        <v>168021</v>
      </c>
      <c r="H2048">
        <v>0</v>
      </c>
      <c r="I2048">
        <v>40</v>
      </c>
      <c r="J2048">
        <v>20</v>
      </c>
      <c r="K2048">
        <v>0</v>
      </c>
      <c r="L2048">
        <v>0</v>
      </c>
      <c r="M2048">
        <v>60</v>
      </c>
    </row>
    <row r="2049" spans="1:15" x14ac:dyDescent="0.25">
      <c r="A2049" t="s">
        <v>3299</v>
      </c>
      <c r="B2049" t="s">
        <v>1631</v>
      </c>
      <c r="C2049">
        <v>166441</v>
      </c>
      <c r="D2049">
        <v>166441</v>
      </c>
      <c r="E2049">
        <v>20</v>
      </c>
      <c r="F2049">
        <v>20</v>
      </c>
      <c r="G2049">
        <v>10</v>
      </c>
      <c r="O2049">
        <v>50</v>
      </c>
    </row>
    <row r="2050" spans="1:15" x14ac:dyDescent="0.25">
      <c r="A2050" t="s">
        <v>3300</v>
      </c>
      <c r="B2050" t="s">
        <v>1978</v>
      </c>
      <c r="C2050">
        <v>166979</v>
      </c>
      <c r="D2050">
        <v>166979</v>
      </c>
      <c r="E2050">
        <v>30</v>
      </c>
      <c r="F2050">
        <v>20</v>
      </c>
      <c r="G2050">
        <v>50</v>
      </c>
      <c r="O2050">
        <v>100</v>
      </c>
    </row>
    <row r="2051" spans="1:15" x14ac:dyDescent="0.25">
      <c r="A2051" t="s">
        <v>3301</v>
      </c>
      <c r="B2051" t="s">
        <v>45</v>
      </c>
      <c r="C2051">
        <v>166835</v>
      </c>
      <c r="D2051">
        <v>166835</v>
      </c>
    </row>
    <row r="2052" spans="1:15" x14ac:dyDescent="0.25">
      <c r="A2052" t="s">
        <v>3302</v>
      </c>
      <c r="B2052" t="s">
        <v>3303</v>
      </c>
      <c r="C2052">
        <v>167575</v>
      </c>
      <c r="D2052">
        <v>167575</v>
      </c>
      <c r="H2052">
        <v>0</v>
      </c>
      <c r="I2052">
        <v>50</v>
      </c>
      <c r="J2052">
        <v>20</v>
      </c>
      <c r="K2052">
        <v>10</v>
      </c>
      <c r="L2052">
        <v>10</v>
      </c>
      <c r="M2052">
        <v>90</v>
      </c>
    </row>
    <row r="2053" spans="1:15" x14ac:dyDescent="0.25">
      <c r="A2053" t="s">
        <v>3304</v>
      </c>
      <c r="B2053" t="s">
        <v>1078</v>
      </c>
      <c r="C2053">
        <v>167458</v>
      </c>
      <c r="D2053">
        <v>167458</v>
      </c>
      <c r="E2053">
        <v>10</v>
      </c>
      <c r="F2053">
        <v>0</v>
      </c>
      <c r="G2053">
        <v>20</v>
      </c>
      <c r="O2053">
        <v>30</v>
      </c>
    </row>
    <row r="2054" spans="1:15" x14ac:dyDescent="0.25">
      <c r="A2054" t="s">
        <v>3305</v>
      </c>
      <c r="B2054" t="s">
        <v>3306</v>
      </c>
      <c r="C2054">
        <v>165819</v>
      </c>
      <c r="D2054">
        <v>165819</v>
      </c>
      <c r="E2054">
        <v>20</v>
      </c>
      <c r="F2054">
        <v>20</v>
      </c>
      <c r="G2054">
        <v>30</v>
      </c>
      <c r="O2054">
        <v>70</v>
      </c>
    </row>
    <row r="2055" spans="1:15" x14ac:dyDescent="0.25">
      <c r="A2055" t="s">
        <v>3307</v>
      </c>
      <c r="B2055" t="s">
        <v>3308</v>
      </c>
      <c r="C2055">
        <v>163714</v>
      </c>
      <c r="D2055">
        <v>163714</v>
      </c>
    </row>
    <row r="2056" spans="1:15" x14ac:dyDescent="0.25">
      <c r="A2056" t="s">
        <v>3309</v>
      </c>
      <c r="B2056" t="s">
        <v>3310</v>
      </c>
      <c r="C2056">
        <v>168723</v>
      </c>
      <c r="D2056">
        <v>168723</v>
      </c>
    </row>
    <row r="2057" spans="1:15" x14ac:dyDescent="0.25">
      <c r="A2057" t="s">
        <v>3311</v>
      </c>
      <c r="B2057" t="s">
        <v>3312</v>
      </c>
      <c r="C2057">
        <v>166041</v>
      </c>
      <c r="D2057">
        <v>166041</v>
      </c>
      <c r="E2057">
        <v>20</v>
      </c>
      <c r="F2057">
        <v>40</v>
      </c>
      <c r="G2057">
        <v>30</v>
      </c>
      <c r="O2057">
        <v>90</v>
      </c>
    </row>
    <row r="2058" spans="1:15" x14ac:dyDescent="0.25">
      <c r="A2058" t="s">
        <v>3313</v>
      </c>
      <c r="B2058" t="s">
        <v>3314</v>
      </c>
      <c r="C2058">
        <v>166732</v>
      </c>
      <c r="D2058">
        <v>166732</v>
      </c>
      <c r="E2058">
        <v>10</v>
      </c>
      <c r="F2058">
        <v>10</v>
      </c>
      <c r="G2058">
        <v>30</v>
      </c>
      <c r="O2058">
        <v>50</v>
      </c>
    </row>
    <row r="2059" spans="1:15" x14ac:dyDescent="0.25">
      <c r="A2059" t="s">
        <v>3315</v>
      </c>
      <c r="B2059" t="s">
        <v>768</v>
      </c>
      <c r="C2059">
        <v>165858</v>
      </c>
      <c r="D2059">
        <v>165858</v>
      </c>
      <c r="H2059">
        <v>10</v>
      </c>
      <c r="I2059">
        <v>50</v>
      </c>
      <c r="J2059">
        <v>20</v>
      </c>
      <c r="K2059">
        <v>10</v>
      </c>
      <c r="L2059">
        <v>0</v>
      </c>
      <c r="M2059">
        <v>90</v>
      </c>
    </row>
    <row r="2060" spans="1:15" x14ac:dyDescent="0.25">
      <c r="A2060" t="s">
        <v>3316</v>
      </c>
      <c r="B2060" t="s">
        <v>3317</v>
      </c>
      <c r="C2060">
        <v>166156</v>
      </c>
      <c r="D2060">
        <v>166156</v>
      </c>
      <c r="E2060">
        <v>20</v>
      </c>
      <c r="F2060">
        <v>20</v>
      </c>
      <c r="G2060">
        <v>20</v>
      </c>
      <c r="O2060">
        <v>60</v>
      </c>
    </row>
    <row r="2061" spans="1:15" x14ac:dyDescent="0.25">
      <c r="A2061" t="s">
        <v>3318</v>
      </c>
      <c r="B2061" t="s">
        <v>577</v>
      </c>
      <c r="C2061">
        <v>168533</v>
      </c>
      <c r="D2061">
        <v>168533</v>
      </c>
      <c r="E2061">
        <v>10</v>
      </c>
      <c r="F2061">
        <v>10</v>
      </c>
      <c r="G2061">
        <v>40</v>
      </c>
      <c r="O2061">
        <v>60</v>
      </c>
    </row>
    <row r="2062" spans="1:15" x14ac:dyDescent="0.25">
      <c r="A2062" t="s">
        <v>3319</v>
      </c>
      <c r="B2062" t="s">
        <v>3320</v>
      </c>
      <c r="C2062">
        <v>167415</v>
      </c>
      <c r="D2062">
        <v>167415</v>
      </c>
      <c r="E2062">
        <v>10</v>
      </c>
      <c r="F2062">
        <v>20</v>
      </c>
      <c r="G2062">
        <v>20</v>
      </c>
      <c r="O2062">
        <v>50</v>
      </c>
    </row>
    <row r="2063" spans="1:15" x14ac:dyDescent="0.25">
      <c r="A2063" t="s">
        <v>3321</v>
      </c>
      <c r="B2063" t="s">
        <v>3322</v>
      </c>
      <c r="C2063">
        <v>167092</v>
      </c>
      <c r="D2063">
        <v>167092</v>
      </c>
      <c r="E2063">
        <v>20</v>
      </c>
      <c r="F2063">
        <v>30</v>
      </c>
      <c r="G2063">
        <v>30</v>
      </c>
      <c r="O2063">
        <v>80</v>
      </c>
    </row>
    <row r="2064" spans="1:15" x14ac:dyDescent="0.25">
      <c r="A2064" t="s">
        <v>3323</v>
      </c>
      <c r="B2064" t="s">
        <v>3324</v>
      </c>
      <c r="C2064">
        <v>167778</v>
      </c>
      <c r="D2064">
        <v>167778</v>
      </c>
      <c r="H2064">
        <v>10</v>
      </c>
      <c r="I2064">
        <v>40</v>
      </c>
      <c r="J2064">
        <v>10</v>
      </c>
      <c r="K2064">
        <v>10</v>
      </c>
      <c r="L2064">
        <v>0</v>
      </c>
      <c r="M2064">
        <v>70</v>
      </c>
    </row>
    <row r="2065" spans="1:15" x14ac:dyDescent="0.25">
      <c r="A2065" t="s">
        <v>3325</v>
      </c>
      <c r="B2065" t="s">
        <v>3326</v>
      </c>
      <c r="C2065">
        <v>167145</v>
      </c>
      <c r="D2065">
        <v>167145</v>
      </c>
      <c r="E2065">
        <v>20</v>
      </c>
      <c r="F2065">
        <v>10</v>
      </c>
      <c r="G2065">
        <v>30</v>
      </c>
      <c r="O2065">
        <v>60</v>
      </c>
    </row>
    <row r="2066" spans="1:15" x14ac:dyDescent="0.25">
      <c r="A2066" t="s">
        <v>3325</v>
      </c>
      <c r="B2066" t="s">
        <v>1208</v>
      </c>
      <c r="C2066">
        <v>167167</v>
      </c>
      <c r="D2066">
        <v>167167</v>
      </c>
      <c r="H2066">
        <v>0</v>
      </c>
      <c r="I2066">
        <v>40</v>
      </c>
      <c r="J2066">
        <v>10</v>
      </c>
      <c r="K2066">
        <v>0</v>
      </c>
      <c r="L2066">
        <v>0</v>
      </c>
      <c r="M2066">
        <v>50</v>
      </c>
    </row>
    <row r="2067" spans="1:15" x14ac:dyDescent="0.25">
      <c r="A2067" t="s">
        <v>3327</v>
      </c>
      <c r="B2067" t="s">
        <v>1701</v>
      </c>
      <c r="C2067">
        <v>166360</v>
      </c>
      <c r="D2067">
        <v>166360</v>
      </c>
      <c r="H2067">
        <v>20</v>
      </c>
      <c r="I2067">
        <v>30</v>
      </c>
      <c r="J2067">
        <v>10</v>
      </c>
      <c r="K2067">
        <v>0</v>
      </c>
      <c r="L2067">
        <v>10</v>
      </c>
      <c r="M2067">
        <v>70</v>
      </c>
    </row>
    <row r="2068" spans="1:15" x14ac:dyDescent="0.25">
      <c r="A2068" t="s">
        <v>3328</v>
      </c>
      <c r="B2068" t="s">
        <v>797</v>
      </c>
      <c r="C2068">
        <v>164541</v>
      </c>
      <c r="D2068">
        <v>164541</v>
      </c>
    </row>
    <row r="2069" spans="1:15" x14ac:dyDescent="0.25">
      <c r="A2069" t="s">
        <v>3329</v>
      </c>
      <c r="B2069" t="s">
        <v>3330</v>
      </c>
      <c r="C2069">
        <v>168137</v>
      </c>
      <c r="D2069">
        <v>168137</v>
      </c>
      <c r="H2069">
        <v>20</v>
      </c>
      <c r="I2069">
        <v>40</v>
      </c>
      <c r="J2069">
        <v>20</v>
      </c>
      <c r="K2069">
        <v>0</v>
      </c>
      <c r="L2069">
        <v>10</v>
      </c>
      <c r="M2069">
        <v>90</v>
      </c>
    </row>
    <row r="2070" spans="1:15" x14ac:dyDescent="0.25">
      <c r="A2070" t="s">
        <v>3331</v>
      </c>
      <c r="B2070" t="s">
        <v>3332</v>
      </c>
      <c r="C2070">
        <v>166332</v>
      </c>
      <c r="D2070">
        <v>166332</v>
      </c>
      <c r="H2070">
        <v>20</v>
      </c>
      <c r="I2070">
        <v>60</v>
      </c>
      <c r="J2070">
        <v>10</v>
      </c>
      <c r="K2070">
        <v>10</v>
      </c>
      <c r="L2070">
        <v>10</v>
      </c>
      <c r="M2070">
        <v>110</v>
      </c>
    </row>
    <row r="2071" spans="1:15" x14ac:dyDescent="0.25">
      <c r="A2071" t="s">
        <v>3333</v>
      </c>
      <c r="B2071" t="s">
        <v>3334</v>
      </c>
      <c r="C2071">
        <v>168764</v>
      </c>
      <c r="D2071">
        <v>168764</v>
      </c>
      <c r="H2071">
        <v>20</v>
      </c>
      <c r="I2071">
        <v>50</v>
      </c>
      <c r="J2071">
        <v>20</v>
      </c>
      <c r="K2071">
        <v>10</v>
      </c>
      <c r="L2071">
        <v>10</v>
      </c>
      <c r="M2071">
        <v>110</v>
      </c>
    </row>
    <row r="2072" spans="1:15" x14ac:dyDescent="0.25">
      <c r="A2072" t="s">
        <v>3335</v>
      </c>
      <c r="B2072" t="s">
        <v>3336</v>
      </c>
      <c r="C2072">
        <v>168712</v>
      </c>
      <c r="D2072">
        <v>168712</v>
      </c>
      <c r="H2072">
        <v>0</v>
      </c>
      <c r="I2072">
        <v>20</v>
      </c>
      <c r="J2072">
        <v>0</v>
      </c>
      <c r="K2072">
        <v>10</v>
      </c>
      <c r="L2072">
        <v>0</v>
      </c>
      <c r="M2072">
        <v>30</v>
      </c>
    </row>
    <row r="2073" spans="1:15" x14ac:dyDescent="0.25">
      <c r="A2073" t="s">
        <v>3337</v>
      </c>
      <c r="B2073" t="s">
        <v>1063</v>
      </c>
      <c r="C2073">
        <v>168211</v>
      </c>
      <c r="D2073">
        <v>168211</v>
      </c>
      <c r="H2073">
        <v>0</v>
      </c>
      <c r="I2073">
        <v>20</v>
      </c>
      <c r="J2073">
        <v>0</v>
      </c>
      <c r="K2073">
        <v>0</v>
      </c>
      <c r="L2073">
        <v>10</v>
      </c>
      <c r="M2073">
        <v>30</v>
      </c>
    </row>
    <row r="2074" spans="1:15" x14ac:dyDescent="0.25">
      <c r="A2074" t="s">
        <v>3338</v>
      </c>
      <c r="B2074" t="s">
        <v>3339</v>
      </c>
      <c r="C2074">
        <v>168529</v>
      </c>
      <c r="D2074">
        <v>168529</v>
      </c>
      <c r="E2074">
        <v>20</v>
      </c>
      <c r="F2074">
        <v>20</v>
      </c>
      <c r="G2074">
        <v>40</v>
      </c>
      <c r="O2074">
        <v>80</v>
      </c>
    </row>
    <row r="2075" spans="1:15" x14ac:dyDescent="0.25">
      <c r="A2075" t="s">
        <v>3340</v>
      </c>
      <c r="B2075" t="s">
        <v>1743</v>
      </c>
      <c r="C2075">
        <v>168182</v>
      </c>
      <c r="D2075">
        <v>168182</v>
      </c>
      <c r="E2075">
        <v>40</v>
      </c>
      <c r="F2075">
        <v>20</v>
      </c>
      <c r="G2075">
        <v>20</v>
      </c>
      <c r="O2075">
        <v>80</v>
      </c>
    </row>
    <row r="2076" spans="1:15" x14ac:dyDescent="0.25">
      <c r="A2076" t="s">
        <v>3341</v>
      </c>
      <c r="B2076" t="s">
        <v>218</v>
      </c>
      <c r="C2076">
        <v>165967</v>
      </c>
      <c r="D2076">
        <v>165967</v>
      </c>
      <c r="H2076">
        <v>10</v>
      </c>
      <c r="I2076">
        <v>30</v>
      </c>
      <c r="J2076">
        <v>10</v>
      </c>
      <c r="K2076">
        <v>10</v>
      </c>
      <c r="L2076">
        <v>10</v>
      </c>
      <c r="M2076">
        <v>70</v>
      </c>
    </row>
    <row r="2077" spans="1:15" x14ac:dyDescent="0.25">
      <c r="A2077" t="s">
        <v>3342</v>
      </c>
      <c r="B2077" t="s">
        <v>286</v>
      </c>
      <c r="C2077">
        <v>167816</v>
      </c>
      <c r="D2077">
        <v>167816</v>
      </c>
      <c r="H2077">
        <v>10</v>
      </c>
      <c r="I2077">
        <v>30</v>
      </c>
      <c r="J2077">
        <v>10</v>
      </c>
      <c r="K2077">
        <v>0</v>
      </c>
      <c r="L2077">
        <v>10</v>
      </c>
      <c r="M2077">
        <v>60</v>
      </c>
    </row>
    <row r="2078" spans="1:15" x14ac:dyDescent="0.25">
      <c r="A2078" t="s">
        <v>3343</v>
      </c>
      <c r="B2078" t="s">
        <v>138</v>
      </c>
      <c r="C2078">
        <v>167731</v>
      </c>
      <c r="D2078">
        <v>167731</v>
      </c>
      <c r="H2078">
        <v>10</v>
      </c>
      <c r="I2078">
        <v>40</v>
      </c>
      <c r="J2078">
        <v>20</v>
      </c>
      <c r="K2078">
        <v>10</v>
      </c>
      <c r="L2078">
        <v>10</v>
      </c>
      <c r="M2078">
        <v>90</v>
      </c>
    </row>
    <row r="2079" spans="1:15" x14ac:dyDescent="0.25">
      <c r="A2079" t="s">
        <v>3344</v>
      </c>
      <c r="B2079" t="s">
        <v>486</v>
      </c>
      <c r="C2079">
        <v>166908</v>
      </c>
      <c r="D2079">
        <v>166908</v>
      </c>
      <c r="H2079">
        <v>10</v>
      </c>
      <c r="I2079">
        <v>20</v>
      </c>
      <c r="J2079">
        <v>0</v>
      </c>
      <c r="K2079">
        <v>0</v>
      </c>
      <c r="L2079">
        <v>0</v>
      </c>
      <c r="M2079">
        <v>30</v>
      </c>
    </row>
    <row r="2080" spans="1:15" x14ac:dyDescent="0.25">
      <c r="A2080" t="s">
        <v>3345</v>
      </c>
      <c r="B2080" t="s">
        <v>24</v>
      </c>
      <c r="C2080">
        <v>166707</v>
      </c>
      <c r="D2080">
        <v>166707</v>
      </c>
    </row>
    <row r="2081" spans="1:15" x14ac:dyDescent="0.25">
      <c r="A2081" t="s">
        <v>3346</v>
      </c>
      <c r="B2081" t="s">
        <v>3347</v>
      </c>
      <c r="C2081">
        <v>165340</v>
      </c>
      <c r="D2081">
        <v>165340</v>
      </c>
      <c r="H2081">
        <v>10</v>
      </c>
      <c r="I2081">
        <v>30</v>
      </c>
      <c r="J2081">
        <v>10</v>
      </c>
      <c r="K2081">
        <v>10</v>
      </c>
      <c r="L2081">
        <v>10</v>
      </c>
      <c r="M2081">
        <v>70</v>
      </c>
    </row>
    <row r="2082" spans="1:15" x14ac:dyDescent="0.25">
      <c r="A2082" t="s">
        <v>3348</v>
      </c>
      <c r="B2082" t="s">
        <v>354</v>
      </c>
      <c r="C2082">
        <v>165759</v>
      </c>
      <c r="D2082">
        <v>165759</v>
      </c>
      <c r="E2082">
        <v>40</v>
      </c>
      <c r="F2082">
        <v>30</v>
      </c>
      <c r="G2082">
        <v>40</v>
      </c>
      <c r="O2082">
        <v>110</v>
      </c>
    </row>
    <row r="2083" spans="1:15" x14ac:dyDescent="0.25">
      <c r="A2083" t="s">
        <v>3349</v>
      </c>
      <c r="B2083" t="s">
        <v>3350</v>
      </c>
      <c r="C2083">
        <v>167764</v>
      </c>
      <c r="D2083">
        <v>167764</v>
      </c>
      <c r="E2083">
        <v>10</v>
      </c>
      <c r="F2083">
        <v>0</v>
      </c>
      <c r="G2083">
        <v>20</v>
      </c>
      <c r="O2083">
        <v>30</v>
      </c>
    </row>
    <row r="2084" spans="1:15" x14ac:dyDescent="0.25">
      <c r="A2084" t="s">
        <v>3351</v>
      </c>
      <c r="B2084" t="s">
        <v>166</v>
      </c>
      <c r="C2084">
        <v>167547</v>
      </c>
      <c r="D2084">
        <v>167547</v>
      </c>
      <c r="E2084">
        <v>50</v>
      </c>
      <c r="F2084">
        <v>0</v>
      </c>
      <c r="G2084">
        <v>10</v>
      </c>
      <c r="N2084" t="s">
        <v>20</v>
      </c>
      <c r="O2084">
        <v>60</v>
      </c>
    </row>
    <row r="2085" spans="1:15" x14ac:dyDescent="0.25">
      <c r="A2085" t="s">
        <v>3352</v>
      </c>
      <c r="B2085" t="s">
        <v>138</v>
      </c>
      <c r="C2085">
        <v>165517</v>
      </c>
      <c r="D2085">
        <v>165517</v>
      </c>
      <c r="H2085">
        <v>10</v>
      </c>
      <c r="I2085">
        <v>40</v>
      </c>
      <c r="J2085">
        <v>0</v>
      </c>
      <c r="K2085">
        <v>10</v>
      </c>
      <c r="L2085">
        <v>0</v>
      </c>
      <c r="M2085">
        <v>60</v>
      </c>
    </row>
    <row r="2086" spans="1:15" x14ac:dyDescent="0.25">
      <c r="A2086" t="s">
        <v>3353</v>
      </c>
      <c r="B2086" t="s">
        <v>3354</v>
      </c>
      <c r="C2086">
        <v>166896</v>
      </c>
      <c r="D2086">
        <v>166896</v>
      </c>
      <c r="H2086">
        <v>10</v>
      </c>
      <c r="I2086">
        <v>40</v>
      </c>
      <c r="J2086">
        <v>10</v>
      </c>
      <c r="K2086">
        <v>10</v>
      </c>
      <c r="L2086">
        <v>0</v>
      </c>
      <c r="M2086">
        <v>70</v>
      </c>
    </row>
    <row r="2087" spans="1:15" x14ac:dyDescent="0.25">
      <c r="A2087" t="s">
        <v>3355</v>
      </c>
      <c r="B2087" t="s">
        <v>3356</v>
      </c>
      <c r="C2087">
        <v>166976</v>
      </c>
      <c r="D2087">
        <v>166976</v>
      </c>
      <c r="E2087">
        <v>40</v>
      </c>
      <c r="F2087">
        <v>20</v>
      </c>
      <c r="G2087">
        <v>30</v>
      </c>
      <c r="O2087">
        <v>90</v>
      </c>
    </row>
    <row r="2088" spans="1:15" x14ac:dyDescent="0.25">
      <c r="A2088" t="s">
        <v>3357</v>
      </c>
      <c r="B2088" t="s">
        <v>3358</v>
      </c>
      <c r="C2088">
        <v>165421</v>
      </c>
      <c r="D2088">
        <v>165421</v>
      </c>
      <c r="E2088">
        <v>40</v>
      </c>
      <c r="F2088">
        <v>30</v>
      </c>
      <c r="G2088">
        <v>30</v>
      </c>
      <c r="O2088">
        <v>100</v>
      </c>
    </row>
    <row r="2089" spans="1:15" x14ac:dyDescent="0.25">
      <c r="A2089" t="s">
        <v>3359</v>
      </c>
      <c r="B2089" t="s">
        <v>3019</v>
      </c>
      <c r="C2089">
        <v>166324</v>
      </c>
      <c r="D2089">
        <v>166324</v>
      </c>
    </row>
    <row r="2090" spans="1:15" x14ac:dyDescent="0.25">
      <c r="A2090" t="s">
        <v>3360</v>
      </c>
      <c r="B2090" t="s">
        <v>3361</v>
      </c>
      <c r="C2090">
        <v>165396</v>
      </c>
      <c r="D2090">
        <v>165396</v>
      </c>
      <c r="H2090">
        <v>20</v>
      </c>
      <c r="I2090">
        <v>40</v>
      </c>
      <c r="J2090">
        <v>10</v>
      </c>
      <c r="K2090">
        <v>0</v>
      </c>
      <c r="L2090">
        <v>10</v>
      </c>
      <c r="M2090">
        <v>80</v>
      </c>
    </row>
    <row r="2091" spans="1:15" x14ac:dyDescent="0.25">
      <c r="A2091" t="s">
        <v>3362</v>
      </c>
      <c r="B2091" t="s">
        <v>577</v>
      </c>
      <c r="C2091">
        <v>166132</v>
      </c>
      <c r="D2091">
        <v>166132</v>
      </c>
      <c r="H2091">
        <v>10</v>
      </c>
      <c r="I2091">
        <v>50</v>
      </c>
      <c r="J2091">
        <v>10</v>
      </c>
      <c r="K2091">
        <v>10</v>
      </c>
      <c r="L2091">
        <v>10</v>
      </c>
      <c r="M2091">
        <v>90</v>
      </c>
    </row>
    <row r="2092" spans="1:15" x14ac:dyDescent="0.25">
      <c r="A2092" t="s">
        <v>3363</v>
      </c>
      <c r="B2092" t="s">
        <v>25</v>
      </c>
      <c r="C2092">
        <v>166889</v>
      </c>
      <c r="D2092">
        <v>166889</v>
      </c>
      <c r="E2092">
        <v>30</v>
      </c>
      <c r="F2092">
        <v>20</v>
      </c>
      <c r="G2092">
        <v>60</v>
      </c>
      <c r="O2092">
        <v>110</v>
      </c>
    </row>
    <row r="2093" spans="1:15" x14ac:dyDescent="0.25">
      <c r="A2093" t="s">
        <v>3364</v>
      </c>
      <c r="B2093" t="s">
        <v>3365</v>
      </c>
      <c r="C2093">
        <v>166354</v>
      </c>
      <c r="D2093">
        <v>166354</v>
      </c>
      <c r="E2093">
        <v>10</v>
      </c>
      <c r="F2093">
        <v>0</v>
      </c>
      <c r="G2093">
        <v>10</v>
      </c>
      <c r="O2093">
        <v>20</v>
      </c>
    </row>
    <row r="2094" spans="1:15" x14ac:dyDescent="0.25">
      <c r="A2094" t="s">
        <v>3364</v>
      </c>
      <c r="B2094" t="s">
        <v>3366</v>
      </c>
      <c r="C2094">
        <v>166353</v>
      </c>
      <c r="D2094">
        <v>166353</v>
      </c>
      <c r="H2094">
        <v>0</v>
      </c>
      <c r="I2094">
        <v>30</v>
      </c>
      <c r="J2094">
        <v>20</v>
      </c>
      <c r="K2094">
        <v>0</v>
      </c>
      <c r="M2094">
        <v>50</v>
      </c>
    </row>
    <row r="2095" spans="1:15" x14ac:dyDescent="0.25">
      <c r="A2095" t="s">
        <v>3367</v>
      </c>
      <c r="B2095" t="s">
        <v>3368</v>
      </c>
      <c r="C2095">
        <v>167737</v>
      </c>
      <c r="D2095">
        <v>167737</v>
      </c>
      <c r="E2095">
        <v>0</v>
      </c>
      <c r="F2095">
        <v>30</v>
      </c>
      <c r="G2095">
        <v>20</v>
      </c>
      <c r="O2095">
        <v>50</v>
      </c>
    </row>
    <row r="2096" spans="1:15" x14ac:dyDescent="0.25">
      <c r="A2096" t="s">
        <v>3369</v>
      </c>
      <c r="B2096" t="s">
        <v>3370</v>
      </c>
      <c r="C2096">
        <v>168510</v>
      </c>
      <c r="D2096">
        <v>168510</v>
      </c>
      <c r="E2096">
        <v>50</v>
      </c>
      <c r="F2096">
        <v>20</v>
      </c>
      <c r="G2096">
        <v>60</v>
      </c>
      <c r="O2096">
        <v>130</v>
      </c>
    </row>
    <row r="2097" spans="1:15" x14ac:dyDescent="0.25">
      <c r="A2097" t="s">
        <v>3371</v>
      </c>
      <c r="B2097" t="s">
        <v>3372</v>
      </c>
      <c r="C2097">
        <v>164269</v>
      </c>
      <c r="D2097">
        <v>164269</v>
      </c>
    </row>
    <row r="2098" spans="1:15" x14ac:dyDescent="0.25">
      <c r="A2098" t="s">
        <v>3373</v>
      </c>
      <c r="B2098" t="s">
        <v>963</v>
      </c>
      <c r="C2098">
        <v>167882</v>
      </c>
      <c r="D2098">
        <v>167882</v>
      </c>
      <c r="E2098">
        <v>30</v>
      </c>
      <c r="F2098">
        <v>30</v>
      </c>
      <c r="G2098">
        <v>20</v>
      </c>
      <c r="O2098">
        <v>80</v>
      </c>
    </row>
    <row r="2099" spans="1:15" x14ac:dyDescent="0.25">
      <c r="A2099" t="s">
        <v>3374</v>
      </c>
      <c r="B2099" t="s">
        <v>59</v>
      </c>
      <c r="C2099">
        <v>166469</v>
      </c>
      <c r="D2099">
        <v>166469</v>
      </c>
      <c r="H2099">
        <v>10</v>
      </c>
      <c r="I2099">
        <v>30</v>
      </c>
      <c r="J2099">
        <v>10</v>
      </c>
      <c r="K2099">
        <v>10</v>
      </c>
      <c r="L2099">
        <v>0</v>
      </c>
      <c r="M2099">
        <v>60</v>
      </c>
    </row>
    <row r="2100" spans="1:15" x14ac:dyDescent="0.25">
      <c r="A2100" t="s">
        <v>3375</v>
      </c>
      <c r="B2100" t="s">
        <v>3376</v>
      </c>
      <c r="C2100">
        <v>168625</v>
      </c>
      <c r="D2100">
        <v>168625</v>
      </c>
      <c r="H2100">
        <v>10</v>
      </c>
      <c r="I2100">
        <v>30</v>
      </c>
      <c r="J2100">
        <v>20</v>
      </c>
      <c r="K2100">
        <v>10</v>
      </c>
      <c r="L2100">
        <v>0</v>
      </c>
      <c r="M2100">
        <v>70</v>
      </c>
    </row>
    <row r="2101" spans="1:15" x14ac:dyDescent="0.25">
      <c r="A2101" t="s">
        <v>3377</v>
      </c>
      <c r="B2101" t="s">
        <v>340</v>
      </c>
      <c r="C2101">
        <v>168847</v>
      </c>
      <c r="D2101">
        <v>168847</v>
      </c>
    </row>
    <row r="2102" spans="1:15" x14ac:dyDescent="0.25">
      <c r="A2102" t="s">
        <v>3377</v>
      </c>
      <c r="B2102" t="s">
        <v>1521</v>
      </c>
      <c r="C2102">
        <v>168755</v>
      </c>
      <c r="D2102">
        <v>168755</v>
      </c>
      <c r="H2102">
        <v>0</v>
      </c>
      <c r="I2102">
        <v>20</v>
      </c>
      <c r="J2102">
        <v>10</v>
      </c>
      <c r="K2102">
        <v>0</v>
      </c>
      <c r="L2102">
        <v>10</v>
      </c>
      <c r="M2102">
        <v>40</v>
      </c>
    </row>
    <row r="2103" spans="1:15" x14ac:dyDescent="0.25">
      <c r="A2103" t="s">
        <v>3377</v>
      </c>
      <c r="B2103" t="s">
        <v>1392</v>
      </c>
      <c r="C2103">
        <v>165743</v>
      </c>
      <c r="D2103">
        <v>165743</v>
      </c>
      <c r="H2103">
        <v>0</v>
      </c>
      <c r="I2103">
        <v>20</v>
      </c>
      <c r="J2103">
        <v>20</v>
      </c>
      <c r="K2103">
        <v>10</v>
      </c>
      <c r="L2103">
        <v>0</v>
      </c>
      <c r="M2103">
        <v>50</v>
      </c>
    </row>
    <row r="2104" spans="1:15" x14ac:dyDescent="0.25">
      <c r="A2104" t="s">
        <v>3378</v>
      </c>
      <c r="B2104" t="s">
        <v>3379</v>
      </c>
      <c r="C2104">
        <v>168655</v>
      </c>
      <c r="D2104">
        <v>168655</v>
      </c>
      <c r="H2104">
        <v>10</v>
      </c>
      <c r="I2104">
        <v>50</v>
      </c>
      <c r="J2104">
        <v>20</v>
      </c>
      <c r="K2104">
        <v>10</v>
      </c>
      <c r="L2104">
        <v>10</v>
      </c>
      <c r="M2104">
        <v>100</v>
      </c>
    </row>
    <row r="2105" spans="1:15" x14ac:dyDescent="0.25">
      <c r="A2105" t="s">
        <v>3380</v>
      </c>
      <c r="B2105" t="s">
        <v>150</v>
      </c>
      <c r="C2105">
        <v>167660</v>
      </c>
      <c r="D2105">
        <v>167660</v>
      </c>
    </row>
    <row r="2106" spans="1:15" x14ac:dyDescent="0.25">
      <c r="A2106" t="s">
        <v>3381</v>
      </c>
      <c r="B2106" t="s">
        <v>3382</v>
      </c>
      <c r="C2106">
        <v>168607</v>
      </c>
      <c r="D2106">
        <v>168607</v>
      </c>
    </row>
    <row r="2107" spans="1:15" x14ac:dyDescent="0.25">
      <c r="A2107" t="s">
        <v>3383</v>
      </c>
      <c r="B2107" t="s">
        <v>3384</v>
      </c>
      <c r="C2107">
        <v>166905</v>
      </c>
      <c r="D2107">
        <v>166905</v>
      </c>
      <c r="E2107">
        <v>30</v>
      </c>
      <c r="F2107">
        <v>20</v>
      </c>
      <c r="G2107">
        <v>40</v>
      </c>
      <c r="O2107">
        <v>90</v>
      </c>
    </row>
  </sheetData>
  <autoFilter ref="A1:R2107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Examen diagnóstico (2)</vt:lpstr>
      <vt:lpstr>Gráficas</vt:lpstr>
      <vt:lpstr>Examen diagnóstico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Ricardo Montiel</cp:lastModifiedBy>
  <dcterms:created xsi:type="dcterms:W3CDTF">2019-09-09T21:25:03Z</dcterms:created>
  <dcterms:modified xsi:type="dcterms:W3CDTF">2026-04-25T05:54:16Z</dcterms:modified>
</cp:coreProperties>
</file>